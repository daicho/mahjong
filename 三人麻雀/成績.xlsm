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D0AEF0D-DD3E-423C-B198-811A12BD87B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22" r:id="rId6"/>
    <sheet name="だいち" sheetId="4324" r:id="rId7"/>
    <sheet name="かこたろう" sheetId="4326" r:id="rId8"/>
    <sheet name="ともき" sheetId="4328" r:id="rId9"/>
    <sheet name="りくと" sheetId="4330" r:id="rId10"/>
    <sheet name="いっしー" sheetId="4332" r:id="rId11"/>
    <sheet name="がくと" sheetId="4334" r:id="rId12"/>
    <sheet name="たかの" sheetId="4336" r:id="rId13"/>
    <sheet name="ただ" sheetId="4338" r:id="rId14"/>
    <sheet name="やがさき" sheetId="4340" r:id="rId15"/>
    <sheet name="れんたろう" sheetId="4342" r:id="rId16"/>
    <sheet name="あさひ" sheetId="4344" r:id="rId17"/>
    <sheet name="まっつん" sheetId="4346" r:id="rId18"/>
    <sheet name="ぱぱ" sheetId="4348" r:id="rId19"/>
    <sheet name="ぱぱ2" sheetId="4349" state="hidden" r:id="rId20"/>
    <sheet name="まっつん2" sheetId="4347" state="hidden" r:id="rId21"/>
    <sheet name="あさひ2" sheetId="4345" state="hidden" r:id="rId22"/>
    <sheet name="れんたろう2" sheetId="4343" state="hidden" r:id="rId23"/>
    <sheet name="やがさき2" sheetId="4341" state="hidden" r:id="rId24"/>
    <sheet name="ただ2" sheetId="4339" state="hidden" r:id="rId25"/>
    <sheet name="たかの2" sheetId="4337" state="hidden" r:id="rId26"/>
    <sheet name="がくと2" sheetId="4335" state="hidden" r:id="rId27"/>
    <sheet name="いっしー2" sheetId="4333" state="hidden" r:id="rId28"/>
    <sheet name="りくと2" sheetId="4331" state="hidden" r:id="rId29"/>
    <sheet name="ともき2" sheetId="4329" state="hidden" r:id="rId30"/>
    <sheet name="かこたろう2" sheetId="4327" state="hidden" r:id="rId31"/>
    <sheet name="だいち2" sheetId="4325" state="hidden" r:id="rId32"/>
    <sheet name="全体2" sheetId="432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4324" l="1"/>
  <c r="O15" i="4338"/>
  <c r="O20" i="4348"/>
  <c r="O15" i="4342" l="1"/>
  <c r="O19" i="4348"/>
  <c r="O15" i="4330" l="1"/>
  <c r="O21" i="4348"/>
  <c r="O18" i="4340" l="1"/>
  <c r="O18" i="4348"/>
  <c r="O16" i="4348"/>
  <c r="O18" i="4324"/>
  <c r="O22" i="4332"/>
  <c r="O17" i="4332"/>
  <c r="O15" i="4348"/>
  <c r="O17" i="4348"/>
  <c r="H51" i="4348"/>
  <c r="H50" i="4348"/>
  <c r="H49" i="4348"/>
  <c r="H48" i="4348"/>
  <c r="H47" i="4348"/>
  <c r="H46" i="4348"/>
  <c r="H45" i="4348"/>
  <c r="H44" i="4348"/>
  <c r="H43" i="4348"/>
  <c r="H42" i="4348"/>
  <c r="H41" i="4348"/>
  <c r="H40" i="4348"/>
  <c r="H39" i="4348"/>
  <c r="H38" i="4348"/>
  <c r="H37" i="4348"/>
  <c r="H36" i="4348"/>
  <c r="H35" i="4348"/>
  <c r="H34" i="4348"/>
  <c r="H33" i="4348"/>
  <c r="H32" i="4348"/>
  <c r="H31" i="4348"/>
  <c r="H30" i="4348"/>
  <c r="H9" i="4348"/>
  <c r="H29" i="4348"/>
  <c r="H28" i="4348"/>
  <c r="H13" i="4348"/>
  <c r="H27" i="4348"/>
  <c r="C25" i="4348"/>
  <c r="H26" i="4348"/>
  <c r="H10" i="4348"/>
  <c r="H25" i="4348"/>
  <c r="B22" i="4348"/>
  <c r="H12" i="4348"/>
  <c r="H24" i="4348"/>
  <c r="C20" i="4348"/>
  <c r="H23" i="4348"/>
  <c r="H11" i="4348"/>
  <c r="H22" i="4348"/>
  <c r="B17" i="4348"/>
  <c r="C18" i="4348" s="1"/>
  <c r="H21" i="4348"/>
  <c r="C16" i="4348"/>
  <c r="H20" i="4348"/>
  <c r="C15" i="4348"/>
  <c r="H19" i="4348"/>
  <c r="C14" i="4348"/>
  <c r="H18" i="4348"/>
  <c r="C13" i="4348"/>
  <c r="O12" i="4348"/>
  <c r="H17" i="4348"/>
  <c r="C12" i="4348"/>
  <c r="O11" i="4348"/>
  <c r="H3" i="4348"/>
  <c r="C11" i="4348"/>
  <c r="O10" i="4348"/>
  <c r="H16" i="4348"/>
  <c r="C10" i="4348"/>
  <c r="H8" i="4348"/>
  <c r="C9" i="4348"/>
  <c r="H15" i="4348"/>
  <c r="C8" i="4348"/>
  <c r="O7" i="4348"/>
  <c r="H7" i="4348"/>
  <c r="C7" i="4348"/>
  <c r="O6" i="4348"/>
  <c r="H2" i="4348"/>
  <c r="B6" i="4348"/>
  <c r="O5" i="4348"/>
  <c r="H6" i="4348"/>
  <c r="B5" i="4348"/>
  <c r="O4" i="4348"/>
  <c r="H4" i="4348"/>
  <c r="O3" i="4348"/>
  <c r="H14" i="4348"/>
  <c r="O2" i="4348"/>
  <c r="H5" i="4348"/>
  <c r="O20" i="4346"/>
  <c r="O19" i="4346"/>
  <c r="O17" i="4322"/>
  <c r="C17" i="4348" l="1"/>
  <c r="C19" i="4348"/>
  <c r="B21" i="4348"/>
  <c r="O15" i="4332" l="1"/>
  <c r="O21" i="4340"/>
  <c r="O20" i="4340"/>
  <c r="O17" i="4342"/>
  <c r="O19" i="4330" l="1"/>
  <c r="O16" i="4340"/>
  <c r="O19" i="4338"/>
  <c r="O17" i="4340"/>
  <c r="O21" i="4330" l="1"/>
  <c r="O16" i="4346"/>
  <c r="O22" i="4346" l="1"/>
  <c r="O17" i="4324"/>
  <c r="O21" i="4338" l="1"/>
  <c r="O17" i="4344"/>
  <c r="O15" i="4334"/>
  <c r="O16" i="4334"/>
  <c r="O18" i="4342"/>
  <c r="O25" i="4342"/>
  <c r="O15" i="4346"/>
  <c r="O17" i="4346"/>
  <c r="O21" i="4332"/>
  <c r="O18" i="4336"/>
  <c r="O21" i="4346" l="1"/>
  <c r="O18" i="4346"/>
  <c r="H51" i="4346"/>
  <c r="H50" i="4346"/>
  <c r="H49" i="4346"/>
  <c r="H48" i="4346"/>
  <c r="H47" i="4346"/>
  <c r="H46" i="4346"/>
  <c r="H45" i="4346"/>
  <c r="H44" i="4346"/>
  <c r="H43" i="4346"/>
  <c r="H42" i="4346"/>
  <c r="H41" i="4346"/>
  <c r="H40" i="4346"/>
  <c r="H39" i="4346"/>
  <c r="H38" i="4346"/>
  <c r="H37" i="4346"/>
  <c r="H36" i="4346"/>
  <c r="H35" i="4346"/>
  <c r="H34" i="4346"/>
  <c r="H33" i="4346"/>
  <c r="H21" i="4346"/>
  <c r="H20" i="4346"/>
  <c r="H32" i="4346"/>
  <c r="H8" i="4346"/>
  <c r="H31" i="4346"/>
  <c r="H30" i="4346"/>
  <c r="H11" i="4346"/>
  <c r="H19" i="4346"/>
  <c r="C25" i="4346"/>
  <c r="H29" i="4346"/>
  <c r="H7" i="4346"/>
  <c r="H28" i="4346"/>
  <c r="B22" i="4346"/>
  <c r="H14" i="4346"/>
  <c r="H27" i="4346"/>
  <c r="C20" i="4346"/>
  <c r="H26" i="4346"/>
  <c r="H17" i="4346"/>
  <c r="H13" i="4346"/>
  <c r="B17" i="4346"/>
  <c r="C18" i="4346" s="1"/>
  <c r="H18" i="4346"/>
  <c r="C16" i="4346"/>
  <c r="H25" i="4346"/>
  <c r="C15" i="4346"/>
  <c r="H24" i="4346"/>
  <c r="C14" i="4346"/>
  <c r="H23" i="4346"/>
  <c r="C13" i="4346"/>
  <c r="O12" i="4346"/>
  <c r="H22" i="4346"/>
  <c r="C12" i="4346"/>
  <c r="O11" i="4346"/>
  <c r="H3" i="4346"/>
  <c r="C11" i="4346"/>
  <c r="O10" i="4346"/>
  <c r="H16" i="4346"/>
  <c r="C10" i="4346"/>
  <c r="H10" i="4346"/>
  <c r="C9" i="4346"/>
  <c r="H15" i="4346"/>
  <c r="C8" i="4346"/>
  <c r="O7" i="4346"/>
  <c r="H6" i="4346"/>
  <c r="C7" i="4346"/>
  <c r="O6" i="4346"/>
  <c r="H2" i="4346"/>
  <c r="B6" i="4346"/>
  <c r="O5" i="4346"/>
  <c r="H9" i="4346"/>
  <c r="B5" i="4346"/>
  <c r="O4" i="4346"/>
  <c r="H4" i="4346"/>
  <c r="O3" i="4346"/>
  <c r="H12" i="4346"/>
  <c r="O2" i="4346"/>
  <c r="H5" i="4346"/>
  <c r="O15" i="4336"/>
  <c r="O17" i="4338"/>
  <c r="O18" i="4322"/>
  <c r="O24" i="4332"/>
  <c r="O18" i="4334"/>
  <c r="O18" i="4344"/>
  <c r="O15" i="4344"/>
  <c r="C17" i="4346" l="1"/>
  <c r="C19" i="4346"/>
  <c r="B21" i="4346"/>
  <c r="O22" i="4342" l="1"/>
  <c r="O16" i="4330"/>
  <c r="O16" i="4328"/>
  <c r="O18" i="4328"/>
  <c r="O16" i="4342"/>
  <c r="O24" i="4330"/>
  <c r="O27" i="4322"/>
  <c r="O19" i="4344"/>
  <c r="O16" i="4344"/>
  <c r="H51" i="4344"/>
  <c r="H50" i="4344"/>
  <c r="H49" i="4344"/>
  <c r="H48" i="4344"/>
  <c r="H47" i="4344"/>
  <c r="H46" i="4344"/>
  <c r="H45" i="4344"/>
  <c r="H44" i="4344"/>
  <c r="H43" i="4344"/>
  <c r="H42" i="4344"/>
  <c r="H41" i="4344"/>
  <c r="H40" i="4344"/>
  <c r="H39" i="4344"/>
  <c r="H38" i="4344"/>
  <c r="H37" i="4344"/>
  <c r="H36" i="4344"/>
  <c r="H35" i="4344"/>
  <c r="H34" i="4344"/>
  <c r="H33" i="4344"/>
  <c r="H32" i="4344"/>
  <c r="H14" i="4344"/>
  <c r="H31" i="4344"/>
  <c r="H12" i="4344"/>
  <c r="H30" i="4344"/>
  <c r="H29" i="4344"/>
  <c r="H11" i="4344"/>
  <c r="H28" i="4344"/>
  <c r="C25" i="4344"/>
  <c r="H27" i="4344"/>
  <c r="H26" i="4344"/>
  <c r="H25" i="4344"/>
  <c r="B22" i="4344"/>
  <c r="H24" i="4344"/>
  <c r="H23" i="4344"/>
  <c r="C20" i="4344"/>
  <c r="H22" i="4344"/>
  <c r="H21" i="4344"/>
  <c r="H20" i="4344"/>
  <c r="B17" i="4344"/>
  <c r="C18" i="4344" s="1"/>
  <c r="H19" i="4344"/>
  <c r="C16" i="4344"/>
  <c r="H18" i="4344"/>
  <c r="C15" i="4344"/>
  <c r="H17" i="4344"/>
  <c r="C14" i="4344"/>
  <c r="H16" i="4344"/>
  <c r="C13" i="4344"/>
  <c r="O12" i="4344"/>
  <c r="H15" i="4344"/>
  <c r="C12" i="4344"/>
  <c r="O11" i="4344"/>
  <c r="H5" i="4344"/>
  <c r="C11" i="4344"/>
  <c r="O10" i="4344"/>
  <c r="H13" i="4344"/>
  <c r="C10" i="4344"/>
  <c r="H8" i="4344"/>
  <c r="C9" i="4344"/>
  <c r="H10" i="4344"/>
  <c r="C8" i="4344"/>
  <c r="O7" i="4344"/>
  <c r="H7" i="4344"/>
  <c r="C7" i="4344"/>
  <c r="O6" i="4344"/>
  <c r="H4" i="4344"/>
  <c r="B6" i="4344"/>
  <c r="O5" i="4344"/>
  <c r="H6" i="4344"/>
  <c r="B5" i="4344"/>
  <c r="O4" i="4344"/>
  <c r="H3" i="4344"/>
  <c r="O3" i="4344"/>
  <c r="H9" i="4344"/>
  <c r="O2" i="4344"/>
  <c r="H2" i="4344"/>
  <c r="C17" i="4344" l="1"/>
  <c r="C19" i="4344"/>
  <c r="B21" i="4344"/>
  <c r="O17" i="4336" l="1"/>
  <c r="O20" i="4342"/>
  <c r="O17" i="4330"/>
  <c r="O20" i="4336"/>
  <c r="O23" i="4338" l="1"/>
  <c r="O20" i="4332"/>
  <c r="O18" i="4338" l="1"/>
  <c r="O24" i="4342"/>
  <c r="O25" i="4332" l="1"/>
  <c r="O19" i="4342"/>
  <c r="O18" i="4330" l="1"/>
  <c r="O23" i="4342"/>
  <c r="O21" i="4342"/>
  <c r="H51" i="4342"/>
  <c r="H50" i="4342"/>
  <c r="H49" i="4342"/>
  <c r="H48" i="4342"/>
  <c r="H47" i="4342"/>
  <c r="H46" i="4342"/>
  <c r="H45" i="4342"/>
  <c r="H44" i="4342"/>
  <c r="H43" i="4342"/>
  <c r="H42" i="4342"/>
  <c r="H41" i="4342"/>
  <c r="H40" i="4342"/>
  <c r="H39" i="4342"/>
  <c r="H38" i="4342"/>
  <c r="H37" i="4342"/>
  <c r="H36" i="4342"/>
  <c r="H35" i="4342"/>
  <c r="H34" i="4342"/>
  <c r="H21" i="4342"/>
  <c r="H28" i="4342"/>
  <c r="H17" i="4342"/>
  <c r="H27" i="4342"/>
  <c r="H9" i="4342"/>
  <c r="H33" i="4342"/>
  <c r="H26" i="4342"/>
  <c r="H12" i="4342"/>
  <c r="H25" i="4342"/>
  <c r="C25" i="4342"/>
  <c r="H24" i="4342"/>
  <c r="H15" i="4342"/>
  <c r="H32" i="4342"/>
  <c r="B22" i="4342"/>
  <c r="H16" i="4342"/>
  <c r="H31" i="4342"/>
  <c r="C20" i="4342"/>
  <c r="H30" i="4342"/>
  <c r="H19" i="4342"/>
  <c r="H13" i="4342"/>
  <c r="B17" i="4342"/>
  <c r="B21" i="4342" s="1"/>
  <c r="H23" i="4342"/>
  <c r="C16" i="4342"/>
  <c r="H29" i="4342"/>
  <c r="C15" i="4342"/>
  <c r="H20" i="4342"/>
  <c r="C14" i="4342"/>
  <c r="H22" i="4342"/>
  <c r="C13" i="4342"/>
  <c r="O12" i="4342"/>
  <c r="H18" i="4342"/>
  <c r="C12" i="4342"/>
  <c r="O11" i="4342"/>
  <c r="H5" i="4342"/>
  <c r="C11" i="4342"/>
  <c r="O10" i="4342"/>
  <c r="H14" i="4342"/>
  <c r="C10" i="4342"/>
  <c r="H10" i="4342"/>
  <c r="C9" i="4342"/>
  <c r="H8" i="4342"/>
  <c r="C8" i="4342"/>
  <c r="O7" i="4342"/>
  <c r="H7" i="4342"/>
  <c r="C7" i="4342"/>
  <c r="O6" i="4342"/>
  <c r="H2" i="4342"/>
  <c r="B6" i="4342"/>
  <c r="O5" i="4342"/>
  <c r="H6" i="4342"/>
  <c r="B5" i="4342"/>
  <c r="O4" i="4342"/>
  <c r="H3" i="4342"/>
  <c r="O3" i="4342"/>
  <c r="H11" i="4342"/>
  <c r="O2" i="4342"/>
  <c r="H4" i="4342"/>
  <c r="O20" i="4324"/>
  <c r="O22" i="4322"/>
  <c r="C18" i="4342" l="1"/>
  <c r="C17" i="4342"/>
  <c r="C19" i="4342"/>
  <c r="O23" i="4330" l="1"/>
  <c r="O16" i="4338"/>
  <c r="O15" i="4340" l="1"/>
  <c r="O19" i="4340"/>
  <c r="H51" i="4340"/>
  <c r="H50" i="4340"/>
  <c r="H49" i="4340"/>
  <c r="H48" i="4340"/>
  <c r="H47" i="4340"/>
  <c r="H46" i="4340"/>
  <c r="H45" i="4340"/>
  <c r="H44" i="4340"/>
  <c r="H43" i="4340"/>
  <c r="H42" i="4340"/>
  <c r="H41" i="4340"/>
  <c r="H40" i="4340"/>
  <c r="H39" i="4340"/>
  <c r="H38" i="4340"/>
  <c r="H37" i="4340"/>
  <c r="H36" i="4340"/>
  <c r="H35" i="4340"/>
  <c r="H34" i="4340"/>
  <c r="H33" i="4340"/>
  <c r="H19" i="4340"/>
  <c r="H18" i="4340"/>
  <c r="H32" i="4340"/>
  <c r="H9" i="4340"/>
  <c r="H31" i="4340"/>
  <c r="H30" i="4340"/>
  <c r="H17" i="4340"/>
  <c r="H29" i="4340"/>
  <c r="C25" i="4340"/>
  <c r="H28" i="4340"/>
  <c r="H16" i="4340"/>
  <c r="H27" i="4340"/>
  <c r="B22" i="4340"/>
  <c r="H26" i="4340"/>
  <c r="H25" i="4340"/>
  <c r="C20" i="4340"/>
  <c r="H24" i="4340"/>
  <c r="H15" i="4340"/>
  <c r="C18" i="4340"/>
  <c r="H13" i="4340"/>
  <c r="B17" i="4340"/>
  <c r="B21" i="4340" s="1"/>
  <c r="H23" i="4340"/>
  <c r="C16" i="4340"/>
  <c r="H22" i="4340"/>
  <c r="C15" i="4340"/>
  <c r="H21" i="4340"/>
  <c r="C14" i="4340"/>
  <c r="H20" i="4340"/>
  <c r="C13" i="4340"/>
  <c r="O12" i="4340"/>
  <c r="H14" i="4340"/>
  <c r="C12" i="4340"/>
  <c r="O11" i="4340"/>
  <c r="H6" i="4340"/>
  <c r="C11" i="4340"/>
  <c r="O10" i="4340"/>
  <c r="H12" i="4340"/>
  <c r="C10" i="4340"/>
  <c r="H11" i="4340"/>
  <c r="C9" i="4340"/>
  <c r="H10" i="4340"/>
  <c r="C8" i="4340"/>
  <c r="O7" i="4340"/>
  <c r="H7" i="4340"/>
  <c r="C7" i="4340"/>
  <c r="O6" i="4340"/>
  <c r="H2" i="4340"/>
  <c r="B6" i="4340"/>
  <c r="O5" i="4340"/>
  <c r="H4" i="4340"/>
  <c r="B5" i="4340"/>
  <c r="O4" i="4340"/>
  <c r="H5" i="4340"/>
  <c r="O3" i="4340"/>
  <c r="H8" i="4340"/>
  <c r="O2" i="4340"/>
  <c r="H3" i="4340"/>
  <c r="O21" i="4336"/>
  <c r="O22" i="4324"/>
  <c r="O23" i="4322"/>
  <c r="C19" i="4340" l="1"/>
  <c r="C17" i="4340"/>
  <c r="O16" i="4332" l="1"/>
  <c r="O15" i="4326"/>
  <c r="O22" i="4338" l="1"/>
  <c r="O20" i="4338"/>
  <c r="H51" i="4338"/>
  <c r="H50" i="4338"/>
  <c r="H49" i="4338"/>
  <c r="H48" i="4338"/>
  <c r="H47" i="4338"/>
  <c r="H46" i="4338"/>
  <c r="H45" i="4338"/>
  <c r="H44" i="4338"/>
  <c r="H43" i="4338"/>
  <c r="H42" i="4338"/>
  <c r="H41" i="4338"/>
  <c r="H40" i="4338"/>
  <c r="H39" i="4338"/>
  <c r="H38" i="4338"/>
  <c r="H37" i="4338"/>
  <c r="H36" i="4338"/>
  <c r="H35" i="4338"/>
  <c r="H34" i="4338"/>
  <c r="H21" i="4338"/>
  <c r="H33" i="4338"/>
  <c r="H17" i="4338"/>
  <c r="H32" i="4338"/>
  <c r="H9" i="4338"/>
  <c r="H31" i="4338"/>
  <c r="H30" i="4338"/>
  <c r="H15" i="4338"/>
  <c r="H29" i="4338"/>
  <c r="C25" i="4338"/>
  <c r="H24" i="4338"/>
  <c r="H16" i="4338"/>
  <c r="H28" i="4338"/>
  <c r="B22" i="4338"/>
  <c r="H14" i="4338"/>
  <c r="H27" i="4338"/>
  <c r="C20" i="4338"/>
  <c r="H26" i="4338"/>
  <c r="H20" i="4338"/>
  <c r="H13" i="4338"/>
  <c r="B17" i="4338"/>
  <c r="C18" i="4338" s="1"/>
  <c r="H19" i="4338"/>
  <c r="C16" i="4338"/>
  <c r="H25" i="4338"/>
  <c r="C15" i="4338"/>
  <c r="H23" i="4338"/>
  <c r="C14" i="4338"/>
  <c r="H22" i="4338"/>
  <c r="C13" i="4338"/>
  <c r="O12" i="4338"/>
  <c r="H18" i="4338"/>
  <c r="C12" i="4338"/>
  <c r="O11" i="4338"/>
  <c r="H4" i="4338"/>
  <c r="C11" i="4338"/>
  <c r="O10" i="4338"/>
  <c r="H12" i="4338"/>
  <c r="C10" i="4338"/>
  <c r="H11" i="4338"/>
  <c r="C9" i="4338"/>
  <c r="H8" i="4338"/>
  <c r="C8" i="4338"/>
  <c r="O7" i="4338"/>
  <c r="H7" i="4338"/>
  <c r="C7" i="4338"/>
  <c r="O6" i="4338"/>
  <c r="H2" i="4338"/>
  <c r="B6" i="4338"/>
  <c r="O5" i="4338"/>
  <c r="H6" i="4338"/>
  <c r="B5" i="4338"/>
  <c r="O4" i="4338"/>
  <c r="H3" i="4338"/>
  <c r="O3" i="4338"/>
  <c r="H10" i="4338"/>
  <c r="O2" i="4338"/>
  <c r="H5" i="4338"/>
  <c r="O19" i="4336"/>
  <c r="O16" i="4336"/>
  <c r="H51" i="4336"/>
  <c r="H50" i="4336"/>
  <c r="H49" i="4336"/>
  <c r="H48" i="4336"/>
  <c r="H47" i="4336"/>
  <c r="H46" i="4336"/>
  <c r="H45" i="4336"/>
  <c r="H44" i="4336"/>
  <c r="H43" i="4336"/>
  <c r="H42" i="4336"/>
  <c r="H41" i="4336"/>
  <c r="H40" i="4336"/>
  <c r="H39" i="4336"/>
  <c r="H38" i="4336"/>
  <c r="H37" i="4336"/>
  <c r="H36" i="4336"/>
  <c r="H35" i="4336"/>
  <c r="H34" i="4336"/>
  <c r="H33" i="4336"/>
  <c r="H32" i="4336"/>
  <c r="H31" i="4336"/>
  <c r="H30" i="4336"/>
  <c r="H11" i="4336"/>
  <c r="H29" i="4336"/>
  <c r="H28" i="4336"/>
  <c r="H14" i="4336"/>
  <c r="H27" i="4336"/>
  <c r="C25" i="4336"/>
  <c r="H26" i="4336"/>
  <c r="H17" i="4336"/>
  <c r="H25" i="4336"/>
  <c r="B22" i="4336"/>
  <c r="H16" i="4336"/>
  <c r="H24" i="4336"/>
  <c r="C20" i="4336"/>
  <c r="H23" i="4336"/>
  <c r="H15" i="4336"/>
  <c r="H13" i="4336"/>
  <c r="B17" i="4336"/>
  <c r="C19" i="4336" s="1"/>
  <c r="H19" i="4336"/>
  <c r="C16" i="4336"/>
  <c r="H22" i="4336"/>
  <c r="C15" i="4336"/>
  <c r="H18" i="4336"/>
  <c r="C14" i="4336"/>
  <c r="H21" i="4336"/>
  <c r="C13" i="4336"/>
  <c r="O12" i="4336"/>
  <c r="H20" i="4336"/>
  <c r="C12" i="4336"/>
  <c r="O11" i="4336"/>
  <c r="H4" i="4336"/>
  <c r="C11" i="4336"/>
  <c r="O10" i="4336"/>
  <c r="H12" i="4336"/>
  <c r="C10" i="4336"/>
  <c r="H10" i="4336"/>
  <c r="C9" i="4336"/>
  <c r="H9" i="4336"/>
  <c r="C8" i="4336"/>
  <c r="O7" i="4336"/>
  <c r="H6" i="4336"/>
  <c r="C7" i="4336"/>
  <c r="O6" i="4336"/>
  <c r="H2" i="4336"/>
  <c r="B6" i="4336"/>
  <c r="O5" i="4336"/>
  <c r="H8" i="4336"/>
  <c r="B5" i="4336"/>
  <c r="O4" i="4336"/>
  <c r="H3" i="4336"/>
  <c r="O3" i="4336"/>
  <c r="H7" i="4336"/>
  <c r="O2" i="4336"/>
  <c r="H5" i="4336"/>
  <c r="O24" i="4324"/>
  <c r="O19" i="4324"/>
  <c r="O24" i="4322"/>
  <c r="O19" i="4322"/>
  <c r="B21" i="4338" l="1"/>
  <c r="C19" i="4338"/>
  <c r="C17" i="4338"/>
  <c r="C17" i="4336"/>
  <c r="B21" i="4336"/>
  <c r="C18" i="4336"/>
  <c r="O18" i="4332" l="1"/>
  <c r="O19" i="4334"/>
  <c r="O17" i="4334"/>
  <c r="H51" i="4334"/>
  <c r="H50" i="4334"/>
  <c r="H49" i="4334"/>
  <c r="H48" i="4334"/>
  <c r="H47" i="4334"/>
  <c r="H46" i="4334"/>
  <c r="H45" i="4334"/>
  <c r="H44" i="4334"/>
  <c r="H43" i="4334"/>
  <c r="H42" i="4334"/>
  <c r="H41" i="4334"/>
  <c r="H40" i="4334"/>
  <c r="H39" i="4334"/>
  <c r="H38" i="4334"/>
  <c r="H37" i="4334"/>
  <c r="H36" i="4334"/>
  <c r="H35" i="4334"/>
  <c r="H34" i="4334"/>
  <c r="H33" i="4334"/>
  <c r="H32" i="4334"/>
  <c r="H31" i="4334"/>
  <c r="H30" i="4334"/>
  <c r="H29" i="4334"/>
  <c r="H28" i="4334"/>
  <c r="H27" i="4334"/>
  <c r="H11" i="4334"/>
  <c r="H26" i="4334"/>
  <c r="C25" i="4334"/>
  <c r="H25" i="4334"/>
  <c r="H24" i="4334"/>
  <c r="H23" i="4334"/>
  <c r="B22" i="4334"/>
  <c r="H22" i="4334"/>
  <c r="H21" i="4334"/>
  <c r="C20" i="4334"/>
  <c r="H20" i="4334"/>
  <c r="H8" i="4334"/>
  <c r="H19" i="4334"/>
  <c r="B17" i="4334"/>
  <c r="B21" i="4334" s="1"/>
  <c r="H18" i="4334"/>
  <c r="C16" i="4334"/>
  <c r="H17" i="4334"/>
  <c r="C15" i="4334"/>
  <c r="H16" i="4334"/>
  <c r="C14" i="4334"/>
  <c r="H15" i="4334"/>
  <c r="C13" i="4334"/>
  <c r="O12" i="4334"/>
  <c r="H14" i="4334"/>
  <c r="C12" i="4334"/>
  <c r="O11" i="4334"/>
  <c r="H5" i="4334"/>
  <c r="C11" i="4334"/>
  <c r="O10" i="4334"/>
  <c r="H13" i="4334"/>
  <c r="C10" i="4334"/>
  <c r="H12" i="4334"/>
  <c r="C9" i="4334"/>
  <c r="H10" i="4334"/>
  <c r="C8" i="4334"/>
  <c r="O7" i="4334"/>
  <c r="H6" i="4334"/>
  <c r="C7" i="4334"/>
  <c r="O6" i="4334"/>
  <c r="H3" i="4334"/>
  <c r="B6" i="4334"/>
  <c r="O5" i="4334"/>
  <c r="H7" i="4334"/>
  <c r="B5" i="4334"/>
  <c r="O4" i="4334"/>
  <c r="H9" i="4334"/>
  <c r="O3" i="4334"/>
  <c r="H4" i="4334"/>
  <c r="O2" i="4334"/>
  <c r="H2" i="4334"/>
  <c r="O15" i="4324"/>
  <c r="O16" i="4322"/>
  <c r="C18" i="4334" l="1"/>
  <c r="C19" i="4334"/>
  <c r="C17" i="4334"/>
  <c r="O19" i="4332" l="1"/>
  <c r="O23" i="4332"/>
  <c r="H51" i="4332"/>
  <c r="H50" i="4332"/>
  <c r="H49" i="4332"/>
  <c r="H48" i="4332"/>
  <c r="H47" i="4332"/>
  <c r="H46" i="4332"/>
  <c r="H45" i="4332"/>
  <c r="H44" i="4332"/>
  <c r="H43" i="4332"/>
  <c r="H42" i="4332"/>
  <c r="H41" i="4332"/>
  <c r="H40" i="4332"/>
  <c r="H39" i="4332"/>
  <c r="H38" i="4332"/>
  <c r="H37" i="4332"/>
  <c r="H36" i="4332"/>
  <c r="H35" i="4332"/>
  <c r="H34" i="4332"/>
  <c r="H18" i="4332"/>
  <c r="H33" i="4332"/>
  <c r="H15" i="4332"/>
  <c r="H32" i="4332"/>
  <c r="H10" i="4332"/>
  <c r="H31" i="4332"/>
  <c r="H30" i="4332"/>
  <c r="H14" i="4332"/>
  <c r="H29" i="4332"/>
  <c r="C25" i="4332"/>
  <c r="H28" i="4332"/>
  <c r="H8" i="4332"/>
  <c r="H27" i="4332"/>
  <c r="B22" i="4332"/>
  <c r="H13" i="4332"/>
  <c r="H26" i="4332"/>
  <c r="C20" i="4332"/>
  <c r="H25" i="4332"/>
  <c r="H24" i="4332"/>
  <c r="H17" i="4332"/>
  <c r="B17" i="4332"/>
  <c r="B21" i="4332" s="1"/>
  <c r="H23" i="4332"/>
  <c r="C16" i="4332"/>
  <c r="H22" i="4332"/>
  <c r="C15" i="4332"/>
  <c r="H21" i="4332"/>
  <c r="C14" i="4332"/>
  <c r="H20" i="4332"/>
  <c r="C13" i="4332"/>
  <c r="O12" i="4332"/>
  <c r="H19" i="4332"/>
  <c r="C12" i="4332"/>
  <c r="O11" i="4332"/>
  <c r="H4" i="4332"/>
  <c r="C11" i="4332"/>
  <c r="O10" i="4332"/>
  <c r="H16" i="4332"/>
  <c r="C10" i="4332"/>
  <c r="H12" i="4332"/>
  <c r="C9" i="4332"/>
  <c r="H9" i="4332"/>
  <c r="C8" i="4332"/>
  <c r="O7" i="4332"/>
  <c r="H6" i="4332"/>
  <c r="C7" i="4332"/>
  <c r="O6" i="4332"/>
  <c r="H2" i="4332"/>
  <c r="B6" i="4332"/>
  <c r="O5" i="4332"/>
  <c r="H7" i="4332"/>
  <c r="B5" i="4332"/>
  <c r="O4" i="4332"/>
  <c r="H3" i="4332"/>
  <c r="O3" i="4332"/>
  <c r="H11" i="4332"/>
  <c r="O2" i="4332"/>
  <c r="H5" i="4332"/>
  <c r="O20" i="4330"/>
  <c r="O22" i="4330"/>
  <c r="H51" i="4330"/>
  <c r="H50" i="4330"/>
  <c r="H49" i="4330"/>
  <c r="H48" i="4330"/>
  <c r="H47" i="4330"/>
  <c r="H46" i="4330"/>
  <c r="H45" i="4330"/>
  <c r="H44" i="4330"/>
  <c r="H43" i="4330"/>
  <c r="H42" i="4330"/>
  <c r="H41" i="4330"/>
  <c r="H40" i="4330"/>
  <c r="H39" i="4330"/>
  <c r="H38" i="4330"/>
  <c r="H37" i="4330"/>
  <c r="H36" i="4330"/>
  <c r="H35" i="4330"/>
  <c r="H34" i="4330"/>
  <c r="H33" i="4330"/>
  <c r="H21" i="4330"/>
  <c r="H16" i="4330"/>
  <c r="H32" i="4330"/>
  <c r="H8" i="4330"/>
  <c r="H26" i="4330"/>
  <c r="H25" i="4330"/>
  <c r="H12" i="4330"/>
  <c r="H20" i="4330"/>
  <c r="C25" i="4330"/>
  <c r="H19" i="4330"/>
  <c r="H13" i="4330"/>
  <c r="H31" i="4330"/>
  <c r="B22" i="4330"/>
  <c r="H14" i="4330"/>
  <c r="H24" i="4330"/>
  <c r="C20" i="4330"/>
  <c r="H30" i="4330"/>
  <c r="H18" i="4330"/>
  <c r="H17" i="4330"/>
  <c r="B17" i="4330"/>
  <c r="B21" i="4330" s="1"/>
  <c r="H29" i="4330"/>
  <c r="C16" i="4330"/>
  <c r="H28" i="4330"/>
  <c r="C15" i="4330"/>
  <c r="H27" i="4330"/>
  <c r="C14" i="4330"/>
  <c r="H23" i="4330"/>
  <c r="C13" i="4330"/>
  <c r="O12" i="4330"/>
  <c r="H22" i="4330"/>
  <c r="C12" i="4330"/>
  <c r="O11" i="4330"/>
  <c r="H5" i="4330"/>
  <c r="C11" i="4330"/>
  <c r="O10" i="4330"/>
  <c r="H15" i="4330"/>
  <c r="C10" i="4330"/>
  <c r="H11" i="4330"/>
  <c r="C9" i="4330"/>
  <c r="H9" i="4330"/>
  <c r="C8" i="4330"/>
  <c r="O7" i="4330"/>
  <c r="H6" i="4330"/>
  <c r="C7" i="4330"/>
  <c r="O6" i="4330"/>
  <c r="H2" i="4330"/>
  <c r="B6" i="4330"/>
  <c r="O5" i="4330"/>
  <c r="H7" i="4330"/>
  <c r="B5" i="4330"/>
  <c r="O4" i="4330"/>
  <c r="H3" i="4330"/>
  <c r="O3" i="4330"/>
  <c r="H10" i="4330"/>
  <c r="O2" i="4330"/>
  <c r="H4" i="4330"/>
  <c r="O25" i="4324"/>
  <c r="O21" i="4324"/>
  <c r="O25" i="4322"/>
  <c r="O21" i="4322"/>
  <c r="C18" i="4332" l="1"/>
  <c r="C17" i="4332"/>
  <c r="C19" i="4332"/>
  <c r="C18" i="4330"/>
  <c r="C17" i="4330"/>
  <c r="C19" i="4330"/>
  <c r="O15" i="4328" l="1"/>
  <c r="O17" i="4328"/>
  <c r="H51" i="4328"/>
  <c r="H50" i="4328"/>
  <c r="H49" i="4328"/>
  <c r="H48" i="4328"/>
  <c r="H47" i="4328"/>
  <c r="H46" i="4328"/>
  <c r="H45" i="4328"/>
  <c r="H44" i="4328"/>
  <c r="H43" i="4328"/>
  <c r="H42" i="4328"/>
  <c r="H41" i="4328"/>
  <c r="H40" i="4328"/>
  <c r="H39" i="4328"/>
  <c r="H38" i="4328"/>
  <c r="H37" i="4328"/>
  <c r="H36" i="4328"/>
  <c r="H35" i="4328"/>
  <c r="H34" i="4328"/>
  <c r="H33" i="4328"/>
  <c r="H32" i="4328"/>
  <c r="H31" i="4328"/>
  <c r="H30" i="4328"/>
  <c r="H7" i="4328"/>
  <c r="H29" i="4328"/>
  <c r="H28" i="4328"/>
  <c r="H12" i="4328"/>
  <c r="H27" i="4328"/>
  <c r="C25" i="4328"/>
  <c r="H26" i="4328"/>
  <c r="H11" i="4328"/>
  <c r="H25" i="4328"/>
  <c r="B22" i="4328"/>
  <c r="H24" i="4328"/>
  <c r="H23" i="4328"/>
  <c r="C20" i="4328"/>
  <c r="H22" i="4328"/>
  <c r="H21" i="4328"/>
  <c r="H20" i="4328"/>
  <c r="B17" i="4328"/>
  <c r="B21" i="4328" s="1"/>
  <c r="H19" i="4328"/>
  <c r="C16" i="4328"/>
  <c r="H18" i="4328"/>
  <c r="C15" i="4328"/>
  <c r="H17" i="4328"/>
  <c r="C14" i="4328"/>
  <c r="H16" i="4328"/>
  <c r="C13" i="4328"/>
  <c r="O12" i="4328"/>
  <c r="H15" i="4328"/>
  <c r="C12" i="4328"/>
  <c r="O11" i="4328"/>
  <c r="H3" i="4328"/>
  <c r="C11" i="4328"/>
  <c r="O10" i="4328"/>
  <c r="H10" i="4328"/>
  <c r="C10" i="4328"/>
  <c r="H14" i="4328"/>
  <c r="C9" i="4328"/>
  <c r="H9" i="4328"/>
  <c r="C8" i="4328"/>
  <c r="O7" i="4328"/>
  <c r="H8" i="4328"/>
  <c r="C7" i="4328"/>
  <c r="O6" i="4328"/>
  <c r="H6" i="4328"/>
  <c r="B6" i="4328"/>
  <c r="O5" i="4328"/>
  <c r="H5" i="4328"/>
  <c r="B5" i="4328"/>
  <c r="O4" i="4328"/>
  <c r="H2" i="4328"/>
  <c r="O3" i="4328"/>
  <c r="H13" i="4328"/>
  <c r="O2" i="4328"/>
  <c r="H4" i="4328"/>
  <c r="O17" i="4326"/>
  <c r="O16" i="4326"/>
  <c r="H51" i="4326"/>
  <c r="H50" i="4326"/>
  <c r="H49" i="4326"/>
  <c r="H48" i="4326"/>
  <c r="H47" i="4326"/>
  <c r="H46" i="4326"/>
  <c r="H45" i="4326"/>
  <c r="H44" i="4326"/>
  <c r="H43" i="4326"/>
  <c r="H42" i="4326"/>
  <c r="H41" i="4326"/>
  <c r="H40" i="4326"/>
  <c r="H39" i="4326"/>
  <c r="H38" i="4326"/>
  <c r="H37" i="4326"/>
  <c r="H36" i="4326"/>
  <c r="H35" i="4326"/>
  <c r="H34" i="4326"/>
  <c r="H33" i="4326"/>
  <c r="H32" i="4326"/>
  <c r="H31" i="4326"/>
  <c r="H30" i="4326"/>
  <c r="H29" i="4326"/>
  <c r="H28" i="4326"/>
  <c r="H27" i="4326"/>
  <c r="H26" i="4326"/>
  <c r="H25" i="4326"/>
  <c r="C25" i="4326"/>
  <c r="H24" i="4326"/>
  <c r="H23" i="4326"/>
  <c r="H22" i="4326"/>
  <c r="B22" i="4326"/>
  <c r="H21" i="4326"/>
  <c r="H20" i="4326"/>
  <c r="C20" i="4326"/>
  <c r="H19" i="4326"/>
  <c r="H18" i="4326"/>
  <c r="C18" i="4326"/>
  <c r="H17" i="4326"/>
  <c r="C17" i="4326"/>
  <c r="B17" i="4326"/>
  <c r="B21" i="4326" s="1"/>
  <c r="H16" i="4326"/>
  <c r="C16" i="4326"/>
  <c r="H15" i="4326"/>
  <c r="C15" i="4326"/>
  <c r="H14" i="4326"/>
  <c r="C14" i="4326"/>
  <c r="H13" i="4326"/>
  <c r="C13" i="4326"/>
  <c r="O12" i="4326"/>
  <c r="H12" i="4326"/>
  <c r="C12" i="4326"/>
  <c r="O11" i="4326"/>
  <c r="H11" i="4326"/>
  <c r="C11" i="4326"/>
  <c r="O10" i="4326"/>
  <c r="H10" i="4326"/>
  <c r="C10" i="4326"/>
  <c r="H9" i="4326"/>
  <c r="C9" i="4326"/>
  <c r="H8" i="4326"/>
  <c r="C8" i="4326"/>
  <c r="O7" i="4326"/>
  <c r="H7" i="4326"/>
  <c r="C7" i="4326"/>
  <c r="O6" i="4326"/>
  <c r="H6" i="4326"/>
  <c r="B6" i="4326"/>
  <c r="O5" i="4326"/>
  <c r="H5" i="4326"/>
  <c r="B5" i="4326"/>
  <c r="O4" i="4326"/>
  <c r="H4" i="4326"/>
  <c r="O3" i="4326"/>
  <c r="H3" i="4326"/>
  <c r="O2" i="4326"/>
  <c r="H2" i="4326"/>
  <c r="O26" i="4322"/>
  <c r="O23" i="4324"/>
  <c r="O16" i="4324"/>
  <c r="H51" i="4324"/>
  <c r="H50" i="4324"/>
  <c r="H49" i="4324"/>
  <c r="H48" i="4324"/>
  <c r="H47" i="4324"/>
  <c r="H29" i="4324"/>
  <c r="H46" i="4324"/>
  <c r="H45" i="4324"/>
  <c r="H44" i="4324"/>
  <c r="H43" i="4324"/>
  <c r="H42" i="4324"/>
  <c r="H41" i="4324"/>
  <c r="H40" i="4324"/>
  <c r="H39" i="4324"/>
  <c r="H38" i="4324"/>
  <c r="H37" i="4324"/>
  <c r="H28" i="4324"/>
  <c r="H36" i="4324"/>
  <c r="H27" i="4324"/>
  <c r="H22" i="4324"/>
  <c r="H16" i="4324"/>
  <c r="H26" i="4324"/>
  <c r="H8" i="4324"/>
  <c r="H35" i="4324"/>
  <c r="H25" i="4324"/>
  <c r="H12" i="4324"/>
  <c r="H24" i="4324"/>
  <c r="C25" i="4324"/>
  <c r="H34" i="4324"/>
  <c r="H14" i="4324"/>
  <c r="H33" i="4324"/>
  <c r="B22" i="4324"/>
  <c r="H15" i="4324"/>
  <c r="H32" i="4324"/>
  <c r="C20" i="4324"/>
  <c r="H31" i="4324"/>
  <c r="H18" i="4324"/>
  <c r="H17" i="4324"/>
  <c r="B17" i="4324"/>
  <c r="B21" i="4324" s="1"/>
  <c r="H20" i="4324"/>
  <c r="C16" i="4324"/>
  <c r="H30" i="4324"/>
  <c r="C15" i="4324"/>
  <c r="H19" i="4324"/>
  <c r="C14" i="4324"/>
  <c r="H23" i="4324"/>
  <c r="C13" i="4324"/>
  <c r="O12" i="4324"/>
  <c r="H21" i="4324"/>
  <c r="C12" i="4324"/>
  <c r="O11" i="4324"/>
  <c r="H5" i="4324"/>
  <c r="C11" i="4324"/>
  <c r="O10" i="4324"/>
  <c r="H13" i="4324"/>
  <c r="C10" i="4324"/>
  <c r="H11" i="4324"/>
  <c r="C9" i="4324"/>
  <c r="H9" i="4324"/>
  <c r="C8" i="4324"/>
  <c r="O7" i="4324"/>
  <c r="H7" i="4324"/>
  <c r="C7" i="4324"/>
  <c r="O6" i="4324"/>
  <c r="H2" i="4324"/>
  <c r="B6" i="4324"/>
  <c r="O5" i="4324"/>
  <c r="H6" i="4324"/>
  <c r="B5" i="4324"/>
  <c r="O4" i="4324"/>
  <c r="H3" i="4324"/>
  <c r="O3" i="4324"/>
  <c r="H10" i="4324"/>
  <c r="O2" i="4324"/>
  <c r="O20" i="4322"/>
  <c r="O15" i="4322"/>
  <c r="H51" i="4322"/>
  <c r="H50" i="4322"/>
  <c r="H49" i="4322"/>
  <c r="H48" i="4322"/>
  <c r="H47" i="4322"/>
  <c r="H32" i="4322"/>
  <c r="H46" i="4322"/>
  <c r="H45" i="4322"/>
  <c r="H44" i="4322"/>
  <c r="H43" i="4322"/>
  <c r="H42" i="4322"/>
  <c r="H41" i="4322"/>
  <c r="H40" i="4322"/>
  <c r="H39" i="4322"/>
  <c r="H38" i="4322"/>
  <c r="H37" i="4322"/>
  <c r="H31" i="4322"/>
  <c r="H36" i="4322"/>
  <c r="H24" i="4322"/>
  <c r="H22" i="4322"/>
  <c r="H17" i="4322"/>
  <c r="H28" i="4322"/>
  <c r="H8" i="4322"/>
  <c r="H30" i="4322"/>
  <c r="H27" i="4322"/>
  <c r="H12" i="4322"/>
  <c r="H23" i="4322"/>
  <c r="C25" i="4322"/>
  <c r="H26" i="4322"/>
  <c r="H14" i="4322"/>
  <c r="H35" i="4322"/>
  <c r="B22" i="4322"/>
  <c r="H16" i="4322"/>
  <c r="H29" i="4322"/>
  <c r="C20" i="4322"/>
  <c r="H34" i="4322"/>
  <c r="H18" i="4322"/>
  <c r="H15" i="4322"/>
  <c r="B17" i="4322"/>
  <c r="B21" i="4322" s="1"/>
  <c r="H21" i="4322"/>
  <c r="C16" i="4322"/>
  <c r="H33" i="4322"/>
  <c r="C15" i="4322"/>
  <c r="H20" i="4322"/>
  <c r="C14" i="4322"/>
  <c r="H25" i="4322"/>
  <c r="C13" i="4322"/>
  <c r="O12" i="4322"/>
  <c r="H19" i="4322"/>
  <c r="C12" i="4322"/>
  <c r="O11" i="4322"/>
  <c r="H4" i="4322"/>
  <c r="C11" i="4322"/>
  <c r="O10" i="4322"/>
  <c r="H13" i="4322"/>
  <c r="C10" i="4322"/>
  <c r="H11" i="4322"/>
  <c r="C9" i="4322"/>
  <c r="H9" i="4322"/>
  <c r="C8" i="4322"/>
  <c r="O7" i="4322"/>
  <c r="H6" i="4322"/>
  <c r="C7" i="4322"/>
  <c r="O6" i="4322"/>
  <c r="H2" i="4322"/>
  <c r="B6" i="4322"/>
  <c r="O5" i="4322"/>
  <c r="H7" i="4322"/>
  <c r="B5" i="4322"/>
  <c r="O4" i="4322"/>
  <c r="H3" i="4322"/>
  <c r="O3" i="4322"/>
  <c r="H10" i="4322"/>
  <c r="O2" i="4322"/>
  <c r="H5" i="4322"/>
  <c r="C19" i="4326" l="1"/>
  <c r="C18" i="4328"/>
  <c r="C17" i="4328"/>
  <c r="C19" i="4328"/>
  <c r="C18" i="4324"/>
  <c r="C17" i="4324"/>
  <c r="C19" i="4324"/>
  <c r="C17" i="4322"/>
  <c r="C18" i="4322"/>
  <c r="C19" i="432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<sst xmlns="http://schemas.openxmlformats.org/spreadsheetml/2006/main" count="3617" uniqueCount="264">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</sst>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全体!$K$2:$K$881</c:f>
              <c:numCache>
                <c:formatCode>General</c:formatCode>
                <c:ptCount val="8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</c:numCache>
            </c:numRef>
          </c:xVal>
          <c:yVal>
            <c:numRef>
              <c:f>全体!$L$2:$L$881</c:f>
              <c:numCache>
                <c:formatCode>\+0.0;\-0.0;\±0</c:formatCode>
                <c:ptCount val="88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A-4FDC-AAB9-6254A5C1F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-16.147635524798154</c:v>
                </c:pt>
                <c:pt idx="1">
                  <c:v>-3.5971223021582732</c:v>
                </c:pt>
                <c:pt idx="2">
                  <c:v>6.4102564102564106</c:v>
                </c:pt>
                <c:pt idx="3">
                  <c:v>2.8490028490028489</c:v>
                </c:pt>
                <c:pt idx="4">
                  <c:v>11.382113821138212</c:v>
                </c:pt>
                <c:pt idx="5">
                  <c:v>-8.0808080808080813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233-AF3A-F3A1C3A8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だいち!$K$2:$K$252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xVal>
          <c:yVal>
            <c:numRef>
              <c:f>だいち!$L$2:$L$252</c:f>
              <c:numCache>
                <c:formatCode>\+0.0;\-0.0;\±0</c:formatCode>
                <c:ptCount val="25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0-4A06-8D24-33D1F1F6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1398.3739837398373</c:v>
                </c:pt>
                <c:pt idx="1">
                  <c:v>510.97046413502107</c:v>
                </c:pt>
                <c:pt idx="2">
                  <c:v>1926.6968325791854</c:v>
                </c:pt>
                <c:pt idx="3">
                  <c:v>1685.929648241206</c:v>
                </c:pt>
                <c:pt idx="4">
                  <c:v>1512.6436781609195</c:v>
                </c:pt>
                <c:pt idx="5">
                  <c:v>1950.3546099290779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7-4FF5-AB78-58C8729D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C-4EF7-B697-7D81ABD06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04B-9118-DDC93306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B-40AA-B3A1-1A95A5A42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C5B-B2A8-D799F609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りくと!$K$2:$K$138</c:f>
              <c:numCache>
                <c:formatCode>General</c:formatCode>
                <c:ptCount val="1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</c:numCache>
            </c:numRef>
          </c:xVal>
          <c:yVal>
            <c:numRef>
              <c:f>りくと!$L$2:$L$138</c:f>
              <c:numCache>
                <c:formatCode>\+0.0;\-0.0;\±0</c:formatCode>
                <c:ptCount val="1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E-4C25-A835-9C34C31F5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-854.47761194029852</c:v>
                </c:pt>
                <c:pt idx="1">
                  <c:v>-1213.8461538461538</c:v>
                </c:pt>
                <c:pt idx="2">
                  <c:v>1375.2</c:v>
                </c:pt>
                <c:pt idx="3">
                  <c:v>-887.5</c:v>
                </c:pt>
                <c:pt idx="4">
                  <c:v>-1951.0416666666667</c:v>
                </c:pt>
                <c:pt idx="5">
                  <c:v>-1737.3333333333333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E-4B42-B6A3-A0C59A33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いっしー!$L$2:$L$65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3-4ED0-B902-0FD30576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-331.74603174603175</c:v>
                </c:pt>
                <c:pt idx="1">
                  <c:v>2160</c:v>
                </c:pt>
                <c:pt idx="2">
                  <c:v>-1722.8070175438597</c:v>
                </c:pt>
                <c:pt idx="3">
                  <c:v>-566.66666666666663</c:v>
                </c:pt>
                <c:pt idx="4">
                  <c:v>6638.0952380952385</c:v>
                </c:pt>
                <c:pt idx="5">
                  <c:v>-550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D-4394-81E0-25A1F18C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1-4940-82D9-DD55F92F9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A0F-8C00-A135937F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たかの!$L$2:$L$84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6-4A9E-B7CB-5B19F9D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-1057.3170731707316</c:v>
                </c:pt>
                <c:pt idx="1">
                  <c:v>-2968.8311688311687</c:v>
                </c:pt>
                <c:pt idx="2">
                  <c:v>-1101.4492753623188</c:v>
                </c:pt>
                <c:pt idx="3">
                  <c:v>-586.36363636363637</c:v>
                </c:pt>
                <c:pt idx="4">
                  <c:v>-1312.7272727272727</c:v>
                </c:pt>
                <c:pt idx="5">
                  <c:v>-761.36363636363637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1-4009-858B-2856EDA54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ただ!$L$2:$L$122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FB-4C11-9970-21DC4CC7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1119.4915254237287</c:v>
                </c:pt>
                <c:pt idx="1">
                  <c:v>718.01801801801798</c:v>
                </c:pt>
                <c:pt idx="2">
                  <c:v>-116.50485436893204</c:v>
                </c:pt>
                <c:pt idx="3">
                  <c:v>-872.1649484536083</c:v>
                </c:pt>
                <c:pt idx="4">
                  <c:v>1021.4285714285714</c:v>
                </c:pt>
                <c:pt idx="5">
                  <c:v>-646.47887323943667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8-4DCD-8929-7619802F1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B-4108-84DD-7BFF184D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F-4726-B1EF-14353172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れんたろう!$K$2:$K$130</c:f>
              <c:numCache>
                <c:formatCode>General</c:formatCode>
                <c:ptCount val="1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</c:numCache>
            </c:numRef>
          </c:xVal>
          <c:yVal>
            <c:numRef>
              <c:f>れんたろう!$L$2:$L$130</c:f>
              <c:numCache>
                <c:formatCode>\+0.0;\-0.0;\±0</c:formatCode>
                <c:ptCount val="12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B-4F93-9624-883812D28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-1262.0967741935483</c:v>
                </c:pt>
                <c:pt idx="1">
                  <c:v>595.08196721311481</c:v>
                </c:pt>
                <c:pt idx="2">
                  <c:v>-87.931034482758619</c:v>
                </c:pt>
                <c:pt idx="3">
                  <c:v>-93.333333333333329</c:v>
                </c:pt>
                <c:pt idx="4">
                  <c:v>-2632.9896907216494</c:v>
                </c:pt>
                <c:pt idx="5">
                  <c:v>601.2658227848101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A-4A18-ACC1-A92F88D3E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C-49C4-BFB2-B57801C7D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1-4FEB-9118-16ECCDD7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8-45F9-B8CC-9D05D696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5-4698-9DAB-F593A675A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417-B111-15DDF9CBD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B-4980-84D9-DED1FA8C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3"/>
      <c r="C1" s="15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40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5">
        <v>0</v>
      </c>
      <c r="C3" s="156"/>
      <c r="E3" s="65" t="s">
        <v>68</v>
      </c>
      <c r="F3" s="29" t="s">
        <v>22</v>
      </c>
      <c r="G3" s="15">
        <v>0</v>
      </c>
      <c r="H3" s="141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7">
        <v>0</v>
      </c>
      <c r="C4" s="158"/>
      <c r="E4" s="65" t="s">
        <v>69</v>
      </c>
      <c r="F4" s="29" t="s">
        <v>23</v>
      </c>
      <c r="G4" s="15">
        <v>0</v>
      </c>
      <c r="H4" s="141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9">
        <f>IF(B$2=0,0,B$4/B$2)</f>
        <v>0</v>
      </c>
      <c r="C5" s="160"/>
      <c r="E5" s="65" t="s">
        <v>70</v>
      </c>
      <c r="F5" s="29" t="s">
        <v>24</v>
      </c>
      <c r="G5" s="15">
        <v>0</v>
      </c>
      <c r="H5" s="141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7">
        <f>IF(B$2=0,0,(B$7*1+B$8*2+B$9*3)/B$2)</f>
        <v>0</v>
      </c>
      <c r="C6" s="148"/>
      <c r="E6" s="65" t="s">
        <v>71</v>
      </c>
      <c r="F6" s="29" t="s">
        <v>25</v>
      </c>
      <c r="G6" s="15">
        <v>0</v>
      </c>
      <c r="H6" s="141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41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41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41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41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41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41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41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41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41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41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41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41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41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41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41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41">
        <f t="shared" si="0"/>
        <v>0</v>
      </c>
      <c r="I22" s="100"/>
    </row>
    <row r="23" spans="1:9" x14ac:dyDescent="0.4">
      <c r="A23" s="96" t="s">
        <v>158</v>
      </c>
      <c r="B23" s="145">
        <v>0</v>
      </c>
      <c r="C23" s="146"/>
      <c r="E23" s="65" t="s">
        <v>88</v>
      </c>
      <c r="F23" s="29" t="s">
        <v>41</v>
      </c>
      <c r="G23" s="15">
        <v>0</v>
      </c>
      <c r="H23" s="141">
        <f t="shared" si="0"/>
        <v>0</v>
      </c>
      <c r="I23" s="100"/>
    </row>
    <row r="24" spans="1:9" x14ac:dyDescent="0.4">
      <c r="A24" s="60" t="s">
        <v>199</v>
      </c>
      <c r="B24" s="143">
        <v>0</v>
      </c>
      <c r="C24" s="144"/>
      <c r="E24" s="65" t="s">
        <v>89</v>
      </c>
      <c r="F24" s="29" t="s">
        <v>42</v>
      </c>
      <c r="G24" s="15">
        <v>0</v>
      </c>
      <c r="H24" s="141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41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41">
        <f t="shared" si="0"/>
        <v>0</v>
      </c>
      <c r="I26" s="100"/>
    </row>
    <row r="27" spans="1:9" x14ac:dyDescent="0.4">
      <c r="A27" s="25" t="s">
        <v>127</v>
      </c>
      <c r="B27" s="151">
        <v>0</v>
      </c>
      <c r="C27" s="152"/>
      <c r="E27" s="65" t="s">
        <v>92</v>
      </c>
      <c r="F27" s="29" t="s">
        <v>45</v>
      </c>
      <c r="G27" s="15">
        <v>0</v>
      </c>
      <c r="H27" s="141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41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41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41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41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41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41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41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41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41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41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41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41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41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41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41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41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41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41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41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41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41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41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41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2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7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261</v>
      </c>
      <c r="B65" s="33">
        <v>43518.086493055554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262</v>
      </c>
      <c r="B66" s="33">
        <v>43519.136712962965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263</v>
      </c>
      <c r="B67" s="33">
        <v>43519.991527777776</v>
      </c>
      <c r="C67" s="32" t="s">
        <v>140</v>
      </c>
      <c r="D67" s="32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246</v>
      </c>
      <c r="K1" s="162"/>
      <c r="L1" s="161" t="s">
        <v>195</v>
      </c>
      <c r="M1" s="162"/>
      <c r="N1" s="161" t="s">
        <v>196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156</v>
      </c>
      <c r="W1" s="162"/>
      <c r="X1" s="161" t="s">
        <v>241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197</v>
      </c>
      <c r="AG1" s="162"/>
      <c r="AH1" s="161" t="s">
        <v>160</v>
      </c>
      <c r="AI1" s="162"/>
      <c r="AJ1" s="161" t="s">
        <v>198</v>
      </c>
      <c r="AK1" s="162"/>
      <c r="AL1" s="161" t="s">
        <v>200</v>
      </c>
      <c r="AM1" s="162"/>
      <c r="AN1" s="161" t="s">
        <v>247</v>
      </c>
      <c r="AO1" s="162"/>
    </row>
    <row r="2" spans="1:41" x14ac:dyDescent="0.4">
      <c r="A2" s="74" t="s">
        <v>245</v>
      </c>
      <c r="B2" s="163"/>
      <c r="C2" s="164"/>
      <c r="D2" s="163"/>
      <c r="E2" s="164"/>
      <c r="F2" s="165">
        <v>0.98820364884103551</v>
      </c>
      <c r="G2" s="166"/>
      <c r="H2" s="165">
        <v>0.95455665632639031</v>
      </c>
      <c r="I2" s="166"/>
      <c r="J2" s="165">
        <v>0.98631279078526324</v>
      </c>
      <c r="K2" s="166"/>
      <c r="L2" s="165">
        <v>0.95883792790973232</v>
      </c>
      <c r="M2" s="166"/>
      <c r="N2" s="165">
        <v>0.86844361462186348</v>
      </c>
      <c r="O2" s="166"/>
      <c r="P2" s="165">
        <v>0.51347394371997268</v>
      </c>
      <c r="Q2" s="166"/>
      <c r="R2" s="165">
        <v>-0.1081770927182517</v>
      </c>
      <c r="S2" s="166"/>
      <c r="T2" s="165">
        <v>0.95848207460264068</v>
      </c>
      <c r="U2" s="166"/>
      <c r="V2" s="165">
        <v>0.98727402732676195</v>
      </c>
      <c r="W2" s="166"/>
      <c r="X2" s="165">
        <v>0.52390332327906963</v>
      </c>
      <c r="Y2" s="166"/>
      <c r="Z2" s="165">
        <v>0.72851293847349463</v>
      </c>
      <c r="AA2" s="166"/>
      <c r="AB2" s="165">
        <v>-0.47187138298116588</v>
      </c>
      <c r="AC2" s="166"/>
      <c r="AD2" s="165">
        <v>0.85236371001521938</v>
      </c>
      <c r="AE2" s="166"/>
      <c r="AF2" s="165">
        <v>0.56872330924498105</v>
      </c>
      <c r="AG2" s="166"/>
      <c r="AH2" s="165">
        <v>7.8862210579202563E-2</v>
      </c>
      <c r="AI2" s="166"/>
      <c r="AJ2" s="165">
        <v>0.74795267174858027</v>
      </c>
      <c r="AK2" s="166"/>
      <c r="AL2" s="165">
        <v>0.86224518969856956</v>
      </c>
      <c r="AM2" s="166"/>
      <c r="AN2" s="165">
        <v>0.15311402962753476</v>
      </c>
      <c r="AO2" s="166"/>
    </row>
    <row r="3" spans="1:41" x14ac:dyDescent="0.4">
      <c r="A3" s="76">
        <v>1</v>
      </c>
      <c r="B3" s="77" t="s">
        <v>133</v>
      </c>
      <c r="C3" s="78">
        <v>1800.5999999999997</v>
      </c>
      <c r="D3" s="79" t="s">
        <v>194</v>
      </c>
      <c r="E3" s="102">
        <v>7.833333333333333</v>
      </c>
      <c r="F3" s="79" t="s">
        <v>133</v>
      </c>
      <c r="G3" s="80">
        <v>1.748</v>
      </c>
      <c r="H3" s="79" t="s">
        <v>194</v>
      </c>
      <c r="I3" s="81">
        <v>0.5</v>
      </c>
      <c r="J3" s="79" t="s">
        <v>133</v>
      </c>
      <c r="K3" s="81">
        <v>0.19600000000000001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0.35483870967741937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243.20000000000005</v>
      </c>
      <c r="D4" s="89" t="s">
        <v>133</v>
      </c>
      <c r="E4" s="103">
        <v>7.202399999999999</v>
      </c>
      <c r="F4" s="89" t="s">
        <v>194</v>
      </c>
      <c r="G4" s="90">
        <v>1.8333333333333333</v>
      </c>
      <c r="H4" s="89" t="s">
        <v>133</v>
      </c>
      <c r="I4" s="91">
        <v>0.44800000000000001</v>
      </c>
      <c r="J4" s="89" t="s">
        <v>167</v>
      </c>
      <c r="K4" s="91">
        <v>0.25</v>
      </c>
      <c r="L4" s="89" t="s">
        <v>133</v>
      </c>
      <c r="M4" s="92">
        <v>0.35559088500264968</v>
      </c>
      <c r="N4" s="89" t="s">
        <v>133</v>
      </c>
      <c r="O4" s="92">
        <v>0.13990461049284578</v>
      </c>
      <c r="P4" s="89" t="s">
        <v>138</v>
      </c>
      <c r="Q4" s="93">
        <v>11054.794520547945</v>
      </c>
      <c r="R4" s="89" t="s">
        <v>157</v>
      </c>
      <c r="S4" s="93">
        <v>-8745.2830188679254</v>
      </c>
      <c r="T4" s="89" t="s">
        <v>133</v>
      </c>
      <c r="U4" s="91">
        <v>9.6000000000000002E-2</v>
      </c>
      <c r="V4" s="89" t="s">
        <v>133</v>
      </c>
      <c r="W4" s="91">
        <v>0.188</v>
      </c>
      <c r="X4" s="89" t="s">
        <v>133</v>
      </c>
      <c r="Y4" s="91">
        <v>0.104</v>
      </c>
      <c r="Z4" s="89" t="s">
        <v>194</v>
      </c>
      <c r="AA4" s="92">
        <v>0.42</v>
      </c>
      <c r="AB4" s="89" t="s">
        <v>135</v>
      </c>
      <c r="AC4" s="92">
        <v>0.30875576036866359</v>
      </c>
      <c r="AD4" s="89" t="s">
        <v>133</v>
      </c>
      <c r="AE4" s="92">
        <v>0.65137614678899081</v>
      </c>
      <c r="AF4" s="89" t="s">
        <v>194</v>
      </c>
      <c r="AG4" s="92">
        <v>0.5</v>
      </c>
      <c r="AH4" s="89" t="s">
        <v>136</v>
      </c>
      <c r="AI4" s="92">
        <v>0.47701149425287354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195.79999999999981</v>
      </c>
      <c r="D5" s="89" t="s">
        <v>135</v>
      </c>
      <c r="E5" s="103">
        <v>3.8603174603174613</v>
      </c>
      <c r="F5" s="89" t="s">
        <v>137</v>
      </c>
      <c r="G5" s="90">
        <v>1.925</v>
      </c>
      <c r="H5" s="89" t="s">
        <v>137</v>
      </c>
      <c r="I5" s="91">
        <v>0.375</v>
      </c>
      <c r="J5" s="89" t="s">
        <v>135</v>
      </c>
      <c r="K5" s="91">
        <v>0.26984126984126983</v>
      </c>
      <c r="L5" s="89" t="s">
        <v>135</v>
      </c>
      <c r="M5" s="92">
        <v>0.34505494505494505</v>
      </c>
      <c r="N5" s="89" t="s">
        <v>135</v>
      </c>
      <c r="O5" s="92">
        <v>0.15604395604395604</v>
      </c>
      <c r="P5" s="89" t="s">
        <v>134</v>
      </c>
      <c r="Q5" s="93">
        <v>10943.840579710144</v>
      </c>
      <c r="R5" s="89" t="s">
        <v>138</v>
      </c>
      <c r="S5" s="93">
        <v>-8859.5744680851058</v>
      </c>
      <c r="T5" s="89" t="s">
        <v>135</v>
      </c>
      <c r="U5" s="91">
        <v>0.1111111111111111</v>
      </c>
      <c r="V5" s="89" t="s">
        <v>135</v>
      </c>
      <c r="W5" s="91">
        <v>0.17460317460317459</v>
      </c>
      <c r="X5" s="89" t="s">
        <v>139</v>
      </c>
      <c r="Y5" s="91">
        <v>9.375E-2</v>
      </c>
      <c r="Z5" s="89" t="s">
        <v>138</v>
      </c>
      <c r="AA5" s="92">
        <v>0.30851063829787234</v>
      </c>
      <c r="AB5" s="89" t="s">
        <v>136</v>
      </c>
      <c r="AC5" s="92">
        <v>0.27654867256637167</v>
      </c>
      <c r="AD5" s="89" t="s">
        <v>194</v>
      </c>
      <c r="AE5" s="92">
        <v>0.61904761904761907</v>
      </c>
      <c r="AF5" s="89" t="s">
        <v>133</v>
      </c>
      <c r="AG5" s="92">
        <v>0.48299319727891155</v>
      </c>
      <c r="AH5" s="89" t="s">
        <v>138</v>
      </c>
      <c r="AI5" s="92">
        <v>0.45205479452054792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1.631666666666665</v>
      </c>
      <c r="F6" s="89" t="s">
        <v>135</v>
      </c>
      <c r="G6" s="90">
        <v>1.9365079365079365</v>
      </c>
      <c r="H6" s="89" t="s">
        <v>135</v>
      </c>
      <c r="I6" s="91">
        <v>0.33333333333333331</v>
      </c>
      <c r="J6" s="89" t="s">
        <v>137</v>
      </c>
      <c r="K6" s="91">
        <v>0.3</v>
      </c>
      <c r="L6" s="89" t="s">
        <v>161</v>
      </c>
      <c r="M6" s="92">
        <v>0.30065652044165919</v>
      </c>
      <c r="N6" s="89" t="s">
        <v>137</v>
      </c>
      <c r="O6" s="92">
        <v>0.16079295154185022</v>
      </c>
      <c r="P6" s="89" t="s">
        <v>139</v>
      </c>
      <c r="Q6" s="93">
        <v>10627.561837455831</v>
      </c>
      <c r="R6" s="89" t="s">
        <v>135</v>
      </c>
      <c r="S6" s="93">
        <v>-9021.1267605633802</v>
      </c>
      <c r="T6" s="89" t="s">
        <v>137</v>
      </c>
      <c r="U6" s="91">
        <v>0.11666666666666667</v>
      </c>
      <c r="V6" s="89" t="s">
        <v>137</v>
      </c>
      <c r="W6" s="91">
        <v>0.16666666666666666</v>
      </c>
      <c r="X6" s="89" t="s">
        <v>137</v>
      </c>
      <c r="Y6" s="91">
        <v>9.166666666666666E-2</v>
      </c>
      <c r="Z6" s="89" t="s">
        <v>133</v>
      </c>
      <c r="AA6" s="92">
        <v>0.30468204053109715</v>
      </c>
      <c r="AB6" s="89" t="s">
        <v>250</v>
      </c>
      <c r="AC6" s="92">
        <v>0.27272727272727271</v>
      </c>
      <c r="AD6" s="89" t="s">
        <v>139</v>
      </c>
      <c r="AE6" s="92">
        <v>0.58419243986254299</v>
      </c>
      <c r="AF6" s="89" t="s">
        <v>135</v>
      </c>
      <c r="AG6" s="92">
        <v>0.41791044776119401</v>
      </c>
      <c r="AH6" s="89" t="s">
        <v>134</v>
      </c>
      <c r="AI6" s="92">
        <v>0.44927536231884058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-6.9999999999999432</v>
      </c>
      <c r="D7" s="89" t="s">
        <v>161</v>
      </c>
      <c r="E7" s="103">
        <v>-7.963594994311653E-3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137</v>
      </c>
      <c r="M7" s="92">
        <v>0.29955947136563876</v>
      </c>
      <c r="N7" s="89" t="s">
        <v>167</v>
      </c>
      <c r="O7" s="92">
        <v>0.16666666666666666</v>
      </c>
      <c r="P7" s="89" t="s">
        <v>137</v>
      </c>
      <c r="Q7" s="93">
        <v>10391.176470588236</v>
      </c>
      <c r="R7" s="89" t="s">
        <v>250</v>
      </c>
      <c r="S7" s="93">
        <v>-9190.9090909090901</v>
      </c>
      <c r="T7" s="89" t="s">
        <v>161</v>
      </c>
      <c r="U7" s="91">
        <v>0.15358361774744028</v>
      </c>
      <c r="V7" s="89" t="s">
        <v>194</v>
      </c>
      <c r="W7" s="91">
        <v>0.16666666666666666</v>
      </c>
      <c r="X7" s="89" t="s">
        <v>138</v>
      </c>
      <c r="Y7" s="91">
        <v>9.0909090909090912E-2</v>
      </c>
      <c r="Z7" s="89" t="s">
        <v>139</v>
      </c>
      <c r="AA7" s="92">
        <v>0.30407523510971785</v>
      </c>
      <c r="AB7" s="89" t="s">
        <v>161</v>
      </c>
      <c r="AC7" s="92">
        <v>0.21717744986757473</v>
      </c>
      <c r="AD7" s="89" t="s">
        <v>161</v>
      </c>
      <c r="AE7" s="92">
        <v>0.5837193911317009</v>
      </c>
      <c r="AF7" s="89" t="s">
        <v>161</v>
      </c>
      <c r="AG7" s="92">
        <v>0.39634146341463417</v>
      </c>
      <c r="AH7" s="89" t="s">
        <v>139</v>
      </c>
      <c r="AI7" s="92">
        <v>0.44169611307420492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0.28470824949698187</v>
      </c>
      <c r="N8" s="89" t="s">
        <v>161</v>
      </c>
      <c r="O8" s="92">
        <v>0.1708445240226798</v>
      </c>
      <c r="P8" s="89" t="s">
        <v>161</v>
      </c>
      <c r="Q8" s="93">
        <v>10155.086848635236</v>
      </c>
      <c r="R8" s="89" t="s">
        <v>137</v>
      </c>
      <c r="S8" s="93">
        <v>-9234.9315068493142</v>
      </c>
      <c r="T8" s="89" t="s">
        <v>194</v>
      </c>
      <c r="U8" s="91">
        <v>0.16666666666666666</v>
      </c>
      <c r="V8" s="89" t="s">
        <v>161</v>
      </c>
      <c r="W8" s="91">
        <v>0.15358361774744028</v>
      </c>
      <c r="X8" s="89" t="s">
        <v>250</v>
      </c>
      <c r="Y8" s="91">
        <v>8.3333333333333329E-2</v>
      </c>
      <c r="Z8" s="89" t="s">
        <v>137</v>
      </c>
      <c r="AA8" s="92">
        <v>0.29795396419437342</v>
      </c>
      <c r="AB8" s="89" t="s">
        <v>138</v>
      </c>
      <c r="AC8" s="92">
        <v>0.21276595744680851</v>
      </c>
      <c r="AD8" s="89" t="s">
        <v>134</v>
      </c>
      <c r="AE8" s="92">
        <v>0.5818965517241379</v>
      </c>
      <c r="AF8" s="89" t="s">
        <v>139</v>
      </c>
      <c r="AG8" s="92">
        <v>0.39106145251396646</v>
      </c>
      <c r="AH8" s="89" t="s">
        <v>137</v>
      </c>
      <c r="AI8" s="92">
        <v>0.4375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139</v>
      </c>
      <c r="E9" s="103">
        <v>-3.3132812499999988</v>
      </c>
      <c r="F9" s="89" t="s">
        <v>138</v>
      </c>
      <c r="G9" s="90">
        <v>2.0606060606060606</v>
      </c>
      <c r="H9" s="89" t="s">
        <v>134</v>
      </c>
      <c r="I9" s="91">
        <v>0.28676470588235292</v>
      </c>
      <c r="J9" s="89" t="s">
        <v>138</v>
      </c>
      <c r="K9" s="91">
        <v>0.39393939393939392</v>
      </c>
      <c r="L9" s="89" t="s">
        <v>136</v>
      </c>
      <c r="M9" s="92">
        <v>0.27531645569620256</v>
      </c>
      <c r="N9" s="89" t="s">
        <v>138</v>
      </c>
      <c r="O9" s="92">
        <v>0.17407407407407408</v>
      </c>
      <c r="P9" s="89" t="s">
        <v>133</v>
      </c>
      <c r="Q9" s="93">
        <v>9956.3338301043223</v>
      </c>
      <c r="R9" s="89" t="s">
        <v>133</v>
      </c>
      <c r="S9" s="93">
        <v>-9338.257575757576</v>
      </c>
      <c r="T9" s="89" t="s">
        <v>139</v>
      </c>
      <c r="U9" s="91">
        <v>0.1796875</v>
      </c>
      <c r="V9" s="89" t="s">
        <v>138</v>
      </c>
      <c r="W9" s="91">
        <v>0.15151515151515152</v>
      </c>
      <c r="X9" s="89" t="s">
        <v>161</v>
      </c>
      <c r="Y9" s="91">
        <v>8.0773606370875994E-2</v>
      </c>
      <c r="Z9" s="89" t="s">
        <v>134</v>
      </c>
      <c r="AA9" s="92">
        <v>0.29292929292929293</v>
      </c>
      <c r="AB9" s="89" t="s">
        <v>137</v>
      </c>
      <c r="AC9" s="92">
        <v>0.21227621483375958</v>
      </c>
      <c r="AD9" s="89" t="s">
        <v>135</v>
      </c>
      <c r="AE9" s="92">
        <v>0.5714285714285714</v>
      </c>
      <c r="AF9" s="89" t="s">
        <v>134</v>
      </c>
      <c r="AG9" s="92">
        <v>0.39007092198581561</v>
      </c>
      <c r="AH9" s="89" t="s">
        <v>135</v>
      </c>
      <c r="AI9" s="92">
        <v>0.43312101910828027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134</v>
      </c>
      <c r="E10" s="103">
        <v>-3.6573529411764705</v>
      </c>
      <c r="F10" s="89" t="s">
        <v>134</v>
      </c>
      <c r="G10" s="90">
        <v>2.1102941176470589</v>
      </c>
      <c r="H10" s="89" t="s">
        <v>139</v>
      </c>
      <c r="I10" s="91">
        <v>0.25</v>
      </c>
      <c r="J10" s="89" t="s">
        <v>134</v>
      </c>
      <c r="K10" s="91">
        <v>0.39705882352941174</v>
      </c>
      <c r="L10" s="89" t="s">
        <v>138</v>
      </c>
      <c r="M10" s="92">
        <v>0.27037037037037037</v>
      </c>
      <c r="N10" s="89" t="s">
        <v>136</v>
      </c>
      <c r="O10" s="92">
        <v>0.189873417721519</v>
      </c>
      <c r="P10" s="89" t="s">
        <v>135</v>
      </c>
      <c r="Q10" s="93">
        <v>9724.2038216560504</v>
      </c>
      <c r="R10" s="89" t="s">
        <v>161</v>
      </c>
      <c r="S10" s="93">
        <v>-9393.8864628820957</v>
      </c>
      <c r="T10" s="89" t="s">
        <v>138</v>
      </c>
      <c r="U10" s="91">
        <v>0.18181818181818182</v>
      </c>
      <c r="V10" s="89" t="s">
        <v>139</v>
      </c>
      <c r="W10" s="91">
        <v>0.1484375</v>
      </c>
      <c r="X10" s="89" t="s">
        <v>134</v>
      </c>
      <c r="Y10" s="91">
        <v>7.3529411764705885E-2</v>
      </c>
      <c r="Z10" s="89" t="s">
        <v>161</v>
      </c>
      <c r="AA10" s="92">
        <v>0.28584941354521376</v>
      </c>
      <c r="AB10" s="89" t="s">
        <v>133</v>
      </c>
      <c r="AC10" s="92">
        <v>0.20545073375262055</v>
      </c>
      <c r="AD10" s="89" t="s">
        <v>137</v>
      </c>
      <c r="AE10" s="92">
        <v>0.5622317596566524</v>
      </c>
      <c r="AF10" s="89" t="s">
        <v>137</v>
      </c>
      <c r="AG10" s="92">
        <v>0.38554216867469882</v>
      </c>
      <c r="AH10" s="89" t="s">
        <v>161</v>
      </c>
      <c r="AI10" s="92">
        <v>0.42034739454094294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167</v>
      </c>
      <c r="E11" s="103">
        <v>-3.875</v>
      </c>
      <c r="F11" s="89" t="s">
        <v>139</v>
      </c>
      <c r="G11" s="90">
        <v>2.15625</v>
      </c>
      <c r="H11" s="89" t="s">
        <v>167</v>
      </c>
      <c r="I11" s="91">
        <v>0.25</v>
      </c>
      <c r="J11" s="89" t="s">
        <v>171</v>
      </c>
      <c r="K11" s="91">
        <v>0.4</v>
      </c>
      <c r="L11" s="89" t="s">
        <v>171</v>
      </c>
      <c r="M11" s="92">
        <v>0.27027027027027029</v>
      </c>
      <c r="N11" s="89" t="s">
        <v>157</v>
      </c>
      <c r="O11" s="92">
        <v>0.18996415770609318</v>
      </c>
      <c r="P11" s="89" t="s">
        <v>157</v>
      </c>
      <c r="Q11" s="93">
        <v>9373.2142857142862</v>
      </c>
      <c r="R11" s="89" t="s">
        <v>139</v>
      </c>
      <c r="S11" s="93">
        <v>-9513.5416666666661</v>
      </c>
      <c r="T11" s="89" t="s">
        <v>134</v>
      </c>
      <c r="U11" s="91">
        <v>0.19117647058823528</v>
      </c>
      <c r="V11" s="89" t="s">
        <v>134</v>
      </c>
      <c r="W11" s="91">
        <v>0.125</v>
      </c>
      <c r="X11" s="89" t="s">
        <v>136</v>
      </c>
      <c r="Y11" s="91">
        <v>4.878048780487805E-2</v>
      </c>
      <c r="Z11" s="89" t="s">
        <v>136</v>
      </c>
      <c r="AA11" s="92">
        <v>0.27433628318584069</v>
      </c>
      <c r="AB11" s="89" t="s">
        <v>139</v>
      </c>
      <c r="AC11" s="92">
        <v>0.18704284221525602</v>
      </c>
      <c r="AD11" s="89" t="s">
        <v>138</v>
      </c>
      <c r="AE11" s="92">
        <v>0.5</v>
      </c>
      <c r="AF11" s="89" t="s">
        <v>136</v>
      </c>
      <c r="AG11" s="92">
        <v>0.36</v>
      </c>
      <c r="AH11" s="89" t="s">
        <v>250</v>
      </c>
      <c r="AI11" s="92">
        <v>0.41176470588235292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-155.1</v>
      </c>
      <c r="D12" s="89" t="s">
        <v>136</v>
      </c>
      <c r="E12" s="103">
        <v>-6.3134146341463424</v>
      </c>
      <c r="F12" s="89" t="s">
        <v>136</v>
      </c>
      <c r="G12" s="90">
        <v>2.1951219512195124</v>
      </c>
      <c r="H12" s="89" t="s">
        <v>136</v>
      </c>
      <c r="I12" s="91">
        <v>0.23170731707317074</v>
      </c>
      <c r="J12" s="89" t="s">
        <v>139</v>
      </c>
      <c r="K12" s="91">
        <v>0.40625</v>
      </c>
      <c r="L12" s="89" t="s">
        <v>134</v>
      </c>
      <c r="M12" s="92">
        <v>0.2621082621082621</v>
      </c>
      <c r="N12" s="89" t="s">
        <v>139</v>
      </c>
      <c r="O12" s="92">
        <v>0.19315895372233399</v>
      </c>
      <c r="P12" s="89" t="s">
        <v>136</v>
      </c>
      <c r="Q12" s="93">
        <v>9163.2183908045972</v>
      </c>
      <c r="R12" s="89" t="s">
        <v>134</v>
      </c>
      <c r="S12" s="93">
        <v>-9620.5882352941171</v>
      </c>
      <c r="T12" s="89" t="s">
        <v>136</v>
      </c>
      <c r="U12" s="91">
        <v>0.1951219512195122</v>
      </c>
      <c r="V12" s="89" t="s">
        <v>136</v>
      </c>
      <c r="W12" s="91">
        <v>0.12195121951219512</v>
      </c>
      <c r="X12" s="89" t="s">
        <v>135</v>
      </c>
      <c r="Y12" s="91">
        <v>4.7619047619047616E-2</v>
      </c>
      <c r="Z12" s="89" t="s">
        <v>171</v>
      </c>
      <c r="AA12" s="92">
        <v>0.25806451612903225</v>
      </c>
      <c r="AB12" s="89" t="s">
        <v>134</v>
      </c>
      <c r="AC12" s="92">
        <v>0.17803030303030304</v>
      </c>
      <c r="AD12" s="89" t="s">
        <v>136</v>
      </c>
      <c r="AE12" s="92">
        <v>0.49193548387096775</v>
      </c>
      <c r="AF12" s="89" t="s">
        <v>250</v>
      </c>
      <c r="AG12" s="92">
        <v>0.33333333333333331</v>
      </c>
      <c r="AH12" s="89" t="s">
        <v>133</v>
      </c>
      <c r="AI12" s="92">
        <v>0.38002980625931443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139</v>
      </c>
      <c r="C13" s="88">
        <v>-424.09999999999985</v>
      </c>
      <c r="D13" s="89" t="s">
        <v>157</v>
      </c>
      <c r="E13" s="103">
        <v>-12.663888888888886</v>
      </c>
      <c r="F13" s="89" t="s">
        <v>171</v>
      </c>
      <c r="G13" s="90">
        <v>2.2000000000000002</v>
      </c>
      <c r="H13" s="89" t="s">
        <v>171</v>
      </c>
      <c r="I13" s="91">
        <v>0.2</v>
      </c>
      <c r="J13" s="89" t="s">
        <v>136</v>
      </c>
      <c r="K13" s="91">
        <v>0.42682926829268292</v>
      </c>
      <c r="L13" s="89" t="s">
        <v>167</v>
      </c>
      <c r="M13" s="92">
        <v>0.25</v>
      </c>
      <c r="N13" s="89" t="s">
        <v>134</v>
      </c>
      <c r="O13" s="92">
        <v>0.19373219373219372</v>
      </c>
      <c r="P13" s="89" t="s">
        <v>194</v>
      </c>
      <c r="Q13" s="93">
        <v>9163.1578947368416</v>
      </c>
      <c r="R13" s="89" t="s">
        <v>136</v>
      </c>
      <c r="S13" s="93">
        <v>-9668.3333333333339</v>
      </c>
      <c r="T13" s="89" t="s">
        <v>157</v>
      </c>
      <c r="U13" s="91">
        <v>0.27777777777777779</v>
      </c>
      <c r="V13" s="89" t="s">
        <v>157</v>
      </c>
      <c r="W13" s="91">
        <v>8.3333333333333329E-2</v>
      </c>
      <c r="X13" s="89" t="s">
        <v>157</v>
      </c>
      <c r="Y13" s="91">
        <v>0</v>
      </c>
      <c r="Z13" s="89" t="s">
        <v>135</v>
      </c>
      <c r="AA13" s="92">
        <v>0.22580645161290322</v>
      </c>
      <c r="AB13" s="89" t="s">
        <v>171</v>
      </c>
      <c r="AC13" s="92">
        <v>0.16129032258064516</v>
      </c>
      <c r="AD13" s="89" t="s">
        <v>157</v>
      </c>
      <c r="AE13" s="92">
        <v>0.46153846153846156</v>
      </c>
      <c r="AF13" s="89" t="s">
        <v>157</v>
      </c>
      <c r="AG13" s="92">
        <v>0.28282828282828282</v>
      </c>
      <c r="AH13" s="89" t="s">
        <v>157</v>
      </c>
      <c r="AI13" s="92">
        <v>0.375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157</v>
      </c>
      <c r="C14" s="88">
        <v>-455.89999999999992</v>
      </c>
      <c r="D14" s="89" t="s">
        <v>250</v>
      </c>
      <c r="E14" s="103">
        <v>-12.924999999999999</v>
      </c>
      <c r="F14" s="89" t="s">
        <v>157</v>
      </c>
      <c r="G14" s="90">
        <v>2.3888888888888888</v>
      </c>
      <c r="H14" s="89" t="s">
        <v>157</v>
      </c>
      <c r="I14" s="91">
        <v>0.19444444444444445</v>
      </c>
      <c r="J14" s="89" t="s">
        <v>157</v>
      </c>
      <c r="K14" s="91">
        <v>0.58333333333333337</v>
      </c>
      <c r="L14" s="89" t="s">
        <v>157</v>
      </c>
      <c r="M14" s="92">
        <v>0.20071684587813621</v>
      </c>
      <c r="N14" s="89" t="s">
        <v>171</v>
      </c>
      <c r="O14" s="92">
        <v>0.21621621621621623</v>
      </c>
      <c r="P14" s="89" t="s">
        <v>250</v>
      </c>
      <c r="Q14" s="93">
        <v>8670.5882352941171</v>
      </c>
      <c r="R14" s="89" t="s">
        <v>194</v>
      </c>
      <c r="S14" s="93">
        <v>-10025</v>
      </c>
      <c r="T14" s="89" t="s">
        <v>250</v>
      </c>
      <c r="U14" s="91">
        <v>0.33333333333333331</v>
      </c>
      <c r="V14" s="89" t="s">
        <v>250</v>
      </c>
      <c r="W14" s="91">
        <v>8.3333333333333329E-2</v>
      </c>
      <c r="X14" s="89" t="s">
        <v>166</v>
      </c>
      <c r="Y14" s="91">
        <v>0</v>
      </c>
      <c r="Z14" s="89" t="s">
        <v>157</v>
      </c>
      <c r="AA14" s="92">
        <v>0.13978494623655913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167</v>
      </c>
      <c r="AI14" s="92">
        <v>0.33333333333333331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-497.4</v>
      </c>
      <c r="D15" s="89" t="s">
        <v>171</v>
      </c>
      <c r="E15" s="103">
        <v>-17.28</v>
      </c>
      <c r="F15" s="89" t="s">
        <v>250</v>
      </c>
      <c r="G15" s="90">
        <v>2.4166666666666665</v>
      </c>
      <c r="H15" s="89" t="s">
        <v>250</v>
      </c>
      <c r="I15" s="91">
        <v>0.16666666666666666</v>
      </c>
      <c r="J15" s="89" t="s">
        <v>250</v>
      </c>
      <c r="K15" s="91">
        <v>0.58333333333333337</v>
      </c>
      <c r="L15" s="89" t="s">
        <v>250</v>
      </c>
      <c r="M15" s="92">
        <v>0.19318181818181818</v>
      </c>
      <c r="N15" s="89" t="s">
        <v>250</v>
      </c>
      <c r="O15" s="92">
        <v>0.25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250</v>
      </c>
      <c r="AA15" s="92">
        <v>0.13636363636363635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-517.70000000000005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3422-63B7-432D-8F40-BF1EEE4D885D}">
  <sheetPr codeName="Sheet4"/>
  <dimension ref="A1:Q88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161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879</v>
      </c>
      <c r="C2" s="150"/>
      <c r="E2" s="64" t="s">
        <v>71</v>
      </c>
      <c r="F2" s="61" t="s">
        <v>25</v>
      </c>
      <c r="G2" s="48">
        <v>1382</v>
      </c>
      <c r="H2" s="140">
        <f>IF(B$27=0,0,G2/B$27)</f>
        <v>0.87413029728020242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-16.147635524798154</v>
      </c>
      <c r="P2" s="124">
        <v>867</v>
      </c>
      <c r="Q2" s="108">
        <v>-14000</v>
      </c>
    </row>
    <row r="3" spans="1:17" x14ac:dyDescent="0.4">
      <c r="A3" s="57" t="s">
        <v>8</v>
      </c>
      <c r="B3" s="155">
        <v>6702</v>
      </c>
      <c r="C3" s="156"/>
      <c r="E3" s="65" t="s">
        <v>69</v>
      </c>
      <c r="F3" s="62" t="s">
        <v>23</v>
      </c>
      <c r="G3" s="49">
        <v>1163</v>
      </c>
      <c r="H3" s="141">
        <f>IF(B$27=0,0,G3/B$27)</f>
        <v>0.73561037318153066</v>
      </c>
      <c r="I3" s="100">
        <v>7</v>
      </c>
      <c r="K3" s="40">
        <v>1</v>
      </c>
      <c r="L3" s="105">
        <v>15</v>
      </c>
      <c r="N3" s="121" t="s">
        <v>148</v>
      </c>
      <c r="O3" s="128">
        <f t="shared" si="0"/>
        <v>-3.5971223021582732</v>
      </c>
      <c r="P3" s="125">
        <v>834</v>
      </c>
      <c r="Q3" s="109">
        <v>-3000</v>
      </c>
    </row>
    <row r="4" spans="1:17" x14ac:dyDescent="0.4">
      <c r="A4" s="57" t="s">
        <v>6</v>
      </c>
      <c r="B4" s="157">
        <v>-6.9999999999999432</v>
      </c>
      <c r="C4" s="158"/>
      <c r="E4" s="65" t="s">
        <v>76</v>
      </c>
      <c r="F4" s="62" t="s">
        <v>29</v>
      </c>
      <c r="G4" s="49">
        <v>883</v>
      </c>
      <c r="H4" s="141">
        <f>IF(B$27=0,0,G4/B$27)</f>
        <v>0.55850727387729282</v>
      </c>
      <c r="I4" s="100">
        <v>8</v>
      </c>
      <c r="K4" s="40">
        <v>2</v>
      </c>
      <c r="L4" s="105">
        <v>-7</v>
      </c>
      <c r="N4" s="121" t="s">
        <v>149</v>
      </c>
      <c r="O4" s="128">
        <f t="shared" si="0"/>
        <v>6.4102564102564106</v>
      </c>
      <c r="P4" s="125">
        <v>780</v>
      </c>
      <c r="Q4" s="109">
        <v>5000</v>
      </c>
    </row>
    <row r="5" spans="1:17" x14ac:dyDescent="0.4">
      <c r="A5" s="57" t="s">
        <v>7</v>
      </c>
      <c r="B5" s="159">
        <f>IF(B$2=0,0,B$4/B$2)</f>
        <v>-7.963594994311653E-3</v>
      </c>
      <c r="C5" s="160"/>
      <c r="E5" s="65" t="s">
        <v>67</v>
      </c>
      <c r="F5" s="62" t="s">
        <v>21</v>
      </c>
      <c r="G5" s="49">
        <v>868</v>
      </c>
      <c r="H5" s="141">
        <f>IF(B$27=0,0,G5/B$27)</f>
        <v>0.5490196078431373</v>
      </c>
      <c r="I5" s="100">
        <v>6</v>
      </c>
      <c r="K5" s="40">
        <v>3</v>
      </c>
      <c r="L5" s="105">
        <v>0</v>
      </c>
      <c r="N5" s="121" t="s">
        <v>150</v>
      </c>
      <c r="O5" s="128">
        <f t="shared" si="0"/>
        <v>2.8490028490028489</v>
      </c>
      <c r="P5" s="125">
        <v>702</v>
      </c>
      <c r="Q5" s="109">
        <v>2000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72</v>
      </c>
      <c r="F6" s="62" t="s">
        <v>12</v>
      </c>
      <c r="G6" s="49">
        <v>494</v>
      </c>
      <c r="H6" s="141">
        <f>IF(B$27=0,0,G6/B$27)</f>
        <v>0.312460468058191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11.382113821138212</v>
      </c>
      <c r="P6" s="125">
        <v>615</v>
      </c>
      <c r="Q6" s="109">
        <v>7000</v>
      </c>
    </row>
    <row r="7" spans="1:17" x14ac:dyDescent="0.4">
      <c r="A7" s="57" t="s">
        <v>2</v>
      </c>
      <c r="B7" s="49">
        <v>293</v>
      </c>
      <c r="C7" s="41">
        <f>IF(B$2=0,0,B7/B$2)</f>
        <v>0.33333333333333331</v>
      </c>
      <c r="E7" s="65" t="s">
        <v>70</v>
      </c>
      <c r="F7" s="62" t="s">
        <v>24</v>
      </c>
      <c r="G7" s="49">
        <v>480</v>
      </c>
      <c r="H7" s="141">
        <f>IF(B$27=0,0,G7/B$27)</f>
        <v>0.30360531309297911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-8.0808080808080813</v>
      </c>
      <c r="P7" s="126">
        <v>495</v>
      </c>
      <c r="Q7" s="110">
        <v>-4000</v>
      </c>
    </row>
    <row r="8" spans="1:17" x14ac:dyDescent="0.4">
      <c r="A8" s="57" t="s">
        <v>3</v>
      </c>
      <c r="B8" s="49">
        <v>293</v>
      </c>
      <c r="C8" s="41">
        <f>IF(B$2=0,0,B8/B$2)</f>
        <v>0.33333333333333331</v>
      </c>
      <c r="E8" s="65" t="s">
        <v>94</v>
      </c>
      <c r="F8" s="62" t="s">
        <v>47</v>
      </c>
      <c r="G8" s="49">
        <v>240</v>
      </c>
      <c r="H8" s="141">
        <f>IF(B$27=0,0,G8/B$27)</f>
        <v>0.15180265654648956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293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231</v>
      </c>
      <c r="H9" s="141">
        <f>IF(B$27=0,0,G9/B$27)</f>
        <v>0.14611005692599621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135</v>
      </c>
      <c r="C10" s="42">
        <f>IF(B$2=0,0,B10/B$2)</f>
        <v>0.15358361774744028</v>
      </c>
      <c r="E10" s="65" t="s">
        <v>68</v>
      </c>
      <c r="F10" s="62" t="s">
        <v>22</v>
      </c>
      <c r="G10" s="49">
        <v>194</v>
      </c>
      <c r="H10" s="141">
        <f>IF(B$27=0,0,G10/B$27)</f>
        <v>0.12270714737507907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-2.5220689655172404</v>
      </c>
      <c r="P10" s="124">
        <v>290</v>
      </c>
      <c r="Q10" s="112">
        <v>-731.39999999999975</v>
      </c>
    </row>
    <row r="11" spans="1:17" x14ac:dyDescent="0.4">
      <c r="A11" s="58" t="s">
        <v>155</v>
      </c>
      <c r="B11" s="50">
        <v>135</v>
      </c>
      <c r="C11" s="42">
        <f>IF(B$2=0,0,B11/B$2)</f>
        <v>0.15358361774744028</v>
      </c>
      <c r="E11" s="65" t="s">
        <v>74</v>
      </c>
      <c r="F11" s="62" t="s">
        <v>27</v>
      </c>
      <c r="G11" s="49">
        <v>154</v>
      </c>
      <c r="H11" s="141">
        <f>IF(B$27=0,0,G11/B$27)</f>
        <v>9.7406704617330808E-2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0.44172413793103493</v>
      </c>
      <c r="P11" s="125">
        <v>290</v>
      </c>
      <c r="Q11" s="113">
        <v>128.10000000000014</v>
      </c>
    </row>
    <row r="12" spans="1:17" x14ac:dyDescent="0.4">
      <c r="A12" s="59" t="s">
        <v>239</v>
      </c>
      <c r="B12" s="51">
        <v>71</v>
      </c>
      <c r="C12" s="44">
        <f>IF(B$2=0,0,B12/B$2)</f>
        <v>8.0773606370875994E-2</v>
      </c>
      <c r="E12" s="65" t="s">
        <v>91</v>
      </c>
      <c r="F12" s="62" t="s">
        <v>44</v>
      </c>
      <c r="G12" s="49">
        <v>111</v>
      </c>
      <c r="H12" s="141">
        <f>IF(B$27=0,0,G12/B$27)</f>
        <v>7.020872865275142E-2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2.0562068965517248</v>
      </c>
      <c r="P12" s="126">
        <v>290</v>
      </c>
      <c r="Q12" s="114">
        <v>596.30000000000018</v>
      </c>
    </row>
    <row r="13" spans="1:17" x14ac:dyDescent="0.4">
      <c r="A13" s="60" t="s">
        <v>128</v>
      </c>
      <c r="B13" s="52">
        <v>1511</v>
      </c>
      <c r="C13" s="46">
        <f>IF(B$26=0,0,B13/B$26)</f>
        <v>0.28584941354521376</v>
      </c>
      <c r="E13" s="65" t="s">
        <v>75</v>
      </c>
      <c r="F13" s="62" t="s">
        <v>28</v>
      </c>
      <c r="G13" s="49">
        <v>76</v>
      </c>
      <c r="H13" s="141">
        <f>IF(B$27=0,0,G13/B$27)</f>
        <v>4.8070841239721697E-2</v>
      </c>
      <c r="I13" s="100">
        <v>6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1148</v>
      </c>
      <c r="C14" s="41">
        <f>IF(B$26=0,0,B14/B$26)</f>
        <v>0.21717744986757473</v>
      </c>
      <c r="E14" s="65" t="s">
        <v>88</v>
      </c>
      <c r="F14" s="62" t="s">
        <v>41</v>
      </c>
      <c r="G14" s="49">
        <v>72</v>
      </c>
      <c r="H14" s="141">
        <f>IF(B$27=0,0,G14/B$27)</f>
        <v>4.5540796963946868E-2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882</v>
      </c>
      <c r="C15" s="39">
        <f>IF(B$13=0,0,B15/B$13)</f>
        <v>0.5837193911317009</v>
      </c>
      <c r="E15" s="65" t="s">
        <v>82</v>
      </c>
      <c r="F15" s="62" t="s">
        <v>35</v>
      </c>
      <c r="G15" s="49">
        <v>47</v>
      </c>
      <c r="H15" s="141">
        <f>IF(B$27=0,0,G15/B$27)</f>
        <v>2.9728020240354206E-2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455</v>
      </c>
      <c r="C16" s="39">
        <f>IF(B$14=0,0,B16/B$14)</f>
        <v>0.39634146341463417</v>
      </c>
      <c r="E16" s="65" t="s">
        <v>86</v>
      </c>
      <c r="F16" s="62" t="s">
        <v>39</v>
      </c>
      <c r="G16" s="49">
        <v>47</v>
      </c>
      <c r="H16" s="141">
        <f>IF(B$27=0,0,G16/B$27)</f>
        <v>2.9728020240354206E-2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2015</v>
      </c>
      <c r="C17" s="39">
        <f>IF(B$3=0,0,B17/B$3)</f>
        <v>0.30065652044165919</v>
      </c>
      <c r="E17" s="65" t="s">
        <v>96</v>
      </c>
      <c r="F17" s="62" t="s">
        <v>49</v>
      </c>
      <c r="G17" s="49">
        <v>31</v>
      </c>
      <c r="H17" s="141">
        <f>IF(B$27=0,0,G17/B$27)</f>
        <v>1.9607843137254902E-2</v>
      </c>
      <c r="I17" s="100">
        <v>7</v>
      </c>
      <c r="K17" s="40">
        <v>15</v>
      </c>
      <c r="L17" s="105">
        <v>0</v>
      </c>
      <c r="N17" s="121" t="s">
        <v>250</v>
      </c>
      <c r="O17" s="131">
        <f>IF(P17=0,0,Q17/P17)</f>
        <v>19.387499999999999</v>
      </c>
      <c r="P17" s="125">
        <v>24</v>
      </c>
      <c r="Q17" s="113">
        <v>465.29999999999995</v>
      </c>
    </row>
    <row r="18" spans="1:17" x14ac:dyDescent="0.4">
      <c r="A18" s="57" t="s">
        <v>12</v>
      </c>
      <c r="B18" s="49">
        <v>847</v>
      </c>
      <c r="C18" s="41">
        <f>IF(B$17=0,0,B18/B$17)</f>
        <v>0.42034739454094294</v>
      </c>
      <c r="E18" s="65" t="s">
        <v>83</v>
      </c>
      <c r="F18" s="62" t="s">
        <v>36</v>
      </c>
      <c r="G18" s="49">
        <v>23</v>
      </c>
      <c r="H18" s="141">
        <f>IF(B$27=0,0,G18/B$27)</f>
        <v>1.4547754585705249E-2</v>
      </c>
      <c r="I18" s="100">
        <v>7</v>
      </c>
      <c r="K18" s="40">
        <v>16</v>
      </c>
      <c r="L18" s="105">
        <v>-48</v>
      </c>
      <c r="N18" s="121" t="s">
        <v>157</v>
      </c>
      <c r="O18" s="131">
        <f>IF(P18=0,0,Q18/P18)</f>
        <v>18.981944444444455</v>
      </c>
      <c r="P18" s="125">
        <v>72</v>
      </c>
      <c r="Q18" s="113">
        <v>1366.7000000000007</v>
      </c>
    </row>
    <row r="19" spans="1:17" x14ac:dyDescent="0.4">
      <c r="A19" s="57" t="s">
        <v>11</v>
      </c>
      <c r="B19" s="49">
        <v>1168</v>
      </c>
      <c r="C19" s="41">
        <f>IF(B$17=0,0,B19/B$17)</f>
        <v>0.57965260545905706</v>
      </c>
      <c r="E19" s="65" t="s">
        <v>77</v>
      </c>
      <c r="F19" s="62" t="s">
        <v>30</v>
      </c>
      <c r="G19" s="49">
        <v>13</v>
      </c>
      <c r="H19" s="141">
        <f>IF(B$27=0,0,G19/B$27)</f>
        <v>8.2226438962681846E-3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9.4701219512195127</v>
      </c>
      <c r="P19" s="125">
        <v>164</v>
      </c>
      <c r="Q19" s="113">
        <v>1553.1000000000001</v>
      </c>
    </row>
    <row r="20" spans="1:17" x14ac:dyDescent="0.4">
      <c r="A20" s="57" t="s">
        <v>13</v>
      </c>
      <c r="B20" s="49">
        <v>1145</v>
      </c>
      <c r="C20" s="41">
        <f>IF(B$3=0,0,B20/B$3)</f>
        <v>0.1708445240226798</v>
      </c>
      <c r="E20" s="65" t="s">
        <v>79</v>
      </c>
      <c r="F20" s="62" t="s">
        <v>32</v>
      </c>
      <c r="G20" s="49">
        <v>9</v>
      </c>
      <c r="H20" s="141">
        <f>IF(B$27=0,0,G20/B$27)</f>
        <v>5.6925996204933585E-3</v>
      </c>
      <c r="I20" s="100">
        <v>4</v>
      </c>
      <c r="K20" s="40">
        <v>18</v>
      </c>
      <c r="L20" s="105">
        <v>0</v>
      </c>
      <c r="N20" s="121" t="s">
        <v>167</v>
      </c>
      <c r="O20" s="131">
        <f>IF(P20=0,0,Q20/P20)</f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10155.086848635236</v>
      </c>
      <c r="C21" s="43">
        <v>20462500</v>
      </c>
      <c r="E21" s="65" t="s">
        <v>81</v>
      </c>
      <c r="F21" s="62" t="s">
        <v>34</v>
      </c>
      <c r="G21" s="49">
        <v>9</v>
      </c>
      <c r="H21" s="141">
        <f>IF(B$27=0,0,G21/B$27)</f>
        <v>5.6925996204933585E-3</v>
      </c>
      <c r="I21" s="100">
        <v>5</v>
      </c>
      <c r="K21" s="40">
        <v>19</v>
      </c>
      <c r="L21" s="105">
        <v>-6.1</v>
      </c>
      <c r="N21" s="121" t="s">
        <v>134</v>
      </c>
      <c r="O21" s="131">
        <f>IF(P21=0,0,Q21/P21)</f>
        <v>5.4713235294117615</v>
      </c>
      <c r="P21" s="125">
        <v>272</v>
      </c>
      <c r="Q21" s="113">
        <v>1488.1999999999991</v>
      </c>
    </row>
    <row r="22" spans="1:17" x14ac:dyDescent="0.4">
      <c r="A22" s="59" t="s">
        <v>14</v>
      </c>
      <c r="B22" s="54">
        <f>IF(B$20=0,0,C22/B$20)</f>
        <v>-9393.8864628820957</v>
      </c>
      <c r="C22" s="47">
        <v>-10756000</v>
      </c>
      <c r="E22" s="65" t="s">
        <v>97</v>
      </c>
      <c r="F22" s="62" t="s">
        <v>50</v>
      </c>
      <c r="G22" s="49">
        <v>8</v>
      </c>
      <c r="H22" s="141">
        <f>IF(B$27=0,0,G22/B$27)</f>
        <v>5.0600885515496522E-3</v>
      </c>
      <c r="I22" s="100">
        <v>5</v>
      </c>
      <c r="K22" s="40">
        <v>20</v>
      </c>
      <c r="L22" s="105">
        <v>4.9000000000000004</v>
      </c>
      <c r="N22" s="121" t="s">
        <v>139</v>
      </c>
      <c r="O22" s="131">
        <f>IF(P22=0,0,Q22/P22)</f>
        <v>4.9582031249999998</v>
      </c>
      <c r="P22" s="125">
        <v>256</v>
      </c>
      <c r="Q22" s="113">
        <v>1269.3</v>
      </c>
    </row>
    <row r="23" spans="1:17" x14ac:dyDescent="0.4">
      <c r="A23" s="96" t="s">
        <v>158</v>
      </c>
      <c r="B23" s="145">
        <v>10</v>
      </c>
      <c r="C23" s="146"/>
      <c r="E23" s="65" t="s">
        <v>90</v>
      </c>
      <c r="F23" s="62" t="s">
        <v>43</v>
      </c>
      <c r="G23" s="49">
        <v>6</v>
      </c>
      <c r="H23" s="141">
        <f>IF(B$27=0,0,G23/B$27)</f>
        <v>3.7950664136622392E-3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43">
        <v>124700</v>
      </c>
      <c r="C24" s="144"/>
      <c r="E24" s="65" t="s">
        <v>98</v>
      </c>
      <c r="F24" s="62" t="s">
        <v>51</v>
      </c>
      <c r="G24" s="49">
        <v>6</v>
      </c>
      <c r="H24" s="141">
        <f>IF(B$27=0,0,G24/B$27)</f>
        <v>3.7950664136622392E-3</v>
      </c>
      <c r="I24" s="100">
        <v>4</v>
      </c>
      <c r="K24" s="40">
        <v>22</v>
      </c>
      <c r="L24" s="105">
        <v>-36</v>
      </c>
      <c r="N24" s="121" t="s">
        <v>137</v>
      </c>
      <c r="O24" s="131">
        <f>IF(P24=0,0,Q24/P24)</f>
        <v>-2.46</v>
      </c>
      <c r="P24" s="125">
        <v>240</v>
      </c>
      <c r="Q24" s="113">
        <v>-590.4</v>
      </c>
    </row>
    <row r="25" spans="1:17" x14ac:dyDescent="0.4">
      <c r="A25" s="59" t="s">
        <v>159</v>
      </c>
      <c r="B25" s="67">
        <v>20</v>
      </c>
      <c r="C25" s="44">
        <f>IF(B$3=0,0,B25/B$3)</f>
        <v>2.9841838257236644E-3</v>
      </c>
      <c r="E25" s="65" t="s">
        <v>78</v>
      </c>
      <c r="F25" s="62" t="s">
        <v>31</v>
      </c>
      <c r="G25" s="49">
        <v>5</v>
      </c>
      <c r="H25" s="141">
        <f>IF(B$27=0,0,G25/B$27)</f>
        <v>3.1625553447185324E-3</v>
      </c>
      <c r="I25" s="100">
        <v>5</v>
      </c>
      <c r="K25" s="40">
        <v>23</v>
      </c>
      <c r="L25" s="105">
        <v>-3</v>
      </c>
      <c r="N25" s="121" t="s">
        <v>135</v>
      </c>
      <c r="O25" s="131">
        <f>IF(P25=0,0,Q25/P25)</f>
        <v>-5.8142857142857087</v>
      </c>
      <c r="P25" s="125">
        <v>126</v>
      </c>
      <c r="Q25" s="113">
        <v>-732.59999999999934</v>
      </c>
    </row>
    <row r="26" spans="1:17" x14ac:dyDescent="0.4">
      <c r="A26" s="56" t="s">
        <v>126</v>
      </c>
      <c r="B26" s="149">
        <v>5286</v>
      </c>
      <c r="C26" s="150"/>
      <c r="E26" s="65" t="s">
        <v>89</v>
      </c>
      <c r="F26" s="62" t="s">
        <v>42</v>
      </c>
      <c r="G26" s="49">
        <v>4</v>
      </c>
      <c r="H26" s="141">
        <f>IF(B$27=0,0,G26/B$27)</f>
        <v>2.5300442757748261E-3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-10.813599999999994</v>
      </c>
      <c r="P26" s="125">
        <v>500</v>
      </c>
      <c r="Q26" s="113">
        <v>-5406.7999999999965</v>
      </c>
    </row>
    <row r="27" spans="1:17" x14ac:dyDescent="0.4">
      <c r="A27" s="59" t="s">
        <v>127</v>
      </c>
      <c r="B27" s="151">
        <v>1581</v>
      </c>
      <c r="C27" s="152"/>
      <c r="E27" s="65" t="s">
        <v>92</v>
      </c>
      <c r="F27" s="62" t="s">
        <v>45</v>
      </c>
      <c r="G27" s="49">
        <v>4</v>
      </c>
      <c r="H27" s="141">
        <f>IF(B$27=0,0,G27/B$27)</f>
        <v>2.5300442757748261E-3</v>
      </c>
      <c r="I27" s="100">
        <v>4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41">
        <f>IF(B$27=0,0,G28/B$27)</f>
        <v>1.2650221378874131E-3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41">
        <f>IF(B$27=0,0,G29/B$27)</f>
        <v>6.3251106894370653E-4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41">
        <f>IF(B$27=0,0,G30/B$27)</f>
        <v>6.3251106894370653E-4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41">
        <f>IF(B$27=0,0,G31/B$27)</f>
        <v>6.3251106894370653E-4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41">
        <f>IF(B$27=0,0,G32/B$27)</f>
        <v>6.3251106894370653E-4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41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  <row r="828" spans="11:12" x14ac:dyDescent="0.4">
      <c r="K828" s="40">
        <v>826</v>
      </c>
      <c r="L828" s="105">
        <v>2.5000000000000639</v>
      </c>
    </row>
    <row r="829" spans="11:12" x14ac:dyDescent="0.4">
      <c r="K829" s="40">
        <v>827</v>
      </c>
      <c r="L829" s="105">
        <v>-22.599999999999937</v>
      </c>
    </row>
    <row r="830" spans="11:12" x14ac:dyDescent="0.4">
      <c r="K830" s="40">
        <v>828</v>
      </c>
      <c r="L830" s="105">
        <v>-4.9999999999999361</v>
      </c>
    </row>
    <row r="831" spans="11:12" x14ac:dyDescent="0.4">
      <c r="K831" s="40">
        <v>829</v>
      </c>
      <c r="L831" s="105">
        <v>-22.599999999999937</v>
      </c>
    </row>
    <row r="832" spans="11:12" x14ac:dyDescent="0.4">
      <c r="K832" s="40">
        <v>830</v>
      </c>
      <c r="L832" s="105">
        <v>2.0000000000000639</v>
      </c>
    </row>
    <row r="833" spans="11:12" x14ac:dyDescent="0.4">
      <c r="K833" s="40">
        <v>831</v>
      </c>
      <c r="L833" s="105">
        <v>-5.9999999999999361</v>
      </c>
    </row>
    <row r="834" spans="11:12" x14ac:dyDescent="0.4">
      <c r="K834" s="40">
        <v>832</v>
      </c>
      <c r="L834" s="105">
        <v>1.8000000000000638</v>
      </c>
    </row>
    <row r="835" spans="11:12" x14ac:dyDescent="0.4">
      <c r="K835" s="40">
        <v>833</v>
      </c>
      <c r="L835" s="105">
        <v>-12.599999999999937</v>
      </c>
    </row>
    <row r="836" spans="11:12" x14ac:dyDescent="0.4">
      <c r="K836" s="40">
        <v>834</v>
      </c>
      <c r="L836" s="105">
        <v>-5.9999999999999378</v>
      </c>
    </row>
    <row r="837" spans="11:12" x14ac:dyDescent="0.4">
      <c r="K837" s="40">
        <v>835</v>
      </c>
      <c r="L837" s="105">
        <v>40.900000000000063</v>
      </c>
    </row>
    <row r="838" spans="11:12" x14ac:dyDescent="0.4">
      <c r="K838" s="40">
        <v>836</v>
      </c>
      <c r="L838" s="105">
        <v>1.0000000000000639</v>
      </c>
    </row>
    <row r="839" spans="11:12" x14ac:dyDescent="0.4">
      <c r="K839" s="40">
        <v>837</v>
      </c>
      <c r="L839" s="105">
        <v>-5.9999999999999361</v>
      </c>
    </row>
    <row r="840" spans="11:12" x14ac:dyDescent="0.4">
      <c r="K840" s="40">
        <v>838</v>
      </c>
      <c r="L840" s="105">
        <v>0.30000000000006377</v>
      </c>
    </row>
    <row r="841" spans="11:12" x14ac:dyDescent="0.4">
      <c r="K841" s="40">
        <v>839</v>
      </c>
      <c r="L841" s="105">
        <v>6.3782312764715243E-14</v>
      </c>
    </row>
    <row r="842" spans="11:12" x14ac:dyDescent="0.4">
      <c r="K842" s="40">
        <v>840</v>
      </c>
      <c r="L842" s="105">
        <v>-5.9999999999999361</v>
      </c>
    </row>
    <row r="843" spans="11:12" x14ac:dyDescent="0.4">
      <c r="K843" s="40">
        <v>841</v>
      </c>
      <c r="L843" s="105">
        <v>18.300000000000065</v>
      </c>
    </row>
    <row r="844" spans="11:12" x14ac:dyDescent="0.4">
      <c r="K844" s="40">
        <v>842</v>
      </c>
      <c r="L844" s="105">
        <v>-15.699999999999935</v>
      </c>
    </row>
    <row r="845" spans="11:12" x14ac:dyDescent="0.4">
      <c r="K845" s="40">
        <v>843</v>
      </c>
      <c r="L845" s="105">
        <v>-5.9999999999999361</v>
      </c>
    </row>
    <row r="846" spans="11:12" x14ac:dyDescent="0.4">
      <c r="K846" s="40">
        <v>844</v>
      </c>
      <c r="L846" s="105">
        <v>-16.399999999999935</v>
      </c>
    </row>
    <row r="847" spans="11:12" x14ac:dyDescent="0.4">
      <c r="K847" s="40">
        <v>845</v>
      </c>
      <c r="L847" s="105">
        <v>-27.899999999999935</v>
      </c>
    </row>
    <row r="848" spans="11:12" x14ac:dyDescent="0.4">
      <c r="K848" s="40">
        <v>846</v>
      </c>
      <c r="L848" s="105">
        <v>-5.9999999999999361</v>
      </c>
    </row>
    <row r="849" spans="11:12" x14ac:dyDescent="0.4">
      <c r="K849" s="40">
        <v>847</v>
      </c>
      <c r="L849" s="105">
        <v>-23.199999999999935</v>
      </c>
    </row>
    <row r="850" spans="11:12" x14ac:dyDescent="0.4">
      <c r="K850" s="40">
        <v>848</v>
      </c>
      <c r="L850" s="105">
        <v>-32.499999999999936</v>
      </c>
    </row>
    <row r="851" spans="11:12" x14ac:dyDescent="0.4">
      <c r="K851" s="40">
        <v>849</v>
      </c>
      <c r="L851" s="105">
        <v>-5.9999999999999361</v>
      </c>
    </row>
    <row r="852" spans="11:12" x14ac:dyDescent="0.4">
      <c r="K852" s="40">
        <v>850</v>
      </c>
      <c r="L852" s="105">
        <v>-6.9999999999999361</v>
      </c>
    </row>
    <row r="853" spans="11:12" x14ac:dyDescent="0.4">
      <c r="K853" s="40">
        <v>851</v>
      </c>
      <c r="L853" s="105">
        <v>-23.999999999999936</v>
      </c>
    </row>
    <row r="854" spans="11:12" x14ac:dyDescent="0.4">
      <c r="K854" s="40">
        <v>852</v>
      </c>
      <c r="L854" s="105">
        <v>-5.9999999999999361</v>
      </c>
    </row>
    <row r="855" spans="11:12" x14ac:dyDescent="0.4">
      <c r="K855" s="40">
        <v>853</v>
      </c>
      <c r="L855" s="105">
        <v>13.800000000000065</v>
      </c>
    </row>
    <row r="856" spans="11:12" x14ac:dyDescent="0.4">
      <c r="K856" s="40">
        <v>854</v>
      </c>
      <c r="L856" s="105">
        <v>35.500000000000064</v>
      </c>
    </row>
    <row r="857" spans="11:12" x14ac:dyDescent="0.4">
      <c r="K857" s="40">
        <v>855</v>
      </c>
      <c r="L857" s="105">
        <v>-5.9999999999999361</v>
      </c>
    </row>
    <row r="858" spans="11:12" x14ac:dyDescent="0.4">
      <c r="K858" s="40">
        <v>856</v>
      </c>
      <c r="L858" s="105">
        <v>21.700000000000063</v>
      </c>
    </row>
    <row r="859" spans="11:12" x14ac:dyDescent="0.4">
      <c r="K859" s="40">
        <v>857</v>
      </c>
      <c r="L859" s="105">
        <v>19.900000000000063</v>
      </c>
    </row>
    <row r="860" spans="11:12" x14ac:dyDescent="0.4">
      <c r="K860" s="40">
        <v>858</v>
      </c>
      <c r="L860" s="105">
        <v>-5.9999999999999361</v>
      </c>
    </row>
    <row r="861" spans="11:12" x14ac:dyDescent="0.4">
      <c r="K861" s="40">
        <v>859</v>
      </c>
      <c r="L861" s="105">
        <v>1.5000000000000639</v>
      </c>
    </row>
    <row r="862" spans="11:12" x14ac:dyDescent="0.4">
      <c r="K862" s="40">
        <v>860</v>
      </c>
      <c r="L862" s="105">
        <v>39.500000000000064</v>
      </c>
    </row>
    <row r="863" spans="11:12" x14ac:dyDescent="0.4">
      <c r="K863" s="40">
        <v>861</v>
      </c>
      <c r="L863" s="105">
        <v>-5.9999999999999361</v>
      </c>
    </row>
    <row r="864" spans="11:12" x14ac:dyDescent="0.4">
      <c r="K864" s="40">
        <v>862</v>
      </c>
      <c r="L864" s="105">
        <v>25.500000000000064</v>
      </c>
    </row>
    <row r="865" spans="11:12" x14ac:dyDescent="0.4">
      <c r="K865" s="40">
        <v>863</v>
      </c>
      <c r="L865" s="105">
        <v>19.900000000000063</v>
      </c>
    </row>
    <row r="866" spans="11:12" x14ac:dyDescent="0.4">
      <c r="K866" s="40">
        <v>864</v>
      </c>
      <c r="L866" s="105">
        <v>-5.9999999999999361</v>
      </c>
    </row>
    <row r="867" spans="11:12" x14ac:dyDescent="0.4">
      <c r="K867" s="40">
        <v>865</v>
      </c>
      <c r="L867" s="105">
        <v>40.800000000000061</v>
      </c>
    </row>
    <row r="868" spans="11:12" x14ac:dyDescent="0.4">
      <c r="K868" s="40">
        <v>866</v>
      </c>
      <c r="L868" s="105">
        <v>20.300000000000061</v>
      </c>
    </row>
    <row r="869" spans="11:12" x14ac:dyDescent="0.4">
      <c r="K869" s="40">
        <v>867</v>
      </c>
      <c r="L869" s="105">
        <v>-5.9999999999999396</v>
      </c>
    </row>
    <row r="870" spans="11:12" x14ac:dyDescent="0.4">
      <c r="K870" s="40">
        <v>868</v>
      </c>
      <c r="L870" s="105">
        <v>46.500000000000057</v>
      </c>
    </row>
    <row r="871" spans="11:12" x14ac:dyDescent="0.4">
      <c r="K871" s="40">
        <v>869</v>
      </c>
      <c r="L871" s="105">
        <v>1.5000000000000568</v>
      </c>
    </row>
    <row r="872" spans="11:12" x14ac:dyDescent="0.4">
      <c r="K872" s="40">
        <v>870</v>
      </c>
      <c r="L872" s="105">
        <v>-5.9999999999999432</v>
      </c>
    </row>
    <row r="873" spans="11:12" x14ac:dyDescent="0.4">
      <c r="K873" s="40">
        <v>871</v>
      </c>
      <c r="L873" s="105">
        <v>-12.199999999999942</v>
      </c>
    </row>
    <row r="874" spans="11:12" x14ac:dyDescent="0.4">
      <c r="K874" s="40">
        <v>872</v>
      </c>
      <c r="L874" s="105">
        <v>-50.699999999999946</v>
      </c>
    </row>
    <row r="875" spans="11:12" x14ac:dyDescent="0.4">
      <c r="K875" s="40">
        <v>873</v>
      </c>
      <c r="L875" s="105">
        <v>-5.9999999999999432</v>
      </c>
    </row>
    <row r="876" spans="11:12" x14ac:dyDescent="0.4">
      <c r="K876" s="40">
        <v>874</v>
      </c>
      <c r="L876" s="105">
        <v>-14.799999999999944</v>
      </c>
    </row>
    <row r="877" spans="11:12" x14ac:dyDescent="0.4">
      <c r="K877" s="40">
        <v>875</v>
      </c>
      <c r="L877" s="105">
        <v>-50.199999999999946</v>
      </c>
    </row>
    <row r="878" spans="11:12" x14ac:dyDescent="0.4">
      <c r="K878" s="40">
        <v>876</v>
      </c>
      <c r="L878" s="105">
        <v>-5.9999999999999432</v>
      </c>
    </row>
    <row r="879" spans="11:12" x14ac:dyDescent="0.4">
      <c r="K879" s="40">
        <v>877</v>
      </c>
      <c r="L879" s="105">
        <v>12.500000000000057</v>
      </c>
    </row>
    <row r="880" spans="11:12" x14ac:dyDescent="0.4">
      <c r="K880" s="40">
        <v>878</v>
      </c>
      <c r="L880" s="105">
        <v>5.0000000000000568</v>
      </c>
    </row>
    <row r="881" spans="11:12" x14ac:dyDescent="0.4">
      <c r="K881" s="40">
        <v>879</v>
      </c>
      <c r="L881" s="105">
        <v>-6.9999999999999432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A44C-5776-466D-A9ED-E795383AC03D}">
  <sheetPr codeName="Sheet7"/>
  <dimension ref="A1:Q2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133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250</v>
      </c>
      <c r="C2" s="150"/>
      <c r="E2" s="64" t="s">
        <v>71</v>
      </c>
      <c r="F2" s="61" t="s">
        <v>25</v>
      </c>
      <c r="G2" s="48">
        <v>438</v>
      </c>
      <c r="H2" s="140">
        <f>IF(B$27=0,0,G2/B$27)</f>
        <v>0.85048543689320388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1398.3739837398373</v>
      </c>
      <c r="P2" s="124">
        <v>246</v>
      </c>
      <c r="Q2" s="108">
        <v>344000</v>
      </c>
    </row>
    <row r="3" spans="1:17" x14ac:dyDescent="0.4">
      <c r="A3" s="57" t="s">
        <v>8</v>
      </c>
      <c r="B3" s="155">
        <v>1887</v>
      </c>
      <c r="C3" s="156"/>
      <c r="E3" s="65" t="s">
        <v>69</v>
      </c>
      <c r="F3" s="62" t="s">
        <v>23</v>
      </c>
      <c r="G3" s="49">
        <v>380</v>
      </c>
      <c r="H3" s="141">
        <f>IF(B$27=0,0,G3/B$27)</f>
        <v>0.73786407766990292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510.97046413502107</v>
      </c>
      <c r="P3" s="125">
        <v>237</v>
      </c>
      <c r="Q3" s="109">
        <v>121100</v>
      </c>
    </row>
    <row r="4" spans="1:17" x14ac:dyDescent="0.4">
      <c r="A4" s="57" t="s">
        <v>6</v>
      </c>
      <c r="B4" s="157">
        <v>1800.5999999999997</v>
      </c>
      <c r="C4" s="158"/>
      <c r="E4" s="65" t="s">
        <v>67</v>
      </c>
      <c r="F4" s="62" t="s">
        <v>21</v>
      </c>
      <c r="G4" s="49">
        <v>282</v>
      </c>
      <c r="H4" s="141">
        <f>IF(B$27=0,0,G4/B$27)</f>
        <v>0.54757281553398063</v>
      </c>
      <c r="I4" s="100">
        <v>7</v>
      </c>
      <c r="K4" s="40">
        <v>2</v>
      </c>
      <c r="L4" s="105">
        <v>14</v>
      </c>
      <c r="N4" s="121" t="s">
        <v>149</v>
      </c>
      <c r="O4" s="128">
        <f t="shared" si="0"/>
        <v>1926.6968325791854</v>
      </c>
      <c r="P4" s="125">
        <v>221</v>
      </c>
      <c r="Q4" s="109">
        <v>425800</v>
      </c>
    </row>
    <row r="5" spans="1:17" x14ac:dyDescent="0.4">
      <c r="A5" s="57" t="s">
        <v>7</v>
      </c>
      <c r="B5" s="159">
        <f>IF(B$2=0,0,B$4/B$2)</f>
        <v>7.202399999999999</v>
      </c>
      <c r="C5" s="160"/>
      <c r="E5" s="65" t="s">
        <v>76</v>
      </c>
      <c r="F5" s="62" t="s">
        <v>29</v>
      </c>
      <c r="G5" s="49">
        <v>273</v>
      </c>
      <c r="H5" s="141">
        <f>IF(B$27=0,0,G5/B$27)</f>
        <v>0.53009708737864081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1685.929648241206</v>
      </c>
      <c r="P5" s="125">
        <v>199</v>
      </c>
      <c r="Q5" s="109">
        <v>335500</v>
      </c>
    </row>
    <row r="6" spans="1:17" x14ac:dyDescent="0.4">
      <c r="A6" s="57" t="s">
        <v>1</v>
      </c>
      <c r="B6" s="147">
        <f>IF(B$2=0,0,(B$7*1+B$8*2+B$9*3)/B$2)</f>
        <v>1.748</v>
      </c>
      <c r="C6" s="148"/>
      <c r="E6" s="65" t="s">
        <v>70</v>
      </c>
      <c r="F6" s="62" t="s">
        <v>24</v>
      </c>
      <c r="G6" s="49">
        <v>152</v>
      </c>
      <c r="H6" s="141">
        <f>IF(B$27=0,0,G6/B$27)</f>
        <v>0.29514563106796116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1512.6436781609195</v>
      </c>
      <c r="P6" s="125">
        <v>174</v>
      </c>
      <c r="Q6" s="109">
        <v>263200</v>
      </c>
    </row>
    <row r="7" spans="1:17" x14ac:dyDescent="0.4">
      <c r="A7" s="57" t="s">
        <v>2</v>
      </c>
      <c r="B7" s="49">
        <v>112</v>
      </c>
      <c r="C7" s="41">
        <f>IF(B$2=0,0,B7/B$2)</f>
        <v>0.44800000000000001</v>
      </c>
      <c r="E7" s="65" t="s">
        <v>72</v>
      </c>
      <c r="F7" s="62" t="s">
        <v>12</v>
      </c>
      <c r="G7" s="49">
        <v>152</v>
      </c>
      <c r="H7" s="141">
        <f>IF(B$27=0,0,G7/B$27)</f>
        <v>0.29514563106796116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0"/>
        <v>1950.3546099290779</v>
      </c>
      <c r="P7" s="126">
        <v>141</v>
      </c>
      <c r="Q7" s="110">
        <v>275000</v>
      </c>
    </row>
    <row r="8" spans="1:17" x14ac:dyDescent="0.4">
      <c r="A8" s="57" t="s">
        <v>3</v>
      </c>
      <c r="B8" s="49">
        <v>89</v>
      </c>
      <c r="C8" s="41">
        <f>IF(B$2=0,0,B8/B$2)</f>
        <v>0.35599999999999998</v>
      </c>
      <c r="E8" s="65" t="s">
        <v>94</v>
      </c>
      <c r="F8" s="62" t="s">
        <v>47</v>
      </c>
      <c r="G8" s="49">
        <v>92</v>
      </c>
      <c r="H8" s="141">
        <f>IF(B$27=0,0,G8/B$27)</f>
        <v>0.17864077669902911</v>
      </c>
      <c r="I8" s="100">
        <v>2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0.19600000000000001</v>
      </c>
      <c r="E9" s="65" t="s">
        <v>73</v>
      </c>
      <c r="F9" s="62" t="s">
        <v>26</v>
      </c>
      <c r="G9" s="49">
        <v>80</v>
      </c>
      <c r="H9" s="141">
        <f>IF(B$27=0,0,G9/B$27)</f>
        <v>0.1553398058252427</v>
      </c>
      <c r="I9" s="100">
        <v>4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9.6000000000000002E-2</v>
      </c>
      <c r="E10" s="65" t="s">
        <v>68</v>
      </c>
      <c r="F10" s="62" t="s">
        <v>22</v>
      </c>
      <c r="G10" s="49">
        <v>63</v>
      </c>
      <c r="H10" s="141">
        <f>IF(B$27=0,0,G10/B$27)</f>
        <v>0.12233009708737864</v>
      </c>
      <c r="I10" s="100">
        <v>7</v>
      </c>
      <c r="K10" s="40">
        <v>8</v>
      </c>
      <c r="L10" s="105">
        <v>55.700000000000017</v>
      </c>
      <c r="N10" s="120" t="s">
        <v>253</v>
      </c>
      <c r="O10" s="130">
        <f>IF(P10=0,0,Q10/P10)</f>
        <v>8.6519230769230795</v>
      </c>
      <c r="P10" s="124">
        <v>52</v>
      </c>
      <c r="Q10" s="112">
        <v>449.90000000000015</v>
      </c>
    </row>
    <row r="11" spans="1:17" x14ac:dyDescent="0.4">
      <c r="A11" s="58" t="s">
        <v>155</v>
      </c>
      <c r="B11" s="50">
        <v>47</v>
      </c>
      <c r="C11" s="42">
        <f>IF(B$2=0,0,B11/B$2)</f>
        <v>0.188</v>
      </c>
      <c r="E11" s="65" t="s">
        <v>74</v>
      </c>
      <c r="F11" s="62" t="s">
        <v>27</v>
      </c>
      <c r="G11" s="49">
        <v>42</v>
      </c>
      <c r="H11" s="141">
        <f>IF(B$27=0,0,G11/B$27)</f>
        <v>8.155339805825243E-2</v>
      </c>
      <c r="I11" s="100">
        <v>8</v>
      </c>
      <c r="K11" s="40">
        <v>9</v>
      </c>
      <c r="L11" s="105">
        <v>14.700000000000017</v>
      </c>
      <c r="N11" s="121" t="s">
        <v>254</v>
      </c>
      <c r="O11" s="131">
        <f>IF(P11=0,0,Q11/P11)</f>
        <v>6.5573333333333332</v>
      </c>
      <c r="P11" s="125">
        <v>75</v>
      </c>
      <c r="Q11" s="113">
        <v>491.8</v>
      </c>
    </row>
    <row r="12" spans="1:17" x14ac:dyDescent="0.4">
      <c r="A12" s="59" t="s">
        <v>239</v>
      </c>
      <c r="B12" s="51">
        <v>26</v>
      </c>
      <c r="C12" s="44">
        <f>IF(B$2=0,0,B12/B$2)</f>
        <v>0.104</v>
      </c>
      <c r="E12" s="65" t="s">
        <v>91</v>
      </c>
      <c r="F12" s="62" t="s">
        <v>44</v>
      </c>
      <c r="G12" s="49">
        <v>36</v>
      </c>
      <c r="H12" s="141">
        <f>IF(B$27=0,0,G12/B$27)</f>
        <v>6.9902912621359226E-2</v>
      </c>
      <c r="I12" s="100">
        <v>8</v>
      </c>
      <c r="K12" s="40">
        <v>10</v>
      </c>
      <c r="L12" s="105">
        <v>-16.799999999999983</v>
      </c>
      <c r="N12" s="122" t="s">
        <v>255</v>
      </c>
      <c r="O12" s="132">
        <f>IF(P12=0,0,Q12/P12)</f>
        <v>6.9275000000000002</v>
      </c>
      <c r="P12" s="126">
        <v>120</v>
      </c>
      <c r="Q12" s="114">
        <v>831.30000000000007</v>
      </c>
    </row>
    <row r="13" spans="1:17" x14ac:dyDescent="0.4">
      <c r="A13" s="60" t="s">
        <v>128</v>
      </c>
      <c r="B13" s="52">
        <v>436</v>
      </c>
      <c r="C13" s="46">
        <f>IF(B$26=0,0,B13/B$26)</f>
        <v>0.30468204053109715</v>
      </c>
      <c r="E13" s="65" t="s">
        <v>75</v>
      </c>
      <c r="F13" s="62" t="s">
        <v>28</v>
      </c>
      <c r="G13" s="49">
        <v>32</v>
      </c>
      <c r="H13" s="141">
        <f>IF(B$27=0,0,G13/B$27)</f>
        <v>6.2135922330097085E-2</v>
      </c>
      <c r="I13" s="100">
        <v>3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294</v>
      </c>
      <c r="C14" s="41">
        <f>IF(B$26=0,0,B14/B$26)</f>
        <v>0.20545073375262055</v>
      </c>
      <c r="E14" s="65" t="s">
        <v>88</v>
      </c>
      <c r="F14" s="62" t="s">
        <v>41</v>
      </c>
      <c r="G14" s="49">
        <v>18</v>
      </c>
      <c r="H14" s="141">
        <f>IF(B$27=0,0,G14/B$27)</f>
        <v>3.4951456310679613E-2</v>
      </c>
      <c r="I14" s="100">
        <v>7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284</v>
      </c>
      <c r="C15" s="39">
        <f>IF(B$13=0,0,B15/B$13)</f>
        <v>0.65137614678899081</v>
      </c>
      <c r="E15" s="65" t="s">
        <v>86</v>
      </c>
      <c r="F15" s="62" t="s">
        <v>39</v>
      </c>
      <c r="G15" s="49">
        <v>11</v>
      </c>
      <c r="H15" s="141">
        <f>IF(B$27=0,0,G15/B$27)</f>
        <v>2.1359223300970873E-2</v>
      </c>
      <c r="I15" s="100">
        <v>8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142</v>
      </c>
      <c r="C16" s="39">
        <f>IF(B$14=0,0,B16/B$14)</f>
        <v>0.48299319727891155</v>
      </c>
      <c r="E16" s="65" t="s">
        <v>96</v>
      </c>
      <c r="F16" s="62" t="s">
        <v>49</v>
      </c>
      <c r="G16" s="49">
        <v>8</v>
      </c>
      <c r="H16" s="141">
        <f>IF(B$27=0,0,G16/B$27)</f>
        <v>1.5533980582524271E-2</v>
      </c>
      <c r="I16" s="100">
        <v>9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671</v>
      </c>
      <c r="C17" s="39">
        <f>IF(B$3=0,0,B17/B$3)</f>
        <v>0.35559088500264968</v>
      </c>
      <c r="E17" s="65" t="s">
        <v>82</v>
      </c>
      <c r="F17" s="62" t="s">
        <v>35</v>
      </c>
      <c r="G17" s="49">
        <v>7</v>
      </c>
      <c r="H17" s="141">
        <f>IF(B$27=0,0,G17/B$27)</f>
        <v>1.3592233009708738E-2</v>
      </c>
      <c r="I17" s="100">
        <v>9</v>
      </c>
      <c r="K17" s="40">
        <v>15</v>
      </c>
      <c r="L17" s="105">
        <v>-9.6999999999999886</v>
      </c>
      <c r="N17" s="121" t="s">
        <v>157</v>
      </c>
      <c r="O17" s="131">
        <f>IF(P17=0,0,Q17/P17)</f>
        <v>29.464000000000002</v>
      </c>
      <c r="P17" s="125">
        <v>25</v>
      </c>
      <c r="Q17" s="113">
        <v>736.6</v>
      </c>
    </row>
    <row r="18" spans="1:17" x14ac:dyDescent="0.4">
      <c r="A18" s="57" t="s">
        <v>12</v>
      </c>
      <c r="B18" s="49">
        <v>255</v>
      </c>
      <c r="C18" s="41">
        <f>IF(B$17=0,0,B18/B$17)</f>
        <v>0.38002980625931443</v>
      </c>
      <c r="E18" s="65" t="s">
        <v>83</v>
      </c>
      <c r="F18" s="62" t="s">
        <v>36</v>
      </c>
      <c r="G18" s="49">
        <v>5</v>
      </c>
      <c r="H18" s="141">
        <f>IF(B$27=0,0,G18/B$27)</f>
        <v>9.7087378640776691E-3</v>
      </c>
      <c r="I18" s="100">
        <v>9</v>
      </c>
      <c r="K18" s="40">
        <v>16</v>
      </c>
      <c r="L18" s="105">
        <v>-8.099999999999989</v>
      </c>
      <c r="N18" s="121" t="s">
        <v>250</v>
      </c>
      <c r="O18" s="131">
        <f>IF(P18=0,0,Q18/P18)</f>
        <v>26.587499999999995</v>
      </c>
      <c r="P18" s="125">
        <v>8</v>
      </c>
      <c r="Q18" s="113">
        <v>212.69999999999996</v>
      </c>
    </row>
    <row r="19" spans="1:17" x14ac:dyDescent="0.4">
      <c r="A19" s="57" t="s">
        <v>11</v>
      </c>
      <c r="B19" s="49">
        <v>416</v>
      </c>
      <c r="C19" s="41">
        <f>IF(B$17=0,0,B19/B$17)</f>
        <v>0.61997019374068552</v>
      </c>
      <c r="E19" s="65" t="s">
        <v>79</v>
      </c>
      <c r="F19" s="62" t="s">
        <v>32</v>
      </c>
      <c r="G19" s="49">
        <v>4</v>
      </c>
      <c r="H19" s="141">
        <f>IF(B$27=0,0,G19/B$27)</f>
        <v>7.7669902912621356E-3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16.418181818181822</v>
      </c>
      <c r="P19" s="125">
        <v>66</v>
      </c>
      <c r="Q19" s="113">
        <v>1083.6000000000001</v>
      </c>
    </row>
    <row r="20" spans="1:17" x14ac:dyDescent="0.4">
      <c r="A20" s="57" t="s">
        <v>13</v>
      </c>
      <c r="B20" s="49">
        <v>264</v>
      </c>
      <c r="C20" s="41">
        <f>IF(B$3=0,0,B20/B$3)</f>
        <v>0.13990461049284578</v>
      </c>
      <c r="E20" s="65" t="s">
        <v>81</v>
      </c>
      <c r="F20" s="62" t="s">
        <v>34</v>
      </c>
      <c r="G20" s="49">
        <v>4</v>
      </c>
      <c r="H20" s="141">
        <f>IF(B$27=0,0,G20/B$27)</f>
        <v>7.7669902912621356E-3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>IF(P20=0,0,Q20/P20)</f>
        <v>10.896116504854373</v>
      </c>
      <c r="P20" s="125">
        <v>103</v>
      </c>
      <c r="Q20" s="113">
        <v>1122.3000000000004</v>
      </c>
    </row>
    <row r="21" spans="1:17" x14ac:dyDescent="0.4">
      <c r="A21" s="57" t="s">
        <v>5</v>
      </c>
      <c r="B21" s="53">
        <f>IF(B$17=0,0,C21/B$17)</f>
        <v>9956.3338301043223</v>
      </c>
      <c r="C21" s="43">
        <v>6680700</v>
      </c>
      <c r="E21" s="65" t="s">
        <v>77</v>
      </c>
      <c r="F21" s="62" t="s">
        <v>30</v>
      </c>
      <c r="G21" s="49">
        <v>3</v>
      </c>
      <c r="H21" s="141">
        <f>IF(B$27=0,0,G21/B$27)</f>
        <v>5.8252427184466021E-3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>IF(P21=0,0,Q21/P21)</f>
        <v>9.2920353982300821</v>
      </c>
      <c r="P21" s="125">
        <v>113</v>
      </c>
      <c r="Q21" s="113">
        <v>1049.9999999999993</v>
      </c>
    </row>
    <row r="22" spans="1:17" x14ac:dyDescent="0.4">
      <c r="A22" s="59" t="s">
        <v>14</v>
      </c>
      <c r="B22" s="54">
        <f>IF(B$20=0,0,C22/B$20)</f>
        <v>-9338.257575757576</v>
      </c>
      <c r="C22" s="47">
        <v>-2465300</v>
      </c>
      <c r="E22" s="65" t="s">
        <v>97</v>
      </c>
      <c r="F22" s="62" t="s">
        <v>50</v>
      </c>
      <c r="G22" s="49">
        <v>3</v>
      </c>
      <c r="H22" s="141">
        <f>IF(B$27=0,0,G22/B$27)</f>
        <v>5.8252427184466021E-3</v>
      </c>
      <c r="I22" s="100">
        <v>4</v>
      </c>
      <c r="K22" s="40">
        <v>20</v>
      </c>
      <c r="L22" s="105">
        <v>68.800000000000011</v>
      </c>
      <c r="N22" s="121" t="s">
        <v>138</v>
      </c>
      <c r="O22" s="131">
        <f>IF(P22=0,0,Q22/P22)</f>
        <v>9.1555555555555568</v>
      </c>
      <c r="P22" s="125">
        <v>27</v>
      </c>
      <c r="Q22" s="113">
        <v>247.20000000000005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2</v>
      </c>
      <c r="H23" s="141">
        <f>IF(B$27=0,0,G23/B$27)</f>
        <v>3.8834951456310678E-3</v>
      </c>
      <c r="I23" s="100">
        <v>3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43">
        <v>120200</v>
      </c>
      <c r="C24" s="144"/>
      <c r="E24" s="65" t="s">
        <v>90</v>
      </c>
      <c r="F24" s="62" t="s">
        <v>43</v>
      </c>
      <c r="G24" s="49">
        <v>2</v>
      </c>
      <c r="H24" s="141">
        <f>IF(B$27=0,0,G24/B$27)</f>
        <v>3.8834951456310678E-3</v>
      </c>
      <c r="I24" s="100">
        <v>3</v>
      </c>
      <c r="K24" s="40">
        <v>22</v>
      </c>
      <c r="L24" s="105">
        <v>99.800000000000011</v>
      </c>
      <c r="N24" s="121" t="s">
        <v>137</v>
      </c>
      <c r="O24" s="131">
        <f>IF(P24=0,0,Q24/P24)</f>
        <v>4.3132653061224486</v>
      </c>
      <c r="P24" s="125">
        <v>98</v>
      </c>
      <c r="Q24" s="113">
        <v>422.7</v>
      </c>
    </row>
    <row r="25" spans="1:17" x14ac:dyDescent="0.4">
      <c r="A25" s="59" t="s">
        <v>159</v>
      </c>
      <c r="B25" s="67">
        <v>2</v>
      </c>
      <c r="C25" s="44">
        <f>IF(B$3=0,0,B25/B$3)</f>
        <v>1.0598834128245894E-3</v>
      </c>
      <c r="E25" s="65" t="s">
        <v>92</v>
      </c>
      <c r="F25" s="62" t="s">
        <v>45</v>
      </c>
      <c r="G25" s="49">
        <v>2</v>
      </c>
      <c r="H25" s="141">
        <f>IF(B$27=0,0,G25/B$27)</f>
        <v>3.8834951456310678E-3</v>
      </c>
      <c r="I25" s="100">
        <v>2</v>
      </c>
      <c r="K25" s="40">
        <v>23</v>
      </c>
      <c r="L25" s="105">
        <v>124.50000000000001</v>
      </c>
      <c r="N25" s="121" t="s">
        <v>135</v>
      </c>
      <c r="O25" s="131">
        <f>IF(P25=0,0,Q25/P25)</f>
        <v>2.0518518518518509</v>
      </c>
      <c r="P25" s="125">
        <v>54</v>
      </c>
      <c r="Q25" s="113">
        <v>110.79999999999995</v>
      </c>
    </row>
    <row r="26" spans="1:17" x14ac:dyDescent="0.4">
      <c r="A26" s="56" t="s">
        <v>126</v>
      </c>
      <c r="B26" s="149">
        <v>1431</v>
      </c>
      <c r="C26" s="150"/>
      <c r="E26" s="65" t="s">
        <v>95</v>
      </c>
      <c r="F26" s="62" t="s">
        <v>48</v>
      </c>
      <c r="G26" s="49">
        <v>1</v>
      </c>
      <c r="H26" s="141">
        <f>IF(B$27=0,0,G26/B$27)</f>
        <v>1.9417475728155339E-3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1">
        <v>515</v>
      </c>
      <c r="C27" s="152"/>
      <c r="E27" s="65" t="s">
        <v>98</v>
      </c>
      <c r="F27" s="62" t="s">
        <v>51</v>
      </c>
      <c r="G27" s="49">
        <v>1</v>
      </c>
      <c r="H27" s="141">
        <f>IF(B$27=0,0,G27/B$27)</f>
        <v>1.9417475728155339E-3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41">
        <f>IF(B$27=0,0,G28/B$27)</f>
        <v>1.9417475728155339E-3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41">
        <f>IF(B$27=0,0,G29/B$27)</f>
        <v>1.9417475728155339E-3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41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41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  <row r="238" spans="11:12" x14ac:dyDescent="0.4">
      <c r="K238" s="40">
        <v>236</v>
      </c>
      <c r="L238" s="105">
        <v>1584.1999999999998</v>
      </c>
    </row>
    <row r="239" spans="11:12" x14ac:dyDescent="0.4">
      <c r="K239" s="40">
        <v>237</v>
      </c>
      <c r="L239" s="105">
        <v>1591.9999999999998</v>
      </c>
    </row>
    <row r="240" spans="11:12" x14ac:dyDescent="0.4">
      <c r="K240" s="40">
        <v>238</v>
      </c>
      <c r="L240" s="105">
        <v>1638.8999999999999</v>
      </c>
    </row>
    <row r="241" spans="11:12" x14ac:dyDescent="0.4">
      <c r="K241" s="40">
        <v>239</v>
      </c>
      <c r="L241" s="105">
        <v>1645.1999999999998</v>
      </c>
    </row>
    <row r="242" spans="11:12" x14ac:dyDescent="0.4">
      <c r="K242" s="40">
        <v>240</v>
      </c>
      <c r="L242" s="105">
        <v>1669.4999999999998</v>
      </c>
    </row>
    <row r="243" spans="11:12" x14ac:dyDescent="0.4">
      <c r="K243" s="40">
        <v>241</v>
      </c>
      <c r="L243" s="105">
        <v>1659.0999999999997</v>
      </c>
    </row>
    <row r="244" spans="11:12" x14ac:dyDescent="0.4">
      <c r="K244" s="40">
        <v>242</v>
      </c>
      <c r="L244" s="105">
        <v>1658.0999999999997</v>
      </c>
    </row>
    <row r="245" spans="11:12" x14ac:dyDescent="0.4">
      <c r="K245" s="40">
        <v>243</v>
      </c>
      <c r="L245" s="105">
        <v>1677.8999999999996</v>
      </c>
    </row>
    <row r="246" spans="11:12" x14ac:dyDescent="0.4">
      <c r="K246" s="40">
        <v>244</v>
      </c>
      <c r="L246" s="105">
        <v>1705.5999999999997</v>
      </c>
    </row>
    <row r="247" spans="11:12" x14ac:dyDescent="0.4">
      <c r="K247" s="40">
        <v>245</v>
      </c>
      <c r="L247" s="105">
        <v>1713.0999999999997</v>
      </c>
    </row>
    <row r="248" spans="11:12" x14ac:dyDescent="0.4">
      <c r="K248" s="40">
        <v>246</v>
      </c>
      <c r="L248" s="105">
        <v>1744.5999999999997</v>
      </c>
    </row>
    <row r="249" spans="11:12" x14ac:dyDescent="0.4">
      <c r="K249" s="40">
        <v>247</v>
      </c>
      <c r="L249" s="105">
        <v>1797.0999999999997</v>
      </c>
    </row>
    <row r="250" spans="11:12" x14ac:dyDescent="0.4">
      <c r="K250" s="40">
        <v>248</v>
      </c>
      <c r="L250" s="105">
        <v>1790.8999999999996</v>
      </c>
    </row>
    <row r="251" spans="11:12" x14ac:dyDescent="0.4">
      <c r="K251" s="40">
        <v>249</v>
      </c>
      <c r="L251" s="105">
        <v>1782.0999999999997</v>
      </c>
    </row>
    <row r="252" spans="11:12" x14ac:dyDescent="0.4">
      <c r="K252" s="40">
        <v>250</v>
      </c>
      <c r="L252" s="105">
        <v>1800.5999999999997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8824-C5CF-41CC-A321-3AC377A7944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166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67</v>
      </c>
      <c r="F2" s="61" t="s">
        <v>21</v>
      </c>
      <c r="G2" s="48">
        <v>0</v>
      </c>
      <c r="H2" s="140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55">
        <v>25</v>
      </c>
      <c r="C3" s="156"/>
      <c r="E3" s="65" t="s">
        <v>68</v>
      </c>
      <c r="F3" s="62" t="s">
        <v>22</v>
      </c>
      <c r="G3" s="49">
        <v>0</v>
      </c>
      <c r="H3" s="141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57">
        <v>-132.1</v>
      </c>
      <c r="C4" s="158"/>
      <c r="E4" s="65" t="s">
        <v>69</v>
      </c>
      <c r="F4" s="62" t="s">
        <v>23</v>
      </c>
      <c r="G4" s="49">
        <v>0</v>
      </c>
      <c r="H4" s="141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9">
        <f>IF(B$2=0,0,B$4/B$2)</f>
        <v>-33.024999999999999</v>
      </c>
      <c r="C5" s="160"/>
      <c r="E5" s="65" t="s">
        <v>70</v>
      </c>
      <c r="F5" s="62" t="s">
        <v>24</v>
      </c>
      <c r="G5" s="49">
        <v>0</v>
      </c>
      <c r="H5" s="141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47">
        <f>IF(B$2=0,0,(B$7*1+B$8*2+B$9*3)/B$2)</f>
        <v>3</v>
      </c>
      <c r="C6" s="148"/>
      <c r="E6" s="65" t="s">
        <v>71</v>
      </c>
      <c r="F6" s="62" t="s">
        <v>25</v>
      </c>
      <c r="G6" s="49">
        <v>0</v>
      </c>
      <c r="H6" s="141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41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41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41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41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41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41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41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41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41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41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41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41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41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41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41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0</v>
      </c>
      <c r="C23" s="146"/>
      <c r="E23" s="65" t="s">
        <v>88</v>
      </c>
      <c r="F23" s="62" t="s">
        <v>41</v>
      </c>
      <c r="G23" s="49">
        <v>0</v>
      </c>
      <c r="H23" s="141">
        <f>IF(B$27=0,0,G23/B$27)</f>
        <v>0</v>
      </c>
      <c r="I23" s="100">
        <v>12</v>
      </c>
    </row>
    <row r="24" spans="1:17" x14ac:dyDescent="0.4">
      <c r="A24" s="60" t="s">
        <v>199</v>
      </c>
      <c r="B24" s="143">
        <v>13000</v>
      </c>
      <c r="C24" s="144"/>
      <c r="E24" s="65" t="s">
        <v>89</v>
      </c>
      <c r="F24" s="62" t="s">
        <v>42</v>
      </c>
      <c r="G24" s="49">
        <v>0</v>
      </c>
      <c r="H24" s="141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41">
        <f>IF(B$27=0,0,G25/B$27)</f>
        <v>0</v>
      </c>
      <c r="I25" s="100">
        <v>6</v>
      </c>
    </row>
    <row r="26" spans="1:17" x14ac:dyDescent="0.4">
      <c r="A26" s="56" t="s">
        <v>126</v>
      </c>
      <c r="B26" s="149">
        <v>0</v>
      </c>
      <c r="C26" s="150"/>
      <c r="E26" s="65" t="s">
        <v>91</v>
      </c>
      <c r="F26" s="62" t="s">
        <v>44</v>
      </c>
      <c r="G26" s="49">
        <v>0</v>
      </c>
      <c r="H26" s="141">
        <f>IF(B$27=0,0,G26/B$27)</f>
        <v>0</v>
      </c>
      <c r="I26" s="100">
        <v>14</v>
      </c>
    </row>
    <row r="27" spans="1:17" x14ac:dyDescent="0.4">
      <c r="A27" s="59" t="s">
        <v>127</v>
      </c>
      <c r="B27" s="151">
        <v>0</v>
      </c>
      <c r="C27" s="152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B5BD-A1D2-48FF-B7CC-97ABD27F89C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167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69</v>
      </c>
      <c r="F2" s="61" t="s">
        <v>23</v>
      </c>
      <c r="G2" s="48">
        <v>5</v>
      </c>
      <c r="H2" s="140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55">
        <v>24</v>
      </c>
      <c r="C3" s="156"/>
      <c r="E3" s="65" t="s">
        <v>76</v>
      </c>
      <c r="F3" s="62" t="s">
        <v>29</v>
      </c>
      <c r="G3" s="49">
        <v>3</v>
      </c>
      <c r="H3" s="141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57">
        <v>-15.5</v>
      </c>
      <c r="C4" s="158"/>
      <c r="E4" s="65" t="s">
        <v>67</v>
      </c>
      <c r="F4" s="62" t="s">
        <v>21</v>
      </c>
      <c r="G4" s="49">
        <v>2</v>
      </c>
      <c r="H4" s="141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9">
        <f>IF(B$2=0,0,B$4/B$2)</f>
        <v>-3.875</v>
      </c>
      <c r="C5" s="160"/>
      <c r="E5" s="65" t="s">
        <v>70</v>
      </c>
      <c r="F5" s="62" t="s">
        <v>24</v>
      </c>
      <c r="G5" s="49">
        <v>2</v>
      </c>
      <c r="H5" s="141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71</v>
      </c>
      <c r="F6" s="62" t="s">
        <v>25</v>
      </c>
      <c r="G6" s="49">
        <v>2</v>
      </c>
      <c r="H6" s="141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41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41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41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41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41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41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41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3</v>
      </c>
      <c r="C23" s="14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46000</v>
      </c>
      <c r="C24" s="14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19</v>
      </c>
      <c r="C26" s="150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4</v>
      </c>
      <c r="C27" s="152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F20-71A3-4B45-9E2F-FBA704E96211}">
  <sheetPr codeName="Sheet13"/>
  <dimension ref="A1:Q138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134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136</v>
      </c>
      <c r="C2" s="150"/>
      <c r="E2" s="64" t="s">
        <v>71</v>
      </c>
      <c r="F2" s="61" t="s">
        <v>25</v>
      </c>
      <c r="G2" s="48">
        <v>171</v>
      </c>
      <c r="H2" s="140">
        <f>IF(B$27=0,0,G2/B$27)</f>
        <v>0.79534883720930227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-854.47761194029852</v>
      </c>
      <c r="P2" s="124">
        <v>134</v>
      </c>
      <c r="Q2" s="108">
        <v>-114500</v>
      </c>
    </row>
    <row r="3" spans="1:17" x14ac:dyDescent="0.4">
      <c r="A3" s="57" t="s">
        <v>8</v>
      </c>
      <c r="B3" s="155">
        <v>1053</v>
      </c>
      <c r="C3" s="156"/>
      <c r="E3" s="65" t="s">
        <v>69</v>
      </c>
      <c r="F3" s="62" t="s">
        <v>23</v>
      </c>
      <c r="G3" s="49">
        <v>147</v>
      </c>
      <c r="H3" s="141">
        <f>IF(B$27=0,0,G3/B$27)</f>
        <v>0.68372093023255809</v>
      </c>
      <c r="I3" s="100">
        <v>8</v>
      </c>
      <c r="K3" s="40">
        <v>1</v>
      </c>
      <c r="L3" s="105">
        <v>40.9</v>
      </c>
      <c r="N3" s="121" t="s">
        <v>148</v>
      </c>
      <c r="O3" s="128">
        <f t="shared" si="0"/>
        <v>-1213.8461538461538</v>
      </c>
      <c r="P3" s="125">
        <v>130</v>
      </c>
      <c r="Q3" s="109">
        <v>-157800</v>
      </c>
    </row>
    <row r="4" spans="1:17" x14ac:dyDescent="0.4">
      <c r="A4" s="57" t="s">
        <v>6</v>
      </c>
      <c r="B4" s="157">
        <v>-497.4</v>
      </c>
      <c r="C4" s="158"/>
      <c r="E4" s="65" t="s">
        <v>67</v>
      </c>
      <c r="F4" s="62" t="s">
        <v>21</v>
      </c>
      <c r="G4" s="49">
        <v>133</v>
      </c>
      <c r="H4" s="141">
        <f>IF(B$27=0,0,G4/B$27)</f>
        <v>0.61860465116279073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1375.2</v>
      </c>
      <c r="P4" s="125">
        <v>125</v>
      </c>
      <c r="Q4" s="109">
        <v>171900</v>
      </c>
    </row>
    <row r="5" spans="1:17" x14ac:dyDescent="0.4">
      <c r="A5" s="57" t="s">
        <v>7</v>
      </c>
      <c r="B5" s="159">
        <f>IF(B$2=0,0,B$4/B$2)</f>
        <v>-3.6573529411764705</v>
      </c>
      <c r="C5" s="160"/>
      <c r="E5" s="65" t="s">
        <v>76</v>
      </c>
      <c r="F5" s="62" t="s">
        <v>29</v>
      </c>
      <c r="G5" s="49">
        <v>109</v>
      </c>
      <c r="H5" s="141">
        <f>IF(B$27=0,0,G5/B$27)</f>
        <v>0.50697674418604655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-887.5</v>
      </c>
      <c r="P5" s="125">
        <v>112</v>
      </c>
      <c r="Q5" s="109">
        <v>-99400</v>
      </c>
    </row>
    <row r="6" spans="1:17" x14ac:dyDescent="0.4">
      <c r="A6" s="57" t="s">
        <v>1</v>
      </c>
      <c r="B6" s="147">
        <f>IF(B$2=0,0,(B$7*1+B$8*2+B$9*3)/B$2)</f>
        <v>2.1102941176470589</v>
      </c>
      <c r="C6" s="148"/>
      <c r="E6" s="65" t="s">
        <v>72</v>
      </c>
      <c r="F6" s="62" t="s">
        <v>12</v>
      </c>
      <c r="G6" s="49">
        <v>79</v>
      </c>
      <c r="H6" s="141">
        <f>IF(B$27=0,0,G6/B$27)</f>
        <v>0.36744186046511629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-1951.0416666666667</v>
      </c>
      <c r="P6" s="125">
        <v>96</v>
      </c>
      <c r="Q6" s="109">
        <v>-187300</v>
      </c>
    </row>
    <row r="7" spans="1:17" x14ac:dyDescent="0.4">
      <c r="A7" s="57" t="s">
        <v>2</v>
      </c>
      <c r="B7" s="49">
        <v>39</v>
      </c>
      <c r="C7" s="41">
        <f>IF(B$2=0,0,B7/B$2)</f>
        <v>0.28676470588235292</v>
      </c>
      <c r="E7" s="65" t="s">
        <v>70</v>
      </c>
      <c r="F7" s="62" t="s">
        <v>24</v>
      </c>
      <c r="G7" s="49">
        <v>66</v>
      </c>
      <c r="H7" s="141">
        <f>IF(B$27=0,0,G7/B$27)</f>
        <v>0.30697674418604654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-1737.3333333333333</v>
      </c>
      <c r="P7" s="126">
        <v>75</v>
      </c>
      <c r="Q7" s="110">
        <v>-130300</v>
      </c>
    </row>
    <row r="8" spans="1:17" x14ac:dyDescent="0.4">
      <c r="A8" s="57" t="s">
        <v>3</v>
      </c>
      <c r="B8" s="49">
        <v>43</v>
      </c>
      <c r="C8" s="41">
        <f>IF(B$2=0,0,B8/B$2)</f>
        <v>0.31617647058823528</v>
      </c>
      <c r="E8" s="65" t="s">
        <v>94</v>
      </c>
      <c r="F8" s="62" t="s">
        <v>47</v>
      </c>
      <c r="G8" s="49">
        <v>38</v>
      </c>
      <c r="H8" s="141">
        <f>IF(B$27=0,0,G8/B$27)</f>
        <v>0.17674418604651163</v>
      </c>
      <c r="I8" s="100">
        <v>3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54</v>
      </c>
      <c r="C9" s="42">
        <f t="shared" ref="C9" si="1">IF(B$2=0,0,B9/B$2)</f>
        <v>0.39705882352941174</v>
      </c>
      <c r="E9" s="65" t="s">
        <v>73</v>
      </c>
      <c r="F9" s="62" t="s">
        <v>26</v>
      </c>
      <c r="G9" s="49">
        <v>33</v>
      </c>
      <c r="H9" s="141">
        <f>IF(B$27=0,0,G9/B$27)</f>
        <v>0.15348837209302327</v>
      </c>
      <c r="I9" s="100">
        <v>6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26</v>
      </c>
      <c r="C10" s="42">
        <f>IF(B$2=0,0,B10/B$2)</f>
        <v>0.19117647058823528</v>
      </c>
      <c r="E10" s="65" t="s">
        <v>68</v>
      </c>
      <c r="F10" s="62" t="s">
        <v>22</v>
      </c>
      <c r="G10" s="49">
        <v>31</v>
      </c>
      <c r="H10" s="141">
        <f>IF(B$27=0,0,G10/B$27)</f>
        <v>0.14418604651162792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-7.3999999999999995</v>
      </c>
      <c r="P10" s="124">
        <v>44</v>
      </c>
      <c r="Q10" s="112">
        <v>-325.59999999999997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0.125</v>
      </c>
      <c r="E11" s="65" t="s">
        <v>74</v>
      </c>
      <c r="F11" s="62" t="s">
        <v>27</v>
      </c>
      <c r="G11" s="49">
        <v>29</v>
      </c>
      <c r="H11" s="141">
        <f>IF(B$27=0,0,G11/B$27)</f>
        <v>0.13488372093023257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-4.3579999999999997</v>
      </c>
      <c r="P11" s="125">
        <v>50</v>
      </c>
      <c r="Q11" s="113">
        <v>-217.89999999999998</v>
      </c>
    </row>
    <row r="12" spans="1:17" x14ac:dyDescent="0.4">
      <c r="A12" s="59" t="s">
        <v>239</v>
      </c>
      <c r="B12" s="51">
        <v>10</v>
      </c>
      <c r="C12" s="44">
        <f>IF(B$2=0,0,B12/B$2)</f>
        <v>7.3529411764705885E-2</v>
      </c>
      <c r="E12" s="65" t="s">
        <v>91</v>
      </c>
      <c r="F12" s="62" t="s">
        <v>44</v>
      </c>
      <c r="G12" s="49">
        <v>20</v>
      </c>
      <c r="H12" s="141">
        <f>IF(B$27=0,0,G12/B$27)</f>
        <v>9.3023255813953487E-2</v>
      </c>
      <c r="I12" s="100">
        <v>5</v>
      </c>
      <c r="K12" s="40">
        <v>10</v>
      </c>
      <c r="L12" s="105">
        <v>-20.100000000000001</v>
      </c>
      <c r="N12" s="122" t="s">
        <v>255</v>
      </c>
      <c r="O12" s="132">
        <f>IF(P12=0,0,Q12/P12)</f>
        <v>-9.5121951219512155E-2</v>
      </c>
      <c r="P12" s="126">
        <v>41</v>
      </c>
      <c r="Q12" s="114">
        <v>-3.8999999999999986</v>
      </c>
    </row>
    <row r="13" spans="1:17" x14ac:dyDescent="0.4">
      <c r="A13" s="60" t="s">
        <v>128</v>
      </c>
      <c r="B13" s="52">
        <v>232</v>
      </c>
      <c r="C13" s="46">
        <f>IF(B$26=0,0,B13/B$26)</f>
        <v>0.29292929292929293</v>
      </c>
      <c r="E13" s="65" t="s">
        <v>88</v>
      </c>
      <c r="F13" s="62" t="s">
        <v>41</v>
      </c>
      <c r="G13" s="49">
        <v>16</v>
      </c>
      <c r="H13" s="141">
        <f>IF(B$27=0,0,G13/B$27)</f>
        <v>7.441860465116279E-2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141</v>
      </c>
      <c r="C14" s="41">
        <f>IF(B$26=0,0,B14/B$26)</f>
        <v>0.17803030303030304</v>
      </c>
      <c r="E14" s="65" t="s">
        <v>86</v>
      </c>
      <c r="F14" s="62" t="s">
        <v>39</v>
      </c>
      <c r="G14" s="49">
        <v>10</v>
      </c>
      <c r="H14" s="141">
        <f>IF(B$27=0,0,G14/B$27)</f>
        <v>4.6511627906976744E-2</v>
      </c>
      <c r="I14" s="100">
        <v>4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135</v>
      </c>
      <c r="C15" s="39">
        <f>IF(B$13=0,0,B15/B$13)</f>
        <v>0.5818965517241379</v>
      </c>
      <c r="E15" s="65" t="s">
        <v>75</v>
      </c>
      <c r="F15" s="62" t="s">
        <v>28</v>
      </c>
      <c r="G15" s="49">
        <v>7</v>
      </c>
      <c r="H15" s="141">
        <f>IF(B$27=0,0,G15/B$27)</f>
        <v>3.255813953488372E-2</v>
      </c>
      <c r="I15" s="100">
        <v>9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55</v>
      </c>
      <c r="C16" s="39">
        <f>IF(B$14=0,0,B16/B$14)</f>
        <v>0.39007092198581561</v>
      </c>
      <c r="E16" s="65" t="s">
        <v>96</v>
      </c>
      <c r="F16" s="62" t="s">
        <v>49</v>
      </c>
      <c r="G16" s="49">
        <v>7</v>
      </c>
      <c r="H16" s="141">
        <f>IF(B$27=0,0,G16/B$27)</f>
        <v>3.255813953488372E-2</v>
      </c>
      <c r="I16" s="100">
        <v>2</v>
      </c>
      <c r="K16" s="40">
        <v>14</v>
      </c>
      <c r="L16" s="105">
        <v>33</v>
      </c>
      <c r="N16" s="121" t="s">
        <v>167</v>
      </c>
      <c r="O16" s="131">
        <f>IF(P16=0,0,Q16/P16)</f>
        <v>26.466666666666669</v>
      </c>
      <c r="P16" s="125">
        <v>3</v>
      </c>
      <c r="Q16" s="113">
        <v>79.400000000000006</v>
      </c>
    </row>
    <row r="17" spans="1:17" x14ac:dyDescent="0.4">
      <c r="A17" s="56" t="s">
        <v>10</v>
      </c>
      <c r="B17" s="48">
        <f>B19+B18</f>
        <v>276</v>
      </c>
      <c r="C17" s="39">
        <f>IF(B$3=0,0,B17/B$3)</f>
        <v>0.2621082621082621</v>
      </c>
      <c r="E17" s="65" t="s">
        <v>82</v>
      </c>
      <c r="F17" s="62" t="s">
        <v>35</v>
      </c>
      <c r="G17" s="49">
        <v>5</v>
      </c>
      <c r="H17" s="141">
        <f>IF(B$27=0,0,G17/B$27)</f>
        <v>2.3255813953488372E-2</v>
      </c>
      <c r="I17" s="100">
        <v>7</v>
      </c>
      <c r="K17" s="40">
        <v>15</v>
      </c>
      <c r="L17" s="105">
        <v>38.5</v>
      </c>
      <c r="N17" s="121" t="s">
        <v>136</v>
      </c>
      <c r="O17" s="131">
        <f>IF(P17=0,0,Q17/P17)</f>
        <v>24.274999999999999</v>
      </c>
      <c r="P17" s="125">
        <v>20</v>
      </c>
      <c r="Q17" s="113">
        <v>485.49999999999994</v>
      </c>
    </row>
    <row r="18" spans="1:17" x14ac:dyDescent="0.4">
      <c r="A18" s="57" t="s">
        <v>12</v>
      </c>
      <c r="B18" s="49">
        <v>124</v>
      </c>
      <c r="C18" s="41">
        <f>IF(B$17=0,0,B18/B$17)</f>
        <v>0.44927536231884058</v>
      </c>
      <c r="E18" s="65" t="s">
        <v>83</v>
      </c>
      <c r="F18" s="62" t="s">
        <v>36</v>
      </c>
      <c r="G18" s="49">
        <v>3</v>
      </c>
      <c r="H18" s="141">
        <f>IF(B$27=0,0,G18/B$27)</f>
        <v>1.3953488372093023E-2</v>
      </c>
      <c r="I18" s="100">
        <v>8</v>
      </c>
      <c r="K18" s="40">
        <v>16</v>
      </c>
      <c r="L18" s="105">
        <v>14.600000000000001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152</v>
      </c>
      <c r="C19" s="41">
        <f>IF(B$17=0,0,B19/B$17)</f>
        <v>0.55072463768115942</v>
      </c>
      <c r="E19" s="65" t="s">
        <v>89</v>
      </c>
      <c r="F19" s="62" t="s">
        <v>42</v>
      </c>
      <c r="G19" s="49">
        <v>2</v>
      </c>
      <c r="H19" s="141">
        <f>IF(B$27=0,0,G19/B$27)</f>
        <v>9.3023255813953487E-3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204</v>
      </c>
      <c r="C20" s="41">
        <f>IF(B$3=0,0,B20/B$3)</f>
        <v>0.19373219373219372</v>
      </c>
      <c r="E20" s="65" t="s">
        <v>90</v>
      </c>
      <c r="F20" s="62" t="s">
        <v>43</v>
      </c>
      <c r="G20" s="49">
        <v>2</v>
      </c>
      <c r="H20" s="141">
        <f>IF(B$27=0,0,G20/B$27)</f>
        <v>9.3023255813953487E-3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-9.2920353982300821</v>
      </c>
      <c r="P20" s="125">
        <v>113</v>
      </c>
      <c r="Q20" s="113">
        <v>-1049.9999999999993</v>
      </c>
    </row>
    <row r="21" spans="1:17" x14ac:dyDescent="0.4">
      <c r="A21" s="57" t="s">
        <v>5</v>
      </c>
      <c r="B21" s="53">
        <f>IF(B$17=0,0,C21/B$17)</f>
        <v>10943.840579710144</v>
      </c>
      <c r="C21" s="43">
        <v>3020500</v>
      </c>
      <c r="E21" s="65" t="s">
        <v>97</v>
      </c>
      <c r="F21" s="62" t="s">
        <v>50</v>
      </c>
      <c r="G21" s="49">
        <v>2</v>
      </c>
      <c r="H21" s="141">
        <f>IF(B$27=0,0,G21/B$27)</f>
        <v>9.3023255813953487E-3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-9620.5882352941171</v>
      </c>
      <c r="C22" s="47">
        <v>-1962600</v>
      </c>
      <c r="E22" s="65" t="s">
        <v>77</v>
      </c>
      <c r="F22" s="62" t="s">
        <v>30</v>
      </c>
      <c r="G22" s="49">
        <v>1</v>
      </c>
      <c r="H22" s="141">
        <f>IF(B$27=0,0,G22/B$27)</f>
        <v>4.6511627906976744E-3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-15.415789473684203</v>
      </c>
      <c r="P22" s="125">
        <v>38</v>
      </c>
      <c r="Q22" s="113">
        <v>-585.79999999999973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1</v>
      </c>
      <c r="H23" s="141">
        <f>IF(B$27=0,0,G23/B$27)</f>
        <v>4.6511627906976744E-3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-15.488888888888889</v>
      </c>
      <c r="P23" s="125">
        <v>36</v>
      </c>
      <c r="Q23" s="113">
        <v>-557.6</v>
      </c>
    </row>
    <row r="24" spans="1:17" x14ac:dyDescent="0.4">
      <c r="A24" s="60" t="s">
        <v>199</v>
      </c>
      <c r="B24" s="143">
        <v>97700</v>
      </c>
      <c r="C24" s="144"/>
      <c r="E24" s="65" t="s">
        <v>85</v>
      </c>
      <c r="F24" s="62" t="s">
        <v>38</v>
      </c>
      <c r="G24" s="49">
        <v>1</v>
      </c>
      <c r="H24" s="141">
        <f>IF(B$27=0,0,G24/B$27)</f>
        <v>4.6511627906976744E-3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3.7986704653371322E-3</v>
      </c>
      <c r="E25" s="65" t="s">
        <v>92</v>
      </c>
      <c r="F25" s="62" t="s">
        <v>45</v>
      </c>
      <c r="G25" s="49">
        <v>1</v>
      </c>
      <c r="H25" s="141">
        <f>IF(B$27=0,0,G25/B$27)</f>
        <v>4.6511627906976744E-3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9">
        <v>792</v>
      </c>
      <c r="C26" s="150"/>
      <c r="E26" s="65" t="s">
        <v>93</v>
      </c>
      <c r="F26" s="62" t="s">
        <v>46</v>
      </c>
      <c r="G26" s="49">
        <v>1</v>
      </c>
      <c r="H26" s="141">
        <f>IF(B$27=0,0,G26/B$27)</f>
        <v>4.6511627906976744E-3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1">
        <v>215</v>
      </c>
      <c r="C27" s="152"/>
      <c r="E27" s="65" t="s">
        <v>79</v>
      </c>
      <c r="F27" s="62" t="s">
        <v>32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41">
        <f>IF(B$27=0,0,G29/B$27)</f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  <row r="135" spans="11:12" x14ac:dyDescent="0.4">
      <c r="K135" s="40">
        <v>133</v>
      </c>
      <c r="L135" s="105">
        <v>-489.59999999999997</v>
      </c>
    </row>
    <row r="136" spans="11:12" x14ac:dyDescent="0.4">
      <c r="K136" s="40">
        <v>134</v>
      </c>
      <c r="L136" s="105">
        <v>-489.9</v>
      </c>
    </row>
    <row r="137" spans="11:12" x14ac:dyDescent="0.4">
      <c r="K137" s="40">
        <v>135</v>
      </c>
      <c r="L137" s="105">
        <v>-480.2</v>
      </c>
    </row>
    <row r="138" spans="11:12" x14ac:dyDescent="0.4">
      <c r="K138" s="40">
        <v>136</v>
      </c>
      <c r="L138" s="105">
        <v>-497.4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5FF0-287B-43BE-BBC5-8AEEDA8BE13E}">
  <sheetPr codeName="Sheet15"/>
  <dimension ref="A1:Q6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135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63</v>
      </c>
      <c r="C2" s="150"/>
      <c r="E2" s="64" t="s">
        <v>71</v>
      </c>
      <c r="F2" s="61" t="s">
        <v>25</v>
      </c>
      <c r="G2" s="48">
        <v>63</v>
      </c>
      <c r="H2" s="140">
        <f>IF(B$27=0,0,G2/B$27)</f>
        <v>0.9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-331.74603174603175</v>
      </c>
      <c r="P2" s="124">
        <v>63</v>
      </c>
      <c r="Q2" s="108">
        <v>-20900</v>
      </c>
    </row>
    <row r="3" spans="1:17" x14ac:dyDescent="0.4">
      <c r="A3" s="57" t="s">
        <v>8</v>
      </c>
      <c r="B3" s="155">
        <v>455</v>
      </c>
      <c r="C3" s="156"/>
      <c r="E3" s="65" t="s">
        <v>69</v>
      </c>
      <c r="F3" s="62" t="s">
        <v>23</v>
      </c>
      <c r="G3" s="49">
        <v>61</v>
      </c>
      <c r="H3" s="141">
        <f>IF(B$27=0,0,G3/B$27)</f>
        <v>0.87142857142857144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2160</v>
      </c>
      <c r="P3" s="125">
        <v>60</v>
      </c>
      <c r="Q3" s="109">
        <v>129600</v>
      </c>
    </row>
    <row r="4" spans="1:17" x14ac:dyDescent="0.4">
      <c r="A4" s="57" t="s">
        <v>6</v>
      </c>
      <c r="B4" s="157">
        <v>243.20000000000005</v>
      </c>
      <c r="C4" s="158"/>
      <c r="E4" s="65" t="s">
        <v>76</v>
      </c>
      <c r="F4" s="62" t="s">
        <v>29</v>
      </c>
      <c r="G4" s="49">
        <v>46</v>
      </c>
      <c r="H4" s="141">
        <f>IF(B$27=0,0,G4/B$27)</f>
        <v>0.65714285714285714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-1722.8070175438597</v>
      </c>
      <c r="P4" s="125">
        <v>57</v>
      </c>
      <c r="Q4" s="109">
        <v>-98200</v>
      </c>
    </row>
    <row r="5" spans="1:17" x14ac:dyDescent="0.4">
      <c r="A5" s="57" t="s">
        <v>7</v>
      </c>
      <c r="B5" s="159">
        <f>IF(B$2=0,0,B$4/B$2)</f>
        <v>3.8603174603174613</v>
      </c>
      <c r="C5" s="160"/>
      <c r="E5" s="65" t="s">
        <v>67</v>
      </c>
      <c r="F5" s="62" t="s">
        <v>21</v>
      </c>
      <c r="G5" s="49">
        <v>28</v>
      </c>
      <c r="H5" s="141">
        <f>IF(B$27=0,0,G5/B$27)</f>
        <v>0.4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-566.66666666666663</v>
      </c>
      <c r="P5" s="125">
        <v>48</v>
      </c>
      <c r="Q5" s="109">
        <v>-27200</v>
      </c>
    </row>
    <row r="6" spans="1:17" x14ac:dyDescent="0.4">
      <c r="A6" s="57" t="s">
        <v>1</v>
      </c>
      <c r="B6" s="147">
        <f>IF(B$2=0,0,(B$7*1+B$8*2+B$9*3)/B$2)</f>
        <v>1.9365079365079365</v>
      </c>
      <c r="C6" s="148"/>
      <c r="E6" s="65" t="s">
        <v>72</v>
      </c>
      <c r="F6" s="62" t="s">
        <v>12</v>
      </c>
      <c r="G6" s="49">
        <v>19</v>
      </c>
      <c r="H6" s="141">
        <f>IF(B$27=0,0,G6/B$27)</f>
        <v>0.27142857142857141</v>
      </c>
      <c r="I6" s="100">
        <v>9</v>
      </c>
      <c r="K6" s="40">
        <v>4</v>
      </c>
      <c r="L6" s="105">
        <v>-53.7</v>
      </c>
      <c r="N6" s="121" t="s">
        <v>151</v>
      </c>
      <c r="O6" s="128">
        <f t="shared" si="0"/>
        <v>6638.0952380952385</v>
      </c>
      <c r="P6" s="125">
        <v>42</v>
      </c>
      <c r="Q6" s="109">
        <v>278800</v>
      </c>
    </row>
    <row r="7" spans="1:17" x14ac:dyDescent="0.4">
      <c r="A7" s="57" t="s">
        <v>2</v>
      </c>
      <c r="B7" s="49">
        <v>21</v>
      </c>
      <c r="C7" s="41">
        <f>IF(B$2=0,0,B7/B$2)</f>
        <v>0.33333333333333331</v>
      </c>
      <c r="E7" s="65" t="s">
        <v>70</v>
      </c>
      <c r="F7" s="62" t="s">
        <v>24</v>
      </c>
      <c r="G7" s="49">
        <v>17</v>
      </c>
      <c r="H7" s="141">
        <f>IF(B$27=0,0,G7/B$27)</f>
        <v>0.24285714285714285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-550</v>
      </c>
      <c r="P7" s="126">
        <v>30</v>
      </c>
      <c r="Q7" s="110">
        <v>-16500</v>
      </c>
    </row>
    <row r="8" spans="1:17" x14ac:dyDescent="0.4">
      <c r="A8" s="57" t="s">
        <v>3</v>
      </c>
      <c r="B8" s="49">
        <v>25</v>
      </c>
      <c r="C8" s="41">
        <f>IF(B$2=0,0,B8/B$2)</f>
        <v>0.3968253968253968</v>
      </c>
      <c r="E8" s="65" t="s">
        <v>88</v>
      </c>
      <c r="F8" s="62" t="s">
        <v>41</v>
      </c>
      <c r="G8" s="49">
        <v>7</v>
      </c>
      <c r="H8" s="141">
        <f>IF(B$27=0,0,G8/B$27)</f>
        <v>0.1</v>
      </c>
      <c r="I8" s="100">
        <v>4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0.26984126984126983</v>
      </c>
      <c r="E9" s="65" t="s">
        <v>73</v>
      </c>
      <c r="F9" s="62" t="s">
        <v>26</v>
      </c>
      <c r="G9" s="49">
        <v>6</v>
      </c>
      <c r="H9" s="141">
        <f>IF(B$27=0,0,G9/B$27)</f>
        <v>8.5714285714285715E-2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0.1111111111111111</v>
      </c>
      <c r="E10" s="65" t="s">
        <v>94</v>
      </c>
      <c r="F10" s="62" t="s">
        <v>47</v>
      </c>
      <c r="G10" s="49">
        <v>6</v>
      </c>
      <c r="H10" s="141">
        <f>IF(B$27=0,0,G10/B$27)</f>
        <v>8.5714285714285715E-2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2.6315789473684212</v>
      </c>
      <c r="P10" s="124">
        <v>19</v>
      </c>
      <c r="Q10" s="112">
        <v>50</v>
      </c>
    </row>
    <row r="11" spans="1:17" x14ac:dyDescent="0.4">
      <c r="A11" s="58" t="s">
        <v>155</v>
      </c>
      <c r="B11" s="50">
        <v>11</v>
      </c>
      <c r="C11" s="42">
        <f>IF(B$2=0,0,B11/B$2)</f>
        <v>0.17460317460317459</v>
      </c>
      <c r="E11" s="65" t="s">
        <v>68</v>
      </c>
      <c r="F11" s="62" t="s">
        <v>22</v>
      </c>
      <c r="G11" s="49">
        <v>5</v>
      </c>
      <c r="H11" s="141">
        <f>IF(B$27=0,0,G11/B$27)</f>
        <v>7.1428571428571425E-2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5.484375</v>
      </c>
      <c r="P11" s="125">
        <v>32</v>
      </c>
      <c r="Q11" s="113">
        <v>175.5</v>
      </c>
    </row>
    <row r="12" spans="1:17" x14ac:dyDescent="0.4">
      <c r="A12" s="59" t="s">
        <v>239</v>
      </c>
      <c r="B12" s="51">
        <v>3</v>
      </c>
      <c r="C12" s="44">
        <f>IF(B$2=0,0,B12/B$2)</f>
        <v>4.7619047619047616E-2</v>
      </c>
      <c r="E12" s="65" t="s">
        <v>74</v>
      </c>
      <c r="F12" s="62" t="s">
        <v>27</v>
      </c>
      <c r="G12" s="49">
        <v>5</v>
      </c>
      <c r="H12" s="141">
        <f>IF(B$27=0,0,G12/B$27)</f>
        <v>7.1428571428571425E-2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49</v>
      </c>
      <c r="C13" s="46">
        <f>IF(B$26=0,0,B13/B$26)</f>
        <v>0.22580645161290322</v>
      </c>
      <c r="E13" s="65" t="s">
        <v>86</v>
      </c>
      <c r="F13" s="62" t="s">
        <v>39</v>
      </c>
      <c r="G13" s="49">
        <v>4</v>
      </c>
      <c r="H13" s="141">
        <f>IF(B$27=0,0,G13/B$27)</f>
        <v>5.7142857142857141E-2</v>
      </c>
      <c r="I13" s="100">
        <v>2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67</v>
      </c>
      <c r="C14" s="41">
        <f>IF(B$26=0,0,B14/B$26)</f>
        <v>0.30875576036866359</v>
      </c>
      <c r="E14" s="65" t="s">
        <v>91</v>
      </c>
      <c r="F14" s="62" t="s">
        <v>44</v>
      </c>
      <c r="G14" s="49">
        <v>3</v>
      </c>
      <c r="H14" s="141">
        <f>IF(B$27=0,0,G14/B$27)</f>
        <v>4.2857142857142858E-2</v>
      </c>
      <c r="I14" s="100">
        <v>10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0.5714285714285714</v>
      </c>
      <c r="E15" s="65" t="s">
        <v>96</v>
      </c>
      <c r="F15" s="62" t="s">
        <v>49</v>
      </c>
      <c r="G15" s="49">
        <v>2</v>
      </c>
      <c r="H15" s="141">
        <f>IF(B$27=0,0,G15/B$27)</f>
        <v>2.8571428571428571E-2</v>
      </c>
      <c r="I15" s="100">
        <v>3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28</v>
      </c>
      <c r="C16" s="39">
        <f>IF(B$14=0,0,B16/B$14)</f>
        <v>0.41791044776119401</v>
      </c>
      <c r="E16" s="65" t="s">
        <v>75</v>
      </c>
      <c r="F16" s="62" t="s">
        <v>28</v>
      </c>
      <c r="G16" s="49">
        <v>1</v>
      </c>
      <c r="H16" s="141">
        <f>IF(B$27=0,0,G16/B$27)</f>
        <v>1.4285714285714285E-2</v>
      </c>
      <c r="I16" s="100">
        <v>11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157</v>
      </c>
      <c r="C17" s="39">
        <f>IF(B$3=0,0,B17/B$3)</f>
        <v>0.34505494505494505</v>
      </c>
      <c r="E17" s="65" t="s">
        <v>82</v>
      </c>
      <c r="F17" s="62" t="s">
        <v>35</v>
      </c>
      <c r="G17" s="49">
        <v>1</v>
      </c>
      <c r="H17" s="141">
        <f>IF(B$27=0,0,G17/B$27)</f>
        <v>1.4285714285714285E-2</v>
      </c>
      <c r="I17" s="100">
        <v>8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0.43312101910828027</v>
      </c>
      <c r="E18" s="65" t="s">
        <v>98</v>
      </c>
      <c r="F18" s="62" t="s">
        <v>51</v>
      </c>
      <c r="G18" s="49">
        <v>1</v>
      </c>
      <c r="H18" s="141">
        <f>IF(B$27=0,0,G18/B$27)</f>
        <v>1.4285714285714285E-2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89</v>
      </c>
      <c r="C19" s="41">
        <f>IF(B$17=0,0,B19/B$17)</f>
        <v>0.56687898089171973</v>
      </c>
      <c r="E19" s="65" t="s">
        <v>77</v>
      </c>
      <c r="F19" s="62" t="s">
        <v>30</v>
      </c>
      <c r="G19" s="49">
        <v>0</v>
      </c>
      <c r="H19" s="141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15.415789473684203</v>
      </c>
      <c r="P19" s="125">
        <v>38</v>
      </c>
      <c r="Q19" s="113">
        <v>585.79999999999973</v>
      </c>
    </row>
    <row r="20" spans="1:17" x14ac:dyDescent="0.4">
      <c r="A20" s="57" t="s">
        <v>13</v>
      </c>
      <c r="B20" s="49">
        <v>71</v>
      </c>
      <c r="C20" s="41">
        <f>IF(B$3=0,0,B20/B$3)</f>
        <v>0.15604395604395604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9724.2038216560504</v>
      </c>
      <c r="C21" s="43">
        <v>1526700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-9021.1267605633802</v>
      </c>
      <c r="C22" s="47">
        <v>-640500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>IF(P23=0,0,Q23/P23)</f>
        <v>-2.0518518518518514</v>
      </c>
      <c r="P23" s="125">
        <v>54</v>
      </c>
      <c r="Q23" s="113">
        <v>-110.79999999999998</v>
      </c>
    </row>
    <row r="24" spans="1:17" x14ac:dyDescent="0.4">
      <c r="A24" s="60" t="s">
        <v>199</v>
      </c>
      <c r="B24" s="143">
        <v>118000</v>
      </c>
      <c r="C24" s="144"/>
      <c r="E24" s="65" t="s">
        <v>83</v>
      </c>
      <c r="F24" s="62" t="s">
        <v>36</v>
      </c>
      <c r="G24" s="49">
        <v>0</v>
      </c>
      <c r="H24" s="141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2.1978021978021978E-3</v>
      </c>
      <c r="E25" s="65" t="s">
        <v>84</v>
      </c>
      <c r="F25" s="62" t="s">
        <v>37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9">
        <v>217</v>
      </c>
      <c r="C26" s="150"/>
      <c r="E26" s="65" t="s">
        <v>85</v>
      </c>
      <c r="F26" s="62" t="s">
        <v>38</v>
      </c>
      <c r="G26" s="49">
        <v>0</v>
      </c>
      <c r="H26" s="141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1">
        <v>70</v>
      </c>
      <c r="C27" s="152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  <row r="64" spans="5:12" x14ac:dyDescent="0.4">
      <c r="K64" s="40">
        <v>62</v>
      </c>
      <c r="L64" s="105">
        <v>249.20000000000005</v>
      </c>
    </row>
    <row r="65" spans="11:12" x14ac:dyDescent="0.4">
      <c r="K65" s="40">
        <v>63</v>
      </c>
      <c r="L65" s="105">
        <v>243.20000000000005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A7E32-53D2-464D-A1EF-0A60D8D8DB10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171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5</v>
      </c>
      <c r="C2" s="150"/>
      <c r="E2" s="64" t="s">
        <v>67</v>
      </c>
      <c r="F2" s="61" t="s">
        <v>21</v>
      </c>
      <c r="G2" s="48">
        <v>6</v>
      </c>
      <c r="H2" s="140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55">
        <v>37</v>
      </c>
      <c r="C3" s="156"/>
      <c r="E3" s="65" t="s">
        <v>71</v>
      </c>
      <c r="F3" s="62" t="s">
        <v>25</v>
      </c>
      <c r="G3" s="49">
        <v>6</v>
      </c>
      <c r="H3" s="141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57">
        <v>-86.4</v>
      </c>
      <c r="C4" s="158"/>
      <c r="E4" s="65" t="s">
        <v>68</v>
      </c>
      <c r="F4" s="62" t="s">
        <v>22</v>
      </c>
      <c r="G4" s="49">
        <v>4</v>
      </c>
      <c r="H4" s="141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9">
        <f>IF(B$2=0,0,B$4/B$2)</f>
        <v>-17.28</v>
      </c>
      <c r="C5" s="160"/>
      <c r="E5" s="65" t="s">
        <v>76</v>
      </c>
      <c r="F5" s="62" t="s">
        <v>29</v>
      </c>
      <c r="G5" s="49">
        <v>4</v>
      </c>
      <c r="H5" s="141">
        <f>IF(B$27=0,0,G5/B$27)</f>
        <v>0.44444444444444442</v>
      </c>
      <c r="I5" s="100">
        <v>13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47">
        <f>IF(B$2=0,0,(B$7*1+B$8*2+B$9*3)/B$2)</f>
        <v>2.2000000000000002</v>
      </c>
      <c r="C6" s="148"/>
      <c r="E6" s="65" t="s">
        <v>72</v>
      </c>
      <c r="F6" s="62" t="s">
        <v>12</v>
      </c>
      <c r="G6" s="49">
        <v>3</v>
      </c>
      <c r="H6" s="141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41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41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41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41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41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41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41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41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41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41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41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41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41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41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3</v>
      </c>
      <c r="C23" s="146"/>
      <c r="E23" s="65" t="s">
        <v>87</v>
      </c>
      <c r="F23" s="62" t="s">
        <v>40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57800</v>
      </c>
      <c r="C24" s="144"/>
      <c r="E24" s="65" t="s">
        <v>88</v>
      </c>
      <c r="F24" s="62" t="s">
        <v>41</v>
      </c>
      <c r="G24" s="49">
        <v>0</v>
      </c>
      <c r="H24" s="141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41">
        <f>IF(B$27=0,0,G25/B$27)</f>
        <v>0</v>
      </c>
      <c r="I25" s="100">
        <v>5</v>
      </c>
    </row>
    <row r="26" spans="1:17" x14ac:dyDescent="0.4">
      <c r="A26" s="56" t="s">
        <v>126</v>
      </c>
      <c r="B26" s="149">
        <v>31</v>
      </c>
      <c r="C26" s="150"/>
      <c r="E26" s="65" t="s">
        <v>90</v>
      </c>
      <c r="F26" s="62" t="s">
        <v>43</v>
      </c>
      <c r="G26" s="49">
        <v>0</v>
      </c>
      <c r="H26" s="141">
        <f>IF(B$27=0,0,G26/B$27)</f>
        <v>0</v>
      </c>
      <c r="I26" s="100">
        <v>6</v>
      </c>
    </row>
    <row r="27" spans="1:17" x14ac:dyDescent="0.4">
      <c r="A27" s="59" t="s">
        <v>127</v>
      </c>
      <c r="B27" s="151">
        <v>9</v>
      </c>
      <c r="C27" s="152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99AC-E6BC-41A8-AA33-80203A8B86A3}">
  <sheetPr codeName="Sheet19"/>
  <dimension ref="A1:Q8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136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82</v>
      </c>
      <c r="C2" s="150"/>
      <c r="E2" s="64" t="s">
        <v>71</v>
      </c>
      <c r="F2" s="61" t="s">
        <v>25</v>
      </c>
      <c r="G2" s="48">
        <v>112</v>
      </c>
      <c r="H2" s="140">
        <f>IF(B$27=0,0,G2/B$27)</f>
        <v>0.91056910569105687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-1057.3170731707316</v>
      </c>
      <c r="P2" s="124">
        <v>82</v>
      </c>
      <c r="Q2" s="108">
        <v>-86700</v>
      </c>
    </row>
    <row r="3" spans="1:17" x14ac:dyDescent="0.4">
      <c r="A3" s="57" t="s">
        <v>8</v>
      </c>
      <c r="B3" s="155">
        <v>632</v>
      </c>
      <c r="C3" s="156"/>
      <c r="E3" s="65" t="s">
        <v>69</v>
      </c>
      <c r="F3" s="62" t="s">
        <v>23</v>
      </c>
      <c r="G3" s="49">
        <v>92</v>
      </c>
      <c r="H3" s="141">
        <f>IF(B$27=0,0,G3/B$27)</f>
        <v>0.74796747967479671</v>
      </c>
      <c r="I3" s="100">
        <v>5</v>
      </c>
      <c r="K3" s="40">
        <v>1</v>
      </c>
      <c r="L3" s="105">
        <v>68.2</v>
      </c>
      <c r="N3" s="121" t="s">
        <v>148</v>
      </c>
      <c r="O3" s="128">
        <f t="shared" si="0"/>
        <v>-2968.8311688311687</v>
      </c>
      <c r="P3" s="125">
        <v>77</v>
      </c>
      <c r="Q3" s="109">
        <v>-228600</v>
      </c>
    </row>
    <row r="4" spans="1:17" x14ac:dyDescent="0.4">
      <c r="A4" s="57" t="s">
        <v>6</v>
      </c>
      <c r="B4" s="157">
        <v>-517.70000000000005</v>
      </c>
      <c r="C4" s="158"/>
      <c r="E4" s="65" t="s">
        <v>76</v>
      </c>
      <c r="F4" s="62" t="s">
        <v>29</v>
      </c>
      <c r="G4" s="49">
        <v>69</v>
      </c>
      <c r="H4" s="141">
        <f>IF(B$27=0,0,G4/B$27)</f>
        <v>0.56097560975609762</v>
      </c>
      <c r="I4" s="100">
        <v>7</v>
      </c>
      <c r="K4" s="40">
        <v>2</v>
      </c>
      <c r="L4" s="105">
        <v>58.5</v>
      </c>
      <c r="N4" s="121" t="s">
        <v>149</v>
      </c>
      <c r="O4" s="128">
        <f t="shared" si="0"/>
        <v>-1101.4492753623188</v>
      </c>
      <c r="P4" s="125">
        <v>69</v>
      </c>
      <c r="Q4" s="109">
        <v>-76000</v>
      </c>
    </row>
    <row r="5" spans="1:17" x14ac:dyDescent="0.4">
      <c r="A5" s="57" t="s">
        <v>7</v>
      </c>
      <c r="B5" s="159">
        <f>IF(B$2=0,0,B$4/B$2)</f>
        <v>-6.3134146341463424</v>
      </c>
      <c r="C5" s="160"/>
      <c r="E5" s="65" t="s">
        <v>67</v>
      </c>
      <c r="F5" s="62" t="s">
        <v>21</v>
      </c>
      <c r="G5" s="49">
        <v>59</v>
      </c>
      <c r="H5" s="141">
        <f>IF(B$27=0,0,G5/B$27)</f>
        <v>0.47967479674796748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-586.36363636363637</v>
      </c>
      <c r="P5" s="125">
        <v>66</v>
      </c>
      <c r="Q5" s="109">
        <v>-38700</v>
      </c>
    </row>
    <row r="6" spans="1:17" x14ac:dyDescent="0.4">
      <c r="A6" s="57" t="s">
        <v>1</v>
      </c>
      <c r="B6" s="147">
        <f>IF(B$2=0,0,(B$7*1+B$8*2+B$9*3)/B$2)</f>
        <v>2.1951219512195124</v>
      </c>
      <c r="C6" s="148"/>
      <c r="E6" s="65" t="s">
        <v>72</v>
      </c>
      <c r="F6" s="62" t="s">
        <v>12</v>
      </c>
      <c r="G6" s="49">
        <v>41</v>
      </c>
      <c r="H6" s="141">
        <f>IF(B$27=0,0,G6/B$27)</f>
        <v>0.33333333333333331</v>
      </c>
      <c r="I6" s="100">
        <v>3</v>
      </c>
      <c r="K6" s="40">
        <v>4</v>
      </c>
      <c r="L6" s="105">
        <v>57.699999999999996</v>
      </c>
      <c r="N6" s="121" t="s">
        <v>151</v>
      </c>
      <c r="O6" s="128">
        <f t="shared" si="0"/>
        <v>-1312.7272727272727</v>
      </c>
      <c r="P6" s="125">
        <v>55</v>
      </c>
      <c r="Q6" s="109">
        <v>-72200</v>
      </c>
    </row>
    <row r="7" spans="1:17" x14ac:dyDescent="0.4">
      <c r="A7" s="57" t="s">
        <v>2</v>
      </c>
      <c r="B7" s="49">
        <v>19</v>
      </c>
      <c r="C7" s="41">
        <f>IF(B$2=0,0,B7/B$2)</f>
        <v>0.23170731707317074</v>
      </c>
      <c r="E7" s="65" t="s">
        <v>68</v>
      </c>
      <c r="F7" s="62" t="s">
        <v>22</v>
      </c>
      <c r="G7" s="49">
        <v>19</v>
      </c>
      <c r="H7" s="141">
        <f>IF(B$27=0,0,G7/B$27)</f>
        <v>0.15447154471544716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0"/>
        <v>-761.36363636363637</v>
      </c>
      <c r="P7" s="126">
        <v>44</v>
      </c>
      <c r="Q7" s="110">
        <v>-33500</v>
      </c>
    </row>
    <row r="8" spans="1:17" x14ac:dyDescent="0.4">
      <c r="A8" s="57" t="s">
        <v>3</v>
      </c>
      <c r="B8" s="49">
        <v>28</v>
      </c>
      <c r="C8" s="41">
        <f>IF(B$2=0,0,B8/B$2)</f>
        <v>0.34146341463414637</v>
      </c>
      <c r="E8" s="65" t="s">
        <v>70</v>
      </c>
      <c r="F8" s="62" t="s">
        <v>24</v>
      </c>
      <c r="G8" s="49">
        <v>18</v>
      </c>
      <c r="H8" s="141">
        <f>IF(B$27=0,0,G8/B$27)</f>
        <v>0.14634146341463414</v>
      </c>
      <c r="I8" s="100">
        <v>12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35</v>
      </c>
      <c r="C9" s="42">
        <f t="shared" ref="C9" si="1">IF(B$2=0,0,B9/B$2)</f>
        <v>0.42682926829268292</v>
      </c>
      <c r="E9" s="65" t="s">
        <v>73</v>
      </c>
      <c r="F9" s="62" t="s">
        <v>26</v>
      </c>
      <c r="G9" s="49">
        <v>16</v>
      </c>
      <c r="H9" s="141">
        <f>IF(B$27=0,0,G9/B$27)</f>
        <v>0.13008130081300814</v>
      </c>
      <c r="I9" s="100">
        <v>8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16</v>
      </c>
      <c r="C10" s="42">
        <f>IF(B$2=0,0,B10/B$2)</f>
        <v>0.1951219512195122</v>
      </c>
      <c r="E10" s="65" t="s">
        <v>74</v>
      </c>
      <c r="F10" s="62" t="s">
        <v>27</v>
      </c>
      <c r="G10" s="49">
        <v>10</v>
      </c>
      <c r="H10" s="141">
        <f>IF(B$27=0,0,G10/B$27)</f>
        <v>8.1300813008130079E-2</v>
      </c>
      <c r="I10" s="100">
        <v>9</v>
      </c>
      <c r="K10" s="40">
        <v>8</v>
      </c>
      <c r="L10" s="105">
        <v>96.5</v>
      </c>
      <c r="N10" s="120" t="s">
        <v>253</v>
      </c>
      <c r="O10" s="130">
        <f>IF(P10=0,0,Q10/P10)</f>
        <v>-8.2810810810810835</v>
      </c>
      <c r="P10" s="124">
        <v>37</v>
      </c>
      <c r="Q10" s="112">
        <v>-306.40000000000009</v>
      </c>
    </row>
    <row r="11" spans="1:17" x14ac:dyDescent="0.4">
      <c r="A11" s="58" t="s">
        <v>155</v>
      </c>
      <c r="B11" s="50">
        <v>10</v>
      </c>
      <c r="C11" s="42">
        <f>IF(B$2=0,0,B11/B$2)</f>
        <v>0.12195121951219512</v>
      </c>
      <c r="E11" s="65" t="s">
        <v>94</v>
      </c>
      <c r="F11" s="62" t="s">
        <v>47</v>
      </c>
      <c r="G11" s="49">
        <v>10</v>
      </c>
      <c r="H11" s="141">
        <f>IF(B$27=0,0,G11/B$27)</f>
        <v>8.1300813008130079E-2</v>
      </c>
      <c r="I11" s="100">
        <v>12</v>
      </c>
      <c r="K11" s="40">
        <v>9</v>
      </c>
      <c r="L11" s="105">
        <v>82.8</v>
      </c>
      <c r="N11" s="121" t="s">
        <v>254</v>
      </c>
      <c r="O11" s="131">
        <f>IF(P11=0,0,Q11/P11)</f>
        <v>-5.1714285714285699</v>
      </c>
      <c r="P11" s="125">
        <v>21</v>
      </c>
      <c r="Q11" s="113">
        <v>-108.59999999999997</v>
      </c>
    </row>
    <row r="12" spans="1:17" x14ac:dyDescent="0.4">
      <c r="A12" s="59" t="s">
        <v>239</v>
      </c>
      <c r="B12" s="51">
        <v>4</v>
      </c>
      <c r="C12" s="44">
        <f>IF(B$2=0,0,B12/B$2)</f>
        <v>4.878048780487805E-2</v>
      </c>
      <c r="E12" s="65" t="s">
        <v>75</v>
      </c>
      <c r="F12" s="62" t="s">
        <v>28</v>
      </c>
      <c r="G12" s="49">
        <v>6</v>
      </c>
      <c r="H12" s="141">
        <f>IF(B$27=0,0,G12/B$27)</f>
        <v>4.878048780487805E-2</v>
      </c>
      <c r="I12" s="100">
        <v>5</v>
      </c>
      <c r="K12" s="40">
        <v>10</v>
      </c>
      <c r="L12" s="105">
        <v>110.5</v>
      </c>
      <c r="N12" s="122" t="s">
        <v>255</v>
      </c>
      <c r="O12" s="132">
        <f>IF(P12=0,0,Q12/P12)</f>
        <v>-4.2791666666666668</v>
      </c>
      <c r="P12" s="126">
        <v>24</v>
      </c>
      <c r="Q12" s="114">
        <v>-102.7</v>
      </c>
    </row>
    <row r="13" spans="1:17" x14ac:dyDescent="0.4">
      <c r="A13" s="60" t="s">
        <v>128</v>
      </c>
      <c r="B13" s="52">
        <v>124</v>
      </c>
      <c r="C13" s="46">
        <f>IF(B$26=0,0,B13/B$26)</f>
        <v>0.27433628318584069</v>
      </c>
      <c r="E13" s="65" t="s">
        <v>82</v>
      </c>
      <c r="F13" s="62" t="s">
        <v>35</v>
      </c>
      <c r="G13" s="49">
        <v>5</v>
      </c>
      <c r="H13" s="141">
        <f>IF(B$27=0,0,G13/B$27)</f>
        <v>4.065040650406504E-2</v>
      </c>
      <c r="I13" s="100">
        <v>4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125</v>
      </c>
      <c r="C14" s="41">
        <f>IF(B$26=0,0,B14/B$26)</f>
        <v>0.27654867256637167</v>
      </c>
      <c r="E14" s="65" t="s">
        <v>91</v>
      </c>
      <c r="F14" s="62" t="s">
        <v>44</v>
      </c>
      <c r="G14" s="49">
        <v>5</v>
      </c>
      <c r="H14" s="141">
        <f>IF(B$27=0,0,G14/B$27)</f>
        <v>4.065040650406504E-2</v>
      </c>
      <c r="I14" s="100">
        <v>12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61</v>
      </c>
      <c r="C15" s="39">
        <f>IF(B$13=0,0,B15/B$13)</f>
        <v>0.49193548387096775</v>
      </c>
      <c r="E15" s="65" t="s">
        <v>83</v>
      </c>
      <c r="F15" s="62" t="s">
        <v>36</v>
      </c>
      <c r="G15" s="49">
        <v>3</v>
      </c>
      <c r="H15" s="141">
        <f>IF(B$27=0,0,G15/B$27)</f>
        <v>2.4390243902439025E-2</v>
      </c>
      <c r="I15" s="100">
        <v>4</v>
      </c>
      <c r="K15" s="40">
        <v>13</v>
      </c>
      <c r="L15" s="105">
        <v>13.299999999999994</v>
      </c>
      <c r="N15" s="120" t="s">
        <v>157</v>
      </c>
      <c r="O15" s="130">
        <f>IF(P15=0,0,Q15/P15)</f>
        <v>26.95</v>
      </c>
      <c r="P15" s="124">
        <v>6</v>
      </c>
      <c r="Q15" s="112">
        <v>161.69999999999999</v>
      </c>
    </row>
    <row r="16" spans="1:17" x14ac:dyDescent="0.4">
      <c r="A16" s="56" t="s">
        <v>131</v>
      </c>
      <c r="B16" s="48">
        <v>45</v>
      </c>
      <c r="C16" s="39">
        <f>IF(B$14=0,0,B16/B$14)</f>
        <v>0.36</v>
      </c>
      <c r="E16" s="65" t="s">
        <v>86</v>
      </c>
      <c r="F16" s="62" t="s">
        <v>39</v>
      </c>
      <c r="G16" s="49">
        <v>2</v>
      </c>
      <c r="H16" s="141">
        <f>IF(B$27=0,0,G16/B$27)</f>
        <v>1.6260162601626018E-2</v>
      </c>
      <c r="I16" s="100">
        <v>9</v>
      </c>
      <c r="K16" s="40">
        <v>14</v>
      </c>
      <c r="L16" s="105">
        <v>4.7999999999999936</v>
      </c>
      <c r="N16" s="121" t="s">
        <v>137</v>
      </c>
      <c r="O16" s="131">
        <f>IF(P16=0,0,Q16/P16)</f>
        <v>7.2888888888888879</v>
      </c>
      <c r="P16" s="125">
        <v>36</v>
      </c>
      <c r="Q16" s="113">
        <v>262.39999999999998</v>
      </c>
    </row>
    <row r="17" spans="1:17" x14ac:dyDescent="0.4">
      <c r="A17" s="56" t="s">
        <v>10</v>
      </c>
      <c r="B17" s="48">
        <f>B19+B18</f>
        <v>174</v>
      </c>
      <c r="C17" s="39">
        <f>IF(B$3=0,0,B17/B$3)</f>
        <v>0.27531645569620256</v>
      </c>
      <c r="E17" s="65" t="s">
        <v>88</v>
      </c>
      <c r="F17" s="62" t="s">
        <v>41</v>
      </c>
      <c r="G17" s="49">
        <v>2</v>
      </c>
      <c r="H17" s="141">
        <f>IF(B$27=0,0,G17/B$27)</f>
        <v>1.6260162601626018E-2</v>
      </c>
      <c r="I17" s="100">
        <v>11</v>
      </c>
      <c r="K17" s="40">
        <v>15</v>
      </c>
      <c r="L17" s="105">
        <v>-33.700000000000003</v>
      </c>
      <c r="N17" s="121" t="s">
        <v>139</v>
      </c>
      <c r="O17" s="131">
        <f>IF(P17=0,0,Q17/P17)</f>
        <v>-0.35263157894736707</v>
      </c>
      <c r="P17" s="125">
        <v>19</v>
      </c>
      <c r="Q17" s="113">
        <v>-6.6999999999999744</v>
      </c>
    </row>
    <row r="18" spans="1:17" x14ac:dyDescent="0.4">
      <c r="A18" s="57" t="s">
        <v>12</v>
      </c>
      <c r="B18" s="49">
        <v>83</v>
      </c>
      <c r="C18" s="41">
        <f>IF(B$17=0,0,B18/B$17)</f>
        <v>0.47701149425287354</v>
      </c>
      <c r="E18" s="65" t="s">
        <v>79</v>
      </c>
      <c r="F18" s="62" t="s">
        <v>32</v>
      </c>
      <c r="G18" s="49">
        <v>1</v>
      </c>
      <c r="H18" s="141">
        <f>IF(B$27=0,0,G18/B$27)</f>
        <v>8.130081300813009E-3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91</v>
      </c>
      <c r="C19" s="41">
        <f>IF(B$17=0,0,B19/B$17)</f>
        <v>0.52298850574712641</v>
      </c>
      <c r="E19" s="65" t="s">
        <v>81</v>
      </c>
      <c r="F19" s="62" t="s">
        <v>34</v>
      </c>
      <c r="G19" s="49">
        <v>1</v>
      </c>
      <c r="H19" s="141">
        <f>IF(B$27=0,0,G19/B$27)</f>
        <v>8.130081300813009E-3</v>
      </c>
      <c r="I19" s="100">
        <v>3</v>
      </c>
      <c r="K19" s="40">
        <v>17</v>
      </c>
      <c r="L19" s="105">
        <v>-45.000000000000007</v>
      </c>
      <c r="N19" s="121" t="s">
        <v>133</v>
      </c>
      <c r="O19" s="131">
        <f>IF(P19=0,0,Q19/P19)</f>
        <v>-16.418181818181822</v>
      </c>
      <c r="P19" s="125">
        <v>66</v>
      </c>
      <c r="Q19" s="113">
        <v>-1083.6000000000001</v>
      </c>
    </row>
    <row r="20" spans="1:17" x14ac:dyDescent="0.4">
      <c r="A20" s="57" t="s">
        <v>13</v>
      </c>
      <c r="B20" s="49">
        <v>120</v>
      </c>
      <c r="C20" s="41">
        <f>IF(B$3=0,0,B20/B$3)</f>
        <v>0.189873417721519</v>
      </c>
      <c r="E20" s="65" t="s">
        <v>77</v>
      </c>
      <c r="F20" s="62" t="s">
        <v>30</v>
      </c>
      <c r="G20" s="49">
        <v>0</v>
      </c>
      <c r="H20" s="141">
        <f>IF(B$27=0,0,G20/B$27)</f>
        <v>0</v>
      </c>
      <c r="I20" s="100">
        <v>7</v>
      </c>
      <c r="K20" s="40">
        <v>18</v>
      </c>
      <c r="L20" s="105">
        <v>-30.300000000000008</v>
      </c>
      <c r="N20" s="121" t="s">
        <v>134</v>
      </c>
      <c r="O20" s="131">
        <f>IF(P20=0,0,Q20/P20)</f>
        <v>-24.275000000000002</v>
      </c>
      <c r="P20" s="125">
        <v>20</v>
      </c>
      <c r="Q20" s="113">
        <v>-485.50000000000006</v>
      </c>
    </row>
    <row r="21" spans="1:17" x14ac:dyDescent="0.4">
      <c r="A21" s="57" t="s">
        <v>5</v>
      </c>
      <c r="B21" s="53">
        <f>IF(B$17=0,0,C21/B$17)</f>
        <v>9163.2183908045972</v>
      </c>
      <c r="C21" s="43">
        <v>1594400</v>
      </c>
      <c r="E21" s="65" t="s">
        <v>78</v>
      </c>
      <c r="F21" s="62" t="s">
        <v>31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17.699999999999992</v>
      </c>
      <c r="N21" s="121" t="s">
        <v>138</v>
      </c>
      <c r="O21" s="131">
        <f>IF(P21=0,0,Q21/P21)</f>
        <v>-24.993333333333332</v>
      </c>
      <c r="P21" s="125">
        <v>15</v>
      </c>
      <c r="Q21" s="113">
        <v>-374.9</v>
      </c>
    </row>
    <row r="22" spans="1:17" x14ac:dyDescent="0.4">
      <c r="A22" s="59" t="s">
        <v>14</v>
      </c>
      <c r="B22" s="54">
        <f>IF(B$20=0,0,C22/B$20)</f>
        <v>-9668.3333333333339</v>
      </c>
      <c r="C22" s="47">
        <v>-1160200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45">
        <v>6</v>
      </c>
      <c r="C23" s="14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43">
        <v>103200</v>
      </c>
      <c r="C24" s="14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3.1645569620253164E-3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9">
        <v>452</v>
      </c>
      <c r="C26" s="150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1">
        <v>123</v>
      </c>
      <c r="C27" s="152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  <row r="74" spans="11:12" x14ac:dyDescent="0.4">
      <c r="K74" s="40">
        <v>72</v>
      </c>
      <c r="L74" s="105">
        <v>-471.8</v>
      </c>
    </row>
    <row r="75" spans="11:12" x14ac:dyDescent="0.4">
      <c r="K75" s="40">
        <v>73</v>
      </c>
      <c r="L75" s="105">
        <v>-486.2</v>
      </c>
    </row>
    <row r="76" spans="11:12" x14ac:dyDescent="0.4">
      <c r="K76" s="40">
        <v>74</v>
      </c>
      <c r="L76" s="105">
        <v>-520.20000000000005</v>
      </c>
    </row>
    <row r="77" spans="11:12" x14ac:dyDescent="0.4">
      <c r="K77" s="40">
        <v>75</v>
      </c>
      <c r="L77" s="105">
        <v>-493.70000000000005</v>
      </c>
    </row>
    <row r="78" spans="11:12" x14ac:dyDescent="0.4">
      <c r="K78" s="40">
        <v>76</v>
      </c>
      <c r="L78" s="105">
        <v>-475.70000000000005</v>
      </c>
    </row>
    <row r="79" spans="11:12" x14ac:dyDescent="0.4">
      <c r="K79" s="40">
        <v>77</v>
      </c>
      <c r="L79" s="105">
        <v>-517.20000000000005</v>
      </c>
    </row>
    <row r="80" spans="11:12" x14ac:dyDescent="0.4">
      <c r="K80" s="40">
        <v>78</v>
      </c>
      <c r="L80" s="105">
        <v>-519</v>
      </c>
    </row>
    <row r="81" spans="11:12" x14ac:dyDescent="0.4">
      <c r="K81" s="40">
        <v>79</v>
      </c>
      <c r="L81" s="105">
        <v>-481</v>
      </c>
    </row>
    <row r="82" spans="11:12" x14ac:dyDescent="0.4">
      <c r="K82" s="40">
        <v>80</v>
      </c>
      <c r="L82" s="105">
        <v>-434.2</v>
      </c>
    </row>
    <row r="83" spans="11:12" x14ac:dyDescent="0.4">
      <c r="K83" s="40">
        <v>81</v>
      </c>
      <c r="L83" s="105">
        <v>-479.2</v>
      </c>
    </row>
    <row r="84" spans="11:12" x14ac:dyDescent="0.4">
      <c r="K84" s="40">
        <v>82</v>
      </c>
      <c r="L84" s="105">
        <v>-517.70000000000005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5B95-1128-4726-A951-A2EA4121D215}">
  <sheetPr codeName="Sheet21"/>
  <dimension ref="A1:Q12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137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120</v>
      </c>
      <c r="C2" s="150"/>
      <c r="E2" s="64" t="s">
        <v>71</v>
      </c>
      <c r="F2" s="61" t="s">
        <v>25</v>
      </c>
      <c r="G2" s="48">
        <v>212</v>
      </c>
      <c r="H2" s="140">
        <f>IF(B$27=0,0,G2/B$27)</f>
        <v>0.90212765957446805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1119.4915254237287</v>
      </c>
      <c r="P2" s="124">
        <v>118</v>
      </c>
      <c r="Q2" s="108">
        <v>132100</v>
      </c>
    </row>
    <row r="3" spans="1:17" x14ac:dyDescent="0.4">
      <c r="A3" s="57" t="s">
        <v>8</v>
      </c>
      <c r="B3" s="155">
        <v>908</v>
      </c>
      <c r="C3" s="156"/>
      <c r="E3" s="65" t="s">
        <v>69</v>
      </c>
      <c r="F3" s="62" t="s">
        <v>23</v>
      </c>
      <c r="G3" s="49">
        <v>181</v>
      </c>
      <c r="H3" s="141">
        <f>IF(B$27=0,0,G3/B$27)</f>
        <v>0.77021276595744681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718.01801801801798</v>
      </c>
      <c r="P3" s="125">
        <v>111</v>
      </c>
      <c r="Q3" s="109">
        <v>79700</v>
      </c>
    </row>
    <row r="4" spans="1:17" x14ac:dyDescent="0.4">
      <c r="A4" s="57" t="s">
        <v>6</v>
      </c>
      <c r="B4" s="157">
        <v>195.79999999999981</v>
      </c>
      <c r="C4" s="158"/>
      <c r="E4" s="65" t="s">
        <v>76</v>
      </c>
      <c r="F4" s="62" t="s">
        <v>29</v>
      </c>
      <c r="G4" s="49">
        <v>133</v>
      </c>
      <c r="H4" s="141">
        <f>IF(B$27=0,0,G4/B$27)</f>
        <v>0.56595744680851068</v>
      </c>
      <c r="I4" s="100">
        <v>6</v>
      </c>
      <c r="K4" s="40">
        <v>2</v>
      </c>
      <c r="L4" s="105">
        <v>-45.300000000000004</v>
      </c>
      <c r="N4" s="121" t="s">
        <v>149</v>
      </c>
      <c r="O4" s="128">
        <f t="shared" si="0"/>
        <v>-116.50485436893204</v>
      </c>
      <c r="P4" s="125">
        <v>103</v>
      </c>
      <c r="Q4" s="109">
        <v>-12000</v>
      </c>
    </row>
    <row r="5" spans="1:17" x14ac:dyDescent="0.4">
      <c r="A5" s="57" t="s">
        <v>7</v>
      </c>
      <c r="B5" s="159">
        <f>IF(B$2=0,0,B$4/B$2)</f>
        <v>1.631666666666665</v>
      </c>
      <c r="C5" s="160"/>
      <c r="E5" s="65" t="s">
        <v>67</v>
      </c>
      <c r="F5" s="62" t="s">
        <v>21</v>
      </c>
      <c r="G5" s="49">
        <v>128</v>
      </c>
      <c r="H5" s="141">
        <f>IF(B$27=0,0,G5/B$27)</f>
        <v>0.5446808510638298</v>
      </c>
      <c r="I5" s="100">
        <v>8</v>
      </c>
      <c r="K5" s="40">
        <v>3</v>
      </c>
      <c r="L5" s="105">
        <v>-81.7</v>
      </c>
      <c r="N5" s="121" t="s">
        <v>150</v>
      </c>
      <c r="O5" s="128">
        <f t="shared" si="0"/>
        <v>-872.1649484536083</v>
      </c>
      <c r="P5" s="125">
        <v>97</v>
      </c>
      <c r="Q5" s="109">
        <v>-84600</v>
      </c>
    </row>
    <row r="6" spans="1:17" x14ac:dyDescent="0.4">
      <c r="A6" s="57" t="s">
        <v>1</v>
      </c>
      <c r="B6" s="147">
        <f>IF(B$2=0,0,(B$7*1+B$8*2+B$9*3)/B$2)</f>
        <v>1.925</v>
      </c>
      <c r="C6" s="148"/>
      <c r="E6" s="65" t="s">
        <v>70</v>
      </c>
      <c r="F6" s="62" t="s">
        <v>24</v>
      </c>
      <c r="G6" s="49">
        <v>83</v>
      </c>
      <c r="H6" s="141">
        <f>IF(B$27=0,0,G6/B$27)</f>
        <v>0.35319148936170214</v>
      </c>
      <c r="I6" s="100">
        <v>5</v>
      </c>
      <c r="K6" s="40">
        <v>4</v>
      </c>
      <c r="L6" s="105">
        <v>-114.30000000000001</v>
      </c>
      <c r="N6" s="121" t="s">
        <v>151</v>
      </c>
      <c r="O6" s="128">
        <f t="shared" si="0"/>
        <v>1021.4285714285714</v>
      </c>
      <c r="P6" s="125">
        <v>84</v>
      </c>
      <c r="Q6" s="109">
        <v>85800</v>
      </c>
    </row>
    <row r="7" spans="1:17" x14ac:dyDescent="0.4">
      <c r="A7" s="57" t="s">
        <v>2</v>
      </c>
      <c r="B7" s="49">
        <v>45</v>
      </c>
      <c r="C7" s="41">
        <f>IF(B$2=0,0,B7/B$2)</f>
        <v>0.375</v>
      </c>
      <c r="E7" s="65" t="s">
        <v>72</v>
      </c>
      <c r="F7" s="62" t="s">
        <v>12</v>
      </c>
      <c r="G7" s="49">
        <v>74</v>
      </c>
      <c r="H7" s="141">
        <f>IF(B$27=0,0,G7/B$27)</f>
        <v>0.31489361702127661</v>
      </c>
      <c r="I7" s="100">
        <v>6</v>
      </c>
      <c r="K7" s="40">
        <v>5</v>
      </c>
      <c r="L7" s="105">
        <v>-136.30000000000001</v>
      </c>
      <c r="N7" s="122" t="s">
        <v>152</v>
      </c>
      <c r="O7" s="129">
        <f t="shared" si="0"/>
        <v>-646.47887323943667</v>
      </c>
      <c r="P7" s="126">
        <v>71</v>
      </c>
      <c r="Q7" s="110">
        <v>-45900</v>
      </c>
    </row>
    <row r="8" spans="1:17" x14ac:dyDescent="0.4">
      <c r="A8" s="57" t="s">
        <v>3</v>
      </c>
      <c r="B8" s="49">
        <v>39</v>
      </c>
      <c r="C8" s="41">
        <f>IF(B$2=0,0,B8/B$2)</f>
        <v>0.32500000000000001</v>
      </c>
      <c r="E8" s="65" t="s">
        <v>73</v>
      </c>
      <c r="F8" s="62" t="s">
        <v>26</v>
      </c>
      <c r="G8" s="49">
        <v>42</v>
      </c>
      <c r="H8" s="141">
        <f>IF(B$27=0,0,G8/B$27)</f>
        <v>0.17872340425531916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36</v>
      </c>
      <c r="C9" s="42">
        <f t="shared" ref="C9" si="1">IF(B$2=0,0,B9/B$2)</f>
        <v>0.3</v>
      </c>
      <c r="E9" s="65" t="s">
        <v>94</v>
      </c>
      <c r="F9" s="62" t="s">
        <v>47</v>
      </c>
      <c r="G9" s="49">
        <v>35</v>
      </c>
      <c r="H9" s="141">
        <f>IF(B$27=0,0,G9/B$27)</f>
        <v>0.14893617021276595</v>
      </c>
      <c r="I9" s="100">
        <v>9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14</v>
      </c>
      <c r="C10" s="42">
        <f>IF(B$2=0,0,B10/B$2)</f>
        <v>0.11666666666666667</v>
      </c>
      <c r="E10" s="65" t="s">
        <v>68</v>
      </c>
      <c r="F10" s="62" t="s">
        <v>22</v>
      </c>
      <c r="G10" s="49">
        <v>27</v>
      </c>
      <c r="H10" s="141">
        <f>IF(B$27=0,0,G10/B$27)</f>
        <v>0.1148936170212766</v>
      </c>
      <c r="I10" s="100">
        <v>8</v>
      </c>
      <c r="K10" s="40">
        <v>8</v>
      </c>
      <c r="L10" s="105">
        <v>-52.300000000000018</v>
      </c>
      <c r="N10" s="120" t="s">
        <v>253</v>
      </c>
      <c r="O10" s="130">
        <f>IF(P10=0,0,Q10/P10)</f>
        <v>3.8226415094339607</v>
      </c>
      <c r="P10" s="124">
        <v>53</v>
      </c>
      <c r="Q10" s="112">
        <v>202.59999999999991</v>
      </c>
    </row>
    <row r="11" spans="1:17" x14ac:dyDescent="0.4">
      <c r="A11" s="58" t="s">
        <v>155</v>
      </c>
      <c r="B11" s="50">
        <v>20</v>
      </c>
      <c r="C11" s="42">
        <f>IF(B$2=0,0,B11/B$2)</f>
        <v>0.16666666666666666</v>
      </c>
      <c r="E11" s="65" t="s">
        <v>74</v>
      </c>
      <c r="F11" s="62" t="s">
        <v>27</v>
      </c>
      <c r="G11" s="49">
        <v>19</v>
      </c>
      <c r="H11" s="141">
        <f>IF(B$27=0,0,G11/B$27)</f>
        <v>8.085106382978724E-2</v>
      </c>
      <c r="I11" s="100">
        <v>10</v>
      </c>
      <c r="K11" s="40">
        <v>9</v>
      </c>
      <c r="L11" s="105">
        <v>-53.500000000000021</v>
      </c>
      <c r="N11" s="121" t="s">
        <v>254</v>
      </c>
      <c r="O11" s="131">
        <f>IF(P11=0,0,Q11/P11)</f>
        <v>-5.3428571428571434</v>
      </c>
      <c r="P11" s="125">
        <v>35</v>
      </c>
      <c r="Q11" s="113">
        <v>-187.00000000000003</v>
      </c>
    </row>
    <row r="12" spans="1:17" x14ac:dyDescent="0.4">
      <c r="A12" s="59" t="s">
        <v>239</v>
      </c>
      <c r="B12" s="51">
        <v>11</v>
      </c>
      <c r="C12" s="44">
        <f>IF(B$2=0,0,B12/B$2)</f>
        <v>9.166666666666666E-2</v>
      </c>
      <c r="E12" s="65" t="s">
        <v>75</v>
      </c>
      <c r="F12" s="62" t="s">
        <v>28</v>
      </c>
      <c r="G12" s="49">
        <v>16</v>
      </c>
      <c r="H12" s="141">
        <f>IF(B$27=0,0,G12/B$27)</f>
        <v>6.8085106382978725E-2</v>
      </c>
      <c r="I12" s="100">
        <v>2</v>
      </c>
      <c r="K12" s="40">
        <v>10</v>
      </c>
      <c r="L12" s="105">
        <v>-72.800000000000026</v>
      </c>
      <c r="N12" s="122" t="s">
        <v>255</v>
      </c>
      <c r="O12" s="132">
        <f>IF(P12=0,0,Q12/P12)</f>
        <v>4.8499999999999996</v>
      </c>
      <c r="P12" s="126">
        <v>30</v>
      </c>
      <c r="Q12" s="114">
        <v>145.5</v>
      </c>
    </row>
    <row r="13" spans="1:17" x14ac:dyDescent="0.4">
      <c r="A13" s="60" t="s">
        <v>128</v>
      </c>
      <c r="B13" s="52">
        <v>233</v>
      </c>
      <c r="C13" s="46">
        <f>IF(B$26=0,0,B13/B$26)</f>
        <v>0.29795396419437342</v>
      </c>
      <c r="E13" s="65" t="s">
        <v>82</v>
      </c>
      <c r="F13" s="62" t="s">
        <v>35</v>
      </c>
      <c r="G13" s="49">
        <v>14</v>
      </c>
      <c r="H13" s="141">
        <f>IF(B$27=0,0,G13/B$27)</f>
        <v>5.9574468085106386E-2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166</v>
      </c>
      <c r="C14" s="41">
        <f>IF(B$26=0,0,B14/B$26)</f>
        <v>0.21227621483375958</v>
      </c>
      <c r="E14" s="65" t="s">
        <v>86</v>
      </c>
      <c r="F14" s="62" t="s">
        <v>39</v>
      </c>
      <c r="G14" s="49">
        <v>10</v>
      </c>
      <c r="H14" s="141">
        <f>IF(B$27=0,0,G14/B$27)</f>
        <v>4.2553191489361701E-2</v>
      </c>
      <c r="I14" s="100">
        <v>5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131</v>
      </c>
      <c r="C15" s="39">
        <f>IF(B$13=0,0,B15/B$13)</f>
        <v>0.5622317596566524</v>
      </c>
      <c r="E15" s="65" t="s">
        <v>91</v>
      </c>
      <c r="F15" s="62" t="s">
        <v>44</v>
      </c>
      <c r="G15" s="49">
        <v>10</v>
      </c>
      <c r="H15" s="141">
        <f>IF(B$27=0,0,G15/B$27)</f>
        <v>4.2553191489361701E-2</v>
      </c>
      <c r="I15" s="100">
        <v>11</v>
      </c>
      <c r="K15" s="40">
        <v>13</v>
      </c>
      <c r="L15" s="105">
        <v>-43.200000000000024</v>
      </c>
      <c r="N15" s="120" t="s">
        <v>250</v>
      </c>
      <c r="O15" s="130">
        <f>IF(P15=0,0,Q15/P15)</f>
        <v>33.4</v>
      </c>
      <c r="P15" s="124">
        <v>1</v>
      </c>
      <c r="Q15" s="112">
        <v>33.4</v>
      </c>
    </row>
    <row r="16" spans="1:17" x14ac:dyDescent="0.4">
      <c r="A16" s="56" t="s">
        <v>131</v>
      </c>
      <c r="B16" s="48">
        <v>64</v>
      </c>
      <c r="C16" s="39">
        <f>IF(B$14=0,0,B16/B$14)</f>
        <v>0.38554216867469882</v>
      </c>
      <c r="E16" s="65" t="s">
        <v>88</v>
      </c>
      <c r="F16" s="62" t="s">
        <v>41</v>
      </c>
      <c r="G16" s="49">
        <v>8</v>
      </c>
      <c r="H16" s="141">
        <f>IF(B$27=0,0,G16/B$27)</f>
        <v>3.4042553191489362E-2</v>
      </c>
      <c r="I16" s="100">
        <v>8</v>
      </c>
      <c r="K16" s="40">
        <v>14</v>
      </c>
      <c r="L16" s="105">
        <v>-50.400000000000027</v>
      </c>
      <c r="N16" s="121" t="s">
        <v>134</v>
      </c>
      <c r="O16" s="131">
        <f>IF(P16=0,0,Q16/P16)</f>
        <v>15.488888888888889</v>
      </c>
      <c r="P16" s="125">
        <v>36</v>
      </c>
      <c r="Q16" s="113">
        <v>557.6</v>
      </c>
    </row>
    <row r="17" spans="1:17" x14ac:dyDescent="0.4">
      <c r="A17" s="56" t="s">
        <v>10</v>
      </c>
      <c r="B17" s="48">
        <f>B19+B18</f>
        <v>272</v>
      </c>
      <c r="C17" s="39">
        <f>IF(B$3=0,0,B17/B$3)</f>
        <v>0.29955947136563876</v>
      </c>
      <c r="E17" s="65" t="s">
        <v>96</v>
      </c>
      <c r="F17" s="62" t="s">
        <v>49</v>
      </c>
      <c r="G17" s="49">
        <v>5</v>
      </c>
      <c r="H17" s="141">
        <f>IF(B$27=0,0,G17/B$27)</f>
        <v>2.1276595744680851E-2</v>
      </c>
      <c r="I17" s="100">
        <v>6</v>
      </c>
      <c r="K17" s="40">
        <v>15</v>
      </c>
      <c r="L17" s="105">
        <v>23.89999999999997</v>
      </c>
      <c r="N17" s="121" t="s">
        <v>157</v>
      </c>
      <c r="O17" s="131">
        <f>IF(P17=0,0,Q17/P17)</f>
        <v>14.79166666666667</v>
      </c>
      <c r="P17" s="125">
        <v>12</v>
      </c>
      <c r="Q17" s="113">
        <v>177.50000000000003</v>
      </c>
    </row>
    <row r="18" spans="1:17" x14ac:dyDescent="0.4">
      <c r="A18" s="57" t="s">
        <v>12</v>
      </c>
      <c r="B18" s="49">
        <v>119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41">
        <f>IF(B$27=0,0,G18/B$27)</f>
        <v>1.7021276595744681E-2</v>
      </c>
      <c r="I18" s="100">
        <v>2</v>
      </c>
      <c r="K18" s="40">
        <v>16</v>
      </c>
      <c r="L18" s="105">
        <v>58.89999999999997</v>
      </c>
      <c r="N18" s="121" t="s">
        <v>139</v>
      </c>
      <c r="O18" s="131">
        <f>IF(P18=0,0,Q18/P18)</f>
        <v>14.631707317073168</v>
      </c>
      <c r="P18" s="125">
        <v>41</v>
      </c>
      <c r="Q18" s="113">
        <v>599.89999999999986</v>
      </c>
    </row>
    <row r="19" spans="1:17" x14ac:dyDescent="0.4">
      <c r="A19" s="57" t="s">
        <v>11</v>
      </c>
      <c r="B19" s="49">
        <v>153</v>
      </c>
      <c r="C19" s="41">
        <f>IF(B$17=0,0,B19/B$17)</f>
        <v>0.5625</v>
      </c>
      <c r="E19" s="65" t="s">
        <v>81</v>
      </c>
      <c r="F19" s="62" t="s">
        <v>34</v>
      </c>
      <c r="G19" s="49">
        <v>2</v>
      </c>
      <c r="H19" s="141">
        <f>IF(B$27=0,0,G19/B$27)</f>
        <v>8.5106382978723406E-3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>IF(P19=0,0,Q19/P19)</f>
        <v>4.2166666666666677</v>
      </c>
      <c r="P19" s="125">
        <v>6</v>
      </c>
      <c r="Q19" s="113">
        <v>25.300000000000004</v>
      </c>
    </row>
    <row r="20" spans="1:17" x14ac:dyDescent="0.4">
      <c r="A20" s="57" t="s">
        <v>13</v>
      </c>
      <c r="B20" s="49">
        <v>146</v>
      </c>
      <c r="C20" s="41">
        <f>IF(B$3=0,0,B20/B$3)</f>
        <v>0.16079295154185022</v>
      </c>
      <c r="E20" s="65" t="s">
        <v>83</v>
      </c>
      <c r="F20" s="62" t="s">
        <v>36</v>
      </c>
      <c r="G20" s="49">
        <v>2</v>
      </c>
      <c r="H20" s="141">
        <f>IF(B$27=0,0,G20/B$27)</f>
        <v>8.5106382978723406E-3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-4.3132653061224495</v>
      </c>
      <c r="P20" s="125">
        <v>98</v>
      </c>
      <c r="Q20" s="113">
        <v>-422.70000000000005</v>
      </c>
    </row>
    <row r="21" spans="1:17" x14ac:dyDescent="0.4">
      <c r="A21" s="57" t="s">
        <v>5</v>
      </c>
      <c r="B21" s="53">
        <f>IF(B$17=0,0,C21/B$17)</f>
        <v>10391.176470588236</v>
      </c>
      <c r="C21" s="43">
        <v>2826400</v>
      </c>
      <c r="E21" s="65" t="s">
        <v>98</v>
      </c>
      <c r="F21" s="62" t="s">
        <v>51</v>
      </c>
      <c r="G21" s="49">
        <v>2</v>
      </c>
      <c r="H21" s="141">
        <f>IF(B$27=0,0,G21/B$27)</f>
        <v>8.5106382978723406E-3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-9234.9315068493142</v>
      </c>
      <c r="C22" s="47">
        <v>-1348300</v>
      </c>
      <c r="E22" s="65" t="s">
        <v>78</v>
      </c>
      <c r="F22" s="62" t="s">
        <v>31</v>
      </c>
      <c r="G22" s="49">
        <v>1</v>
      </c>
      <c r="H22" s="141">
        <f>IF(B$27=0,0,G22/B$27)</f>
        <v>4.2553191489361703E-3</v>
      </c>
      <c r="I22" s="100">
        <v>2</v>
      </c>
      <c r="K22" s="40">
        <v>20</v>
      </c>
      <c r="L22" s="105">
        <v>126.89999999999996</v>
      </c>
      <c r="N22" s="121" t="s">
        <v>136</v>
      </c>
      <c r="O22" s="131">
        <f>IF(P22=0,0,Q22/P22)</f>
        <v>-7.2888888888888914</v>
      </c>
      <c r="P22" s="125">
        <v>36</v>
      </c>
      <c r="Q22" s="113">
        <v>-262.40000000000009</v>
      </c>
    </row>
    <row r="23" spans="1:17" x14ac:dyDescent="0.4">
      <c r="A23" s="96" t="s">
        <v>158</v>
      </c>
      <c r="B23" s="145">
        <v>9</v>
      </c>
      <c r="C23" s="146"/>
      <c r="E23" s="65" t="s">
        <v>79</v>
      </c>
      <c r="F23" s="62" t="s">
        <v>32</v>
      </c>
      <c r="G23" s="49">
        <v>1</v>
      </c>
      <c r="H23" s="141">
        <f>IF(B$27=0,0,G23/B$27)</f>
        <v>4.2553191489361703E-3</v>
      </c>
      <c r="I23" s="100">
        <v>5</v>
      </c>
      <c r="K23" s="40">
        <v>21</v>
      </c>
      <c r="L23" s="105">
        <v>129.69999999999996</v>
      </c>
      <c r="N23" s="121" t="s">
        <v>135</v>
      </c>
      <c r="O23" s="131">
        <f>IF(P23=0,0,Q23/P23)</f>
        <v>-14.371428571428575</v>
      </c>
      <c r="P23" s="125">
        <v>7</v>
      </c>
      <c r="Q23" s="113">
        <v>-100.60000000000002</v>
      </c>
    </row>
    <row r="24" spans="1:17" x14ac:dyDescent="0.4">
      <c r="A24" s="60" t="s">
        <v>199</v>
      </c>
      <c r="B24" s="143">
        <v>109300</v>
      </c>
      <c r="C24" s="144"/>
      <c r="E24" s="65" t="s">
        <v>89</v>
      </c>
      <c r="F24" s="62" t="s">
        <v>42</v>
      </c>
      <c r="G24" s="49">
        <v>1</v>
      </c>
      <c r="H24" s="141">
        <f>IF(B$27=0,0,G24/B$27)</f>
        <v>4.2553191489361703E-3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3.3039647577092512E-3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9">
        <v>782</v>
      </c>
      <c r="C26" s="150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1">
        <v>235</v>
      </c>
      <c r="C27" s="152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  <row r="115" spans="11:12" x14ac:dyDescent="0.4">
      <c r="K115" s="40">
        <v>113</v>
      </c>
      <c r="L115" s="105">
        <v>250.09999999999982</v>
      </c>
    </row>
    <row r="116" spans="11:12" x14ac:dyDescent="0.4">
      <c r="K116" s="40">
        <v>114</v>
      </c>
      <c r="L116" s="105">
        <v>271.99999999999983</v>
      </c>
    </row>
    <row r="117" spans="11:12" x14ac:dyDescent="0.4">
      <c r="K117" s="40">
        <v>115</v>
      </c>
      <c r="L117" s="105">
        <v>262.69999999999982</v>
      </c>
    </row>
    <row r="118" spans="11:12" x14ac:dyDescent="0.4">
      <c r="K118" s="40">
        <v>116</v>
      </c>
      <c r="L118" s="105">
        <v>245.69999999999982</v>
      </c>
    </row>
    <row r="119" spans="11:12" x14ac:dyDescent="0.4">
      <c r="K119" s="40">
        <v>117</v>
      </c>
      <c r="L119" s="105">
        <v>267.39999999999981</v>
      </c>
    </row>
    <row r="120" spans="11:12" x14ac:dyDescent="0.4">
      <c r="K120" s="40">
        <v>118</v>
      </c>
      <c r="L120" s="105">
        <v>221.89999999999981</v>
      </c>
    </row>
    <row r="121" spans="11:12" x14ac:dyDescent="0.4">
      <c r="K121" s="40">
        <v>119</v>
      </c>
      <c r="L121" s="105">
        <v>216.29999999999981</v>
      </c>
    </row>
    <row r="122" spans="11:12" x14ac:dyDescent="0.4">
      <c r="K122" s="40">
        <v>120</v>
      </c>
      <c r="L122" s="105">
        <v>195.79999999999981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FA2E9-1BEF-4F8A-98FC-8654333B6811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138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33</v>
      </c>
      <c r="C2" s="150"/>
      <c r="E2" s="64" t="s">
        <v>71</v>
      </c>
      <c r="F2" s="61" t="s">
        <v>25</v>
      </c>
      <c r="G2" s="48">
        <v>43</v>
      </c>
      <c r="H2" s="140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55">
        <v>270</v>
      </c>
      <c r="C3" s="156"/>
      <c r="E3" s="65" t="s">
        <v>67</v>
      </c>
      <c r="F3" s="62" t="s">
        <v>21</v>
      </c>
      <c r="G3" s="49">
        <v>30</v>
      </c>
      <c r="H3" s="141">
        <f>IF(B$27=0,0,G3/B$27)</f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57">
        <v>-9.3999999999999773</v>
      </c>
      <c r="C4" s="158"/>
      <c r="E4" s="65" t="s">
        <v>70</v>
      </c>
      <c r="F4" s="62" t="s">
        <v>24</v>
      </c>
      <c r="G4" s="49">
        <v>24</v>
      </c>
      <c r="H4" s="141">
        <f>IF(B$27=0,0,G4/B$27)</f>
        <v>0.53333333333333333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9">
        <f>IF(B$2=0,0,B$4/B$2)</f>
        <v>-0.28484848484848418</v>
      </c>
      <c r="C5" s="160"/>
      <c r="E5" s="65" t="s">
        <v>69</v>
      </c>
      <c r="F5" s="62" t="s">
        <v>23</v>
      </c>
      <c r="G5" s="49">
        <v>23</v>
      </c>
      <c r="H5" s="141">
        <f>IF(B$27=0,0,G5/B$27)</f>
        <v>0.51111111111111107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47">
        <f>IF(B$2=0,0,(B$7*1+B$8*2+B$9*3)/B$2)</f>
        <v>2.0606060606060606</v>
      </c>
      <c r="C6" s="148"/>
      <c r="E6" s="65" t="s">
        <v>76</v>
      </c>
      <c r="F6" s="62" t="s">
        <v>29</v>
      </c>
      <c r="G6" s="49">
        <v>21</v>
      </c>
      <c r="H6" s="141">
        <f>IF(B$27=0,0,G6/B$27)</f>
        <v>0.46666666666666667</v>
      </c>
      <c r="I6" s="100">
        <v>12</v>
      </c>
      <c r="K6" s="40">
        <v>4</v>
      </c>
      <c r="L6" s="105">
        <v>-44.3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41">
        <f>IF(B$27=0,0,G7/B$27)</f>
        <v>0.37777777777777777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41">
        <f>IF(B$27=0,0,G8/B$27)</f>
        <v>0.15555555555555556</v>
      </c>
      <c r="I8" s="100">
        <v>3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41">
        <f>IF(B$27=0,0,G9/B$27)</f>
        <v>0.15555555555555556</v>
      </c>
      <c r="I9" s="100">
        <v>7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41">
        <f>IF(B$27=0,0,G10/B$27)</f>
        <v>0.1111111111111111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41">
        <f>IF(B$27=0,0,G11/B$27)</f>
        <v>8.8888888888888892E-2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41">
        <f>IF(B$27=0,0,G12/B$27)</f>
        <v>4.4444444444444446E-2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41">
        <f>IF(B$27=0,0,G13/B$27)</f>
        <v>4.4444444444444446E-2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41">
        <f>IF(B$27=0,0,G14/B$27)</f>
        <v>2.2222222222222223E-2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41">
        <f>IF(B$27=0,0,G15/B$27)</f>
        <v>2.2222222222222223E-2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41">
        <f>IF(B$27=0,0,G16/B$27)</f>
        <v>2.2222222222222223E-2</v>
      </c>
      <c r="I16" s="100">
        <v>10</v>
      </c>
      <c r="K16" s="40">
        <v>14</v>
      </c>
      <c r="L16" s="105">
        <v>147.10000000000002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41">
        <f>IF(B$27=0,0,G17/B$27)</f>
        <v>2.2222222222222223E-2</v>
      </c>
      <c r="I17" s="100">
        <v>13</v>
      </c>
      <c r="K17" s="40">
        <v>15</v>
      </c>
      <c r="L17" s="105">
        <v>148.80000000000001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41">
        <f>IF(B$27=0,0,G18/B$27)</f>
        <v>2.2222222222222223E-2</v>
      </c>
      <c r="I18" s="100">
        <v>4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41">
        <f>IF(B$27=0,0,G19/B$27)</f>
        <v>2.2222222222222223E-2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43">
        <v>109300</v>
      </c>
      <c r="C24" s="144"/>
      <c r="E24" s="65" t="s">
        <v>84</v>
      </c>
      <c r="F24" s="62" t="s">
        <v>37</v>
      </c>
      <c r="G24" s="49">
        <v>0</v>
      </c>
      <c r="H24" s="141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41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9">
        <v>188</v>
      </c>
      <c r="C26" s="150"/>
      <c r="E26" s="65" t="s">
        <v>86</v>
      </c>
      <c r="F26" s="62" t="s">
        <v>39</v>
      </c>
      <c r="G26" s="49">
        <v>0</v>
      </c>
      <c r="H26" s="141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1">
        <v>45</v>
      </c>
      <c r="C27" s="152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20C7-2F23-4698-B5B3-02A43B4C5D5F}">
  <sheetPr codeName="Sheet25"/>
  <dimension ref="A1:Q130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139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128</v>
      </c>
      <c r="C2" s="150"/>
      <c r="E2" s="64" t="s">
        <v>71</v>
      </c>
      <c r="F2" s="61" t="s">
        <v>25</v>
      </c>
      <c r="G2" s="48">
        <v>249</v>
      </c>
      <c r="H2" s="140">
        <f>IF(B$27=0,0,G2/B$27)</f>
        <v>0.91208791208791207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-1262.0967741935483</v>
      </c>
      <c r="P2" s="124">
        <v>124</v>
      </c>
      <c r="Q2" s="108">
        <v>-156500</v>
      </c>
    </row>
    <row r="3" spans="1:17" x14ac:dyDescent="0.4">
      <c r="A3" s="57" t="s">
        <v>8</v>
      </c>
      <c r="B3" s="155">
        <v>994</v>
      </c>
      <c r="C3" s="156"/>
      <c r="E3" s="65" t="s">
        <v>69</v>
      </c>
      <c r="F3" s="62" t="s">
        <v>23</v>
      </c>
      <c r="G3" s="49">
        <v>212</v>
      </c>
      <c r="H3" s="141">
        <f>IF(B$27=0,0,G3/B$27)</f>
        <v>0.77655677655677657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595.08196721311481</v>
      </c>
      <c r="P3" s="125">
        <v>122</v>
      </c>
      <c r="Q3" s="109">
        <v>72600</v>
      </c>
    </row>
    <row r="4" spans="1:17" x14ac:dyDescent="0.4">
      <c r="A4" s="57" t="s">
        <v>6</v>
      </c>
      <c r="B4" s="157">
        <v>-424.09999999999985</v>
      </c>
      <c r="C4" s="158"/>
      <c r="E4" s="65" t="s">
        <v>67</v>
      </c>
      <c r="F4" s="62" t="s">
        <v>21</v>
      </c>
      <c r="G4" s="49">
        <v>166</v>
      </c>
      <c r="H4" s="141">
        <f>IF(B$27=0,0,G4/B$27)</f>
        <v>0.60805860805860801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-87.931034482758619</v>
      </c>
      <c r="P4" s="125">
        <v>116</v>
      </c>
      <c r="Q4" s="109">
        <v>-10200</v>
      </c>
    </row>
    <row r="5" spans="1:17" x14ac:dyDescent="0.4">
      <c r="A5" s="57" t="s">
        <v>7</v>
      </c>
      <c r="B5" s="159">
        <f>IF(B$2=0,0,B$4/B$2)</f>
        <v>-3.3132812499999988</v>
      </c>
      <c r="C5" s="160"/>
      <c r="E5" s="65" t="s">
        <v>76</v>
      </c>
      <c r="F5" s="62" t="s">
        <v>29</v>
      </c>
      <c r="G5" s="49">
        <v>160</v>
      </c>
      <c r="H5" s="141">
        <f>IF(B$27=0,0,G5/B$27)</f>
        <v>0.58608058608058611</v>
      </c>
      <c r="I5" s="100">
        <v>5</v>
      </c>
      <c r="K5" s="40">
        <v>3</v>
      </c>
      <c r="L5" s="105">
        <v>-70.099999999999994</v>
      </c>
      <c r="N5" s="121" t="s">
        <v>150</v>
      </c>
      <c r="O5" s="128">
        <f t="shared" si="0"/>
        <v>-93.333333333333329</v>
      </c>
      <c r="P5" s="125">
        <v>105</v>
      </c>
      <c r="Q5" s="109">
        <v>-9800</v>
      </c>
    </row>
    <row r="6" spans="1:17" x14ac:dyDescent="0.4">
      <c r="A6" s="57" t="s">
        <v>1</v>
      </c>
      <c r="B6" s="147">
        <f>IF(B$2=0,0,(B$7*1+B$8*2+B$9*3)/B$2)</f>
        <v>2.15625</v>
      </c>
      <c r="C6" s="148"/>
      <c r="E6" s="65" t="s">
        <v>70</v>
      </c>
      <c r="F6" s="62" t="s">
        <v>24</v>
      </c>
      <c r="G6" s="49">
        <v>100</v>
      </c>
      <c r="H6" s="141">
        <f>IF(B$27=0,0,G6/B$27)</f>
        <v>0.36630036630036628</v>
      </c>
      <c r="I6" s="100">
        <v>4</v>
      </c>
      <c r="K6" s="40">
        <v>4</v>
      </c>
      <c r="L6" s="105">
        <v>-35.099999999999994</v>
      </c>
      <c r="N6" s="121" t="s">
        <v>151</v>
      </c>
      <c r="O6" s="128">
        <f t="shared" si="0"/>
        <v>-2632.9896907216494</v>
      </c>
      <c r="P6" s="125">
        <v>97</v>
      </c>
      <c r="Q6" s="109">
        <v>-255400</v>
      </c>
    </row>
    <row r="7" spans="1:17" x14ac:dyDescent="0.4">
      <c r="A7" s="57" t="s">
        <v>2</v>
      </c>
      <c r="B7" s="49">
        <v>32</v>
      </c>
      <c r="C7" s="41">
        <f>IF(B$2=0,0,B7/B$2)</f>
        <v>0.25</v>
      </c>
      <c r="E7" s="65" t="s">
        <v>72</v>
      </c>
      <c r="F7" s="62" t="s">
        <v>12</v>
      </c>
      <c r="G7" s="49">
        <v>87</v>
      </c>
      <c r="H7" s="141">
        <f>IF(B$27=0,0,G7/B$27)</f>
        <v>0.31868131868131866</v>
      </c>
      <c r="I7" s="100">
        <v>5</v>
      </c>
      <c r="K7" s="40">
        <v>5</v>
      </c>
      <c r="L7" s="105">
        <v>-80.099999999999994</v>
      </c>
      <c r="N7" s="122" t="s">
        <v>152</v>
      </c>
      <c r="O7" s="129">
        <f t="shared" si="0"/>
        <v>601.2658227848101</v>
      </c>
      <c r="P7" s="126">
        <v>79</v>
      </c>
      <c r="Q7" s="110">
        <v>47500</v>
      </c>
    </row>
    <row r="8" spans="1:17" x14ac:dyDescent="0.4">
      <c r="A8" s="57" t="s">
        <v>3</v>
      </c>
      <c r="B8" s="49">
        <v>44</v>
      </c>
      <c r="C8" s="41">
        <f>IF(B$2=0,0,B8/B$2)</f>
        <v>0.34375</v>
      </c>
      <c r="E8" s="65" t="s">
        <v>73</v>
      </c>
      <c r="F8" s="62" t="s">
        <v>26</v>
      </c>
      <c r="G8" s="49">
        <v>42</v>
      </c>
      <c r="H8" s="141">
        <f>IF(B$27=0,0,G8/B$27)</f>
        <v>0.15384615384615385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52</v>
      </c>
      <c r="C9" s="42">
        <f t="shared" ref="C9" si="1">IF(B$2=0,0,B9/B$2)</f>
        <v>0.40625</v>
      </c>
      <c r="E9" s="65" t="s">
        <v>94</v>
      </c>
      <c r="F9" s="62" t="s">
        <v>47</v>
      </c>
      <c r="G9" s="49">
        <v>35</v>
      </c>
      <c r="H9" s="141">
        <f>IF(B$27=0,0,G9/B$27)</f>
        <v>0.12820512820512819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0.1796875</v>
      </c>
      <c r="E10" s="65" t="s">
        <v>74</v>
      </c>
      <c r="F10" s="62" t="s">
        <v>27</v>
      </c>
      <c r="G10" s="49">
        <v>32</v>
      </c>
      <c r="H10" s="141">
        <f>IF(B$27=0,0,G10/B$27)</f>
        <v>0.11721611721611722</v>
      </c>
      <c r="I10" s="100">
        <v>4</v>
      </c>
      <c r="K10" s="40">
        <v>8</v>
      </c>
      <c r="L10" s="105">
        <v>-146</v>
      </c>
      <c r="N10" s="120" t="s">
        <v>253</v>
      </c>
      <c r="O10" s="130">
        <f>IF(P10=0,0,Q10/P10)</f>
        <v>-9.8355555555555565</v>
      </c>
      <c r="P10" s="124">
        <v>45</v>
      </c>
      <c r="Q10" s="112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0.1484375</v>
      </c>
      <c r="E11" s="65" t="s">
        <v>68</v>
      </c>
      <c r="F11" s="62" t="s">
        <v>22</v>
      </c>
      <c r="G11" s="49">
        <v>30</v>
      </c>
      <c r="H11" s="141">
        <f>IF(B$27=0,0,G11/B$27)</f>
        <v>0.10989010989010989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2.1833333333333331</v>
      </c>
      <c r="P11" s="125">
        <v>48</v>
      </c>
      <c r="Q11" s="113">
        <v>104.8</v>
      </c>
    </row>
    <row r="12" spans="1:17" x14ac:dyDescent="0.4">
      <c r="A12" s="59" t="s">
        <v>239</v>
      </c>
      <c r="B12" s="51">
        <v>12</v>
      </c>
      <c r="C12" s="44">
        <f>IF(B$2=0,0,B12/B$2)</f>
        <v>9.375E-2</v>
      </c>
      <c r="E12" s="65" t="s">
        <v>91</v>
      </c>
      <c r="F12" s="62" t="s">
        <v>44</v>
      </c>
      <c r="G12" s="49">
        <v>24</v>
      </c>
      <c r="H12" s="141">
        <f>IF(B$27=0,0,G12/B$27)</f>
        <v>8.7912087912087919E-2</v>
      </c>
      <c r="I12" s="100">
        <v>6</v>
      </c>
      <c r="K12" s="40">
        <v>10</v>
      </c>
      <c r="L12" s="105">
        <v>-206.1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291</v>
      </c>
      <c r="C13" s="46">
        <f>IF(B$26=0,0,B13/B$26)</f>
        <v>0.30407523510971785</v>
      </c>
      <c r="E13" s="65" t="s">
        <v>82</v>
      </c>
      <c r="F13" s="62" t="s">
        <v>35</v>
      </c>
      <c r="G13" s="49">
        <v>10</v>
      </c>
      <c r="H13" s="141">
        <f>IF(B$27=0,0,G13/B$27)</f>
        <v>3.6630036630036632E-2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179</v>
      </c>
      <c r="C14" s="41">
        <f>IF(B$26=0,0,B14/B$26)</f>
        <v>0.18704284221525602</v>
      </c>
      <c r="E14" s="65" t="s">
        <v>75</v>
      </c>
      <c r="F14" s="62" t="s">
        <v>28</v>
      </c>
      <c r="G14" s="49">
        <v>8</v>
      </c>
      <c r="H14" s="141">
        <f>IF(B$27=0,0,G14/B$27)</f>
        <v>2.9304029304029304E-2</v>
      </c>
      <c r="I14" s="100">
        <v>10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170</v>
      </c>
      <c r="C15" s="39">
        <f>IF(B$13=0,0,B15/B$13)</f>
        <v>0.58419243986254299</v>
      </c>
      <c r="E15" s="65" t="s">
        <v>88</v>
      </c>
      <c r="F15" s="62" t="s">
        <v>41</v>
      </c>
      <c r="G15" s="49">
        <v>8</v>
      </c>
      <c r="H15" s="141">
        <f>IF(B$27=0,0,G15/B$27)</f>
        <v>2.9304029304029304E-2</v>
      </c>
      <c r="I15" s="100">
        <v>9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70</v>
      </c>
      <c r="C16" s="39">
        <f>IF(B$14=0,0,B16/B$14)</f>
        <v>0.39106145251396646</v>
      </c>
      <c r="E16" s="65" t="s">
        <v>86</v>
      </c>
      <c r="F16" s="62" t="s">
        <v>39</v>
      </c>
      <c r="G16" s="49">
        <v>6</v>
      </c>
      <c r="H16" s="141">
        <f>IF(B$27=0,0,G16/B$27)</f>
        <v>2.197802197802198E-2</v>
      </c>
      <c r="I16" s="100">
        <v>7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283</v>
      </c>
      <c r="C17" s="39">
        <f>IF(B$3=0,0,B17/B$3)</f>
        <v>0.28470824949698187</v>
      </c>
      <c r="E17" s="65" t="s">
        <v>96</v>
      </c>
      <c r="F17" s="62" t="s">
        <v>49</v>
      </c>
      <c r="G17" s="49">
        <v>6</v>
      </c>
      <c r="H17" s="141">
        <f>IF(B$27=0,0,G17/B$27)</f>
        <v>2.197802197802198E-2</v>
      </c>
      <c r="I17" s="100">
        <v>5</v>
      </c>
      <c r="K17" s="40">
        <v>15</v>
      </c>
      <c r="L17" s="105">
        <v>-212.5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125</v>
      </c>
      <c r="C18" s="41">
        <f>IF(B$17=0,0,B18/B$17)</f>
        <v>0.44169611307420492</v>
      </c>
      <c r="E18" s="65" t="s">
        <v>77</v>
      </c>
      <c r="F18" s="62" t="s">
        <v>30</v>
      </c>
      <c r="G18" s="49">
        <v>4</v>
      </c>
      <c r="H18" s="141">
        <f>IF(B$27=0,0,G18/B$27)</f>
        <v>1.4652014652014652E-2</v>
      </c>
      <c r="I18" s="100">
        <v>3</v>
      </c>
      <c r="K18" s="40">
        <v>16</v>
      </c>
      <c r="L18" s="105">
        <v>-233.2</v>
      </c>
      <c r="N18" s="121" t="s">
        <v>157</v>
      </c>
      <c r="O18" s="131">
        <f>IF(P18=0,0,Q18/P18)</f>
        <v>13.440000000000001</v>
      </c>
      <c r="P18" s="125">
        <v>20</v>
      </c>
      <c r="Q18" s="113">
        <v>268.8</v>
      </c>
    </row>
    <row r="19" spans="1:17" x14ac:dyDescent="0.4">
      <c r="A19" s="57" t="s">
        <v>11</v>
      </c>
      <c r="B19" s="49">
        <v>158</v>
      </c>
      <c r="C19" s="41">
        <f>IF(B$17=0,0,B19/B$17)</f>
        <v>0.55830388692579502</v>
      </c>
      <c r="E19" s="65" t="s">
        <v>83</v>
      </c>
      <c r="F19" s="62" t="s">
        <v>36</v>
      </c>
      <c r="G19" s="49">
        <v>4</v>
      </c>
      <c r="H19" s="141">
        <f>IF(B$27=0,0,G19/B$27)</f>
        <v>1.4652014652014652E-2</v>
      </c>
      <c r="I19" s="100">
        <v>6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192</v>
      </c>
      <c r="C20" s="41">
        <f>IF(B$3=0,0,B20/B$3)</f>
        <v>0.19315895372233399</v>
      </c>
      <c r="E20" s="65" t="s">
        <v>79</v>
      </c>
      <c r="F20" s="62" t="s">
        <v>32</v>
      </c>
      <c r="G20" s="49">
        <v>3</v>
      </c>
      <c r="H20" s="141">
        <f>IF(B$27=0,0,G20/B$27)</f>
        <v>1.098901098901099E-2</v>
      </c>
      <c r="I20" s="100">
        <v>1</v>
      </c>
      <c r="K20" s="40">
        <v>18</v>
      </c>
      <c r="L20" s="105">
        <v>-295.8</v>
      </c>
      <c r="N20" s="121" t="s">
        <v>136</v>
      </c>
      <c r="O20" s="131">
        <f>IF(P20=0,0,Q20/P20)</f>
        <v>0.35263157894736707</v>
      </c>
      <c r="P20" s="125">
        <v>19</v>
      </c>
      <c r="Q20" s="113">
        <v>6.6999999999999744</v>
      </c>
    </row>
    <row r="21" spans="1:17" x14ac:dyDescent="0.4">
      <c r="A21" s="57" t="s">
        <v>5</v>
      </c>
      <c r="B21" s="53">
        <f>IF(B$17=0,0,C21/B$17)</f>
        <v>10627.561837455831</v>
      </c>
      <c r="C21" s="43">
        <v>3007600</v>
      </c>
      <c r="E21" s="65" t="s">
        <v>98</v>
      </c>
      <c r="F21" s="62" t="s">
        <v>51</v>
      </c>
      <c r="G21" s="49">
        <v>2</v>
      </c>
      <c r="H21" s="141">
        <f>IF(B$27=0,0,G21/B$27)</f>
        <v>7.326007326007326E-3</v>
      </c>
      <c r="I21" s="100">
        <v>3</v>
      </c>
      <c r="K21" s="40">
        <v>19</v>
      </c>
      <c r="L21" s="105">
        <v>-273.2</v>
      </c>
      <c r="N21" s="121" t="s">
        <v>134</v>
      </c>
      <c r="O21" s="131">
        <f>IF(P21=0,0,Q21/P21)</f>
        <v>-3.4244444444444411</v>
      </c>
      <c r="P21" s="125">
        <v>45</v>
      </c>
      <c r="Q21" s="113">
        <v>-154.09999999999985</v>
      </c>
    </row>
    <row r="22" spans="1:17" x14ac:dyDescent="0.4">
      <c r="A22" s="59" t="s">
        <v>14</v>
      </c>
      <c r="B22" s="54">
        <f>IF(B$20=0,0,C22/B$20)</f>
        <v>-9513.5416666666661</v>
      </c>
      <c r="C22" s="47">
        <v>-1826600</v>
      </c>
      <c r="E22" s="65" t="s">
        <v>78</v>
      </c>
      <c r="F22" s="62" t="s">
        <v>31</v>
      </c>
      <c r="G22" s="49">
        <v>1</v>
      </c>
      <c r="H22" s="141">
        <f>IF(B$27=0,0,G22/B$27)</f>
        <v>3.663003663003663E-3</v>
      </c>
      <c r="I22" s="100">
        <v>4</v>
      </c>
      <c r="K22" s="40">
        <v>20</v>
      </c>
      <c r="L22" s="105">
        <v>-270</v>
      </c>
      <c r="N22" s="121" t="s">
        <v>167</v>
      </c>
      <c r="O22" s="131">
        <f>IF(P22=0,0,Q22/P22)</f>
        <v>-3.9666666666666663</v>
      </c>
      <c r="P22" s="125">
        <v>3</v>
      </c>
      <c r="Q22" s="113">
        <v>-11.899999999999999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1</v>
      </c>
      <c r="H23" s="141">
        <f>IF(B$27=0,0,G23/B$27)</f>
        <v>3.663003663003663E-3</v>
      </c>
      <c r="I23" s="100">
        <v>6</v>
      </c>
      <c r="K23" s="40">
        <v>21</v>
      </c>
      <c r="L23" s="105">
        <v>-242</v>
      </c>
      <c r="N23" s="121" t="s">
        <v>133</v>
      </c>
      <c r="O23" s="131">
        <f>IF(P23=0,0,Q23/P23)</f>
        <v>-10.896116504854371</v>
      </c>
      <c r="P23" s="125">
        <v>103</v>
      </c>
      <c r="Q23" s="113">
        <v>-1122.3000000000002</v>
      </c>
    </row>
    <row r="24" spans="1:17" x14ac:dyDescent="0.4">
      <c r="A24" s="60" t="s">
        <v>199</v>
      </c>
      <c r="B24" s="143">
        <v>124700</v>
      </c>
      <c r="C24" s="144"/>
      <c r="E24" s="65" t="s">
        <v>89</v>
      </c>
      <c r="F24" s="62" t="s">
        <v>42</v>
      </c>
      <c r="G24" s="49">
        <v>1</v>
      </c>
      <c r="H24" s="141">
        <f>IF(B$27=0,0,G24/B$27)</f>
        <v>3.663003663003663E-3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7.0422535211267607E-3</v>
      </c>
      <c r="E25" s="65" t="s">
        <v>90</v>
      </c>
      <c r="F25" s="62" t="s">
        <v>43</v>
      </c>
      <c r="G25" s="49">
        <v>1</v>
      </c>
      <c r="H25" s="141">
        <f>IF(B$27=0,0,G25/B$27)</f>
        <v>3.663003663003663E-3</v>
      </c>
      <c r="I25" s="100">
        <v>5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9">
        <v>957</v>
      </c>
      <c r="C26" s="150"/>
      <c r="E26" s="65" t="s">
        <v>92</v>
      </c>
      <c r="F26" s="62" t="s">
        <v>45</v>
      </c>
      <c r="G26" s="49">
        <v>1</v>
      </c>
      <c r="H26" s="141">
        <f>IF(B$27=0,0,G26/B$27)</f>
        <v>3.663003663003663E-3</v>
      </c>
      <c r="I26" s="100">
        <v>3</v>
      </c>
      <c r="K26" s="40">
        <v>24</v>
      </c>
      <c r="L26" s="105">
        <v>-168.2</v>
      </c>
    </row>
    <row r="27" spans="1:17" x14ac:dyDescent="0.4">
      <c r="A27" s="59" t="s">
        <v>127</v>
      </c>
      <c r="B27" s="151">
        <v>273</v>
      </c>
      <c r="C27" s="152"/>
      <c r="E27" s="65" t="s">
        <v>95</v>
      </c>
      <c r="F27" s="62" t="s">
        <v>48</v>
      </c>
      <c r="G27" s="49">
        <v>1</v>
      </c>
      <c r="H27" s="141">
        <f>IF(B$27=0,0,G27/B$27)</f>
        <v>3.663003663003663E-3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97</v>
      </c>
      <c r="F28" s="62" t="s">
        <v>50</v>
      </c>
      <c r="G28" s="49">
        <v>1</v>
      </c>
      <c r="H28" s="141">
        <f>IF(B$27=0,0,G28/B$27)</f>
        <v>3.663003663003663E-3</v>
      </c>
      <c r="I28" s="100">
        <v>6</v>
      </c>
      <c r="K28" s="40">
        <v>26</v>
      </c>
      <c r="L28" s="105">
        <v>-256.29999999999995</v>
      </c>
    </row>
    <row r="29" spans="1:17" x14ac:dyDescent="0.4">
      <c r="E29" s="65" t="s">
        <v>80</v>
      </c>
      <c r="F29" s="62" t="s">
        <v>33</v>
      </c>
      <c r="G29" s="49">
        <v>0</v>
      </c>
      <c r="H29" s="141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41">
        <f>IF(B$27=0,0,G32/B$27)</f>
        <v>0</v>
      </c>
      <c r="I32" s="100">
        <v>1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41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  <row r="124" spans="11:12" x14ac:dyDescent="0.4">
      <c r="K124" s="40">
        <v>122</v>
      </c>
      <c r="L124" s="105">
        <v>-492.09999999999985</v>
      </c>
    </row>
    <row r="125" spans="11:12" x14ac:dyDescent="0.4">
      <c r="K125" s="40">
        <v>123</v>
      </c>
      <c r="L125" s="105">
        <v>-500.09999999999985</v>
      </c>
    </row>
    <row r="126" spans="11:12" x14ac:dyDescent="0.4">
      <c r="K126" s="40">
        <v>124</v>
      </c>
      <c r="L126" s="105">
        <v>-493.49999999999983</v>
      </c>
    </row>
    <row r="127" spans="11:12" x14ac:dyDescent="0.4">
      <c r="K127" s="40">
        <v>125</v>
      </c>
      <c r="L127" s="105">
        <v>-500.99999999999983</v>
      </c>
    </row>
    <row r="128" spans="11:12" x14ac:dyDescent="0.4">
      <c r="K128" s="40">
        <v>126</v>
      </c>
      <c r="L128" s="105">
        <v>-456.29999999999984</v>
      </c>
    </row>
    <row r="129" spans="11:12" x14ac:dyDescent="0.4">
      <c r="K129" s="40">
        <v>127</v>
      </c>
      <c r="L129" s="105">
        <v>-412.09999999999985</v>
      </c>
    </row>
    <row r="130" spans="11:12" x14ac:dyDescent="0.4">
      <c r="K130" s="40">
        <v>128</v>
      </c>
      <c r="L130" s="105">
        <v>-424.09999999999985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5F3B-13C7-446F-ACE2-734CB57DBEE6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194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</v>
      </c>
      <c r="C2" s="150"/>
      <c r="E2" s="64" t="s">
        <v>67</v>
      </c>
      <c r="F2" s="61" t="s">
        <v>21</v>
      </c>
      <c r="G2" s="48">
        <v>12</v>
      </c>
      <c r="H2" s="140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55">
        <v>50</v>
      </c>
      <c r="C3" s="156"/>
      <c r="E3" s="65" t="s">
        <v>69</v>
      </c>
      <c r="F3" s="62" t="s">
        <v>23</v>
      </c>
      <c r="G3" s="49">
        <v>12</v>
      </c>
      <c r="H3" s="141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57">
        <v>47</v>
      </c>
      <c r="C4" s="158"/>
      <c r="E4" s="65" t="s">
        <v>71</v>
      </c>
      <c r="F4" s="62" t="s">
        <v>25</v>
      </c>
      <c r="G4" s="49">
        <v>12</v>
      </c>
      <c r="H4" s="141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9">
        <f>IF(B$2=0,0,B$4/B$2)</f>
        <v>7.833333333333333</v>
      </c>
      <c r="C5" s="160"/>
      <c r="E5" s="65" t="s">
        <v>76</v>
      </c>
      <c r="F5" s="62" t="s">
        <v>29</v>
      </c>
      <c r="G5" s="49">
        <v>10</v>
      </c>
      <c r="H5" s="141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47">
        <f>IF(B$2=0,0,(B$7*1+B$8*2+B$9*3)/B$2)</f>
        <v>1.8333333333333333</v>
      </c>
      <c r="C6" s="148"/>
      <c r="E6" s="65" t="s">
        <v>70</v>
      </c>
      <c r="F6" s="62" t="s">
        <v>24</v>
      </c>
      <c r="G6" s="49">
        <v>7</v>
      </c>
      <c r="H6" s="141">
        <f>IF(B$27=0,0,G6/B$27)</f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41">
        <f>IF(B$27=0,0,G7/B$27)</f>
        <v>0.21052631578947367</v>
      </c>
      <c r="I7" s="100">
        <v>12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41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41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41">
        <f>IF(B$27=0,0,G10/B$27)</f>
        <v>0.15789473684210525</v>
      </c>
      <c r="I10" s="100">
        <v>3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41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41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41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41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5</v>
      </c>
      <c r="C23" s="14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78000</v>
      </c>
      <c r="C24" s="14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50</v>
      </c>
      <c r="C26" s="150"/>
      <c r="E26" s="65" t="s">
        <v>88</v>
      </c>
      <c r="F26" s="62" t="s">
        <v>41</v>
      </c>
      <c r="G26" s="49">
        <v>0</v>
      </c>
      <c r="H26" s="141">
        <f>IF(B$27=0,0,G26/B$27)</f>
        <v>0</v>
      </c>
      <c r="I26" s="100">
        <v>12</v>
      </c>
    </row>
    <row r="27" spans="1:17" x14ac:dyDescent="0.4">
      <c r="A27" s="59" t="s">
        <v>127</v>
      </c>
      <c r="B27" s="151">
        <v>19</v>
      </c>
      <c r="C27" s="152"/>
      <c r="E27" s="65" t="s">
        <v>89</v>
      </c>
      <c r="F27" s="62" t="s">
        <v>42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41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41">
        <f>IF(B$27=0,0,G29/B$27)</f>
        <v>0</v>
      </c>
      <c r="I29" s="100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41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41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6F09-0175-460C-A856-720A765EB90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157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36</v>
      </c>
      <c r="C2" s="150"/>
      <c r="E2" s="64" t="s">
        <v>71</v>
      </c>
      <c r="F2" s="61" t="s">
        <v>25</v>
      </c>
      <c r="G2" s="48">
        <v>55</v>
      </c>
      <c r="H2" s="140">
        <f>IF(B$27=0,0,G2/B$27)</f>
        <v>0.9821428571428571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-2341.6666666666665</v>
      </c>
      <c r="P2" s="124">
        <v>36</v>
      </c>
      <c r="Q2" s="108">
        <v>-84300</v>
      </c>
    </row>
    <row r="3" spans="1:17" x14ac:dyDescent="0.4">
      <c r="A3" s="57" t="s">
        <v>8</v>
      </c>
      <c r="B3" s="155">
        <v>279</v>
      </c>
      <c r="C3" s="156"/>
      <c r="E3" s="65" t="s">
        <v>76</v>
      </c>
      <c r="F3" s="62" t="s">
        <v>29</v>
      </c>
      <c r="G3" s="49">
        <v>41</v>
      </c>
      <c r="H3" s="141">
        <f>IF(B$27=0,0,G3/B$27)</f>
        <v>0.7321428571428571</v>
      </c>
      <c r="I3" s="100">
        <v>3</v>
      </c>
      <c r="K3" s="40">
        <v>1</v>
      </c>
      <c r="L3" s="105">
        <v>15</v>
      </c>
      <c r="N3" s="121" t="s">
        <v>148</v>
      </c>
      <c r="O3" s="128">
        <f t="shared" si="0"/>
        <v>644.44444444444446</v>
      </c>
      <c r="P3" s="125">
        <v>36</v>
      </c>
      <c r="Q3" s="109">
        <v>23200</v>
      </c>
    </row>
    <row r="4" spans="1:17" x14ac:dyDescent="0.4">
      <c r="A4" s="57" t="s">
        <v>6</v>
      </c>
      <c r="B4" s="157">
        <v>-455.89999999999992</v>
      </c>
      <c r="C4" s="158"/>
      <c r="E4" s="65" t="s">
        <v>69</v>
      </c>
      <c r="F4" s="62" t="s">
        <v>23</v>
      </c>
      <c r="G4" s="49">
        <v>38</v>
      </c>
      <c r="H4" s="141">
        <f>IF(B$27=0,0,G4/B$27)</f>
        <v>0.6785714285714286</v>
      </c>
      <c r="I4" s="100">
        <v>9</v>
      </c>
      <c r="K4" s="40">
        <v>2</v>
      </c>
      <c r="L4" s="105">
        <v>-24.299999999999997</v>
      </c>
      <c r="N4" s="121" t="s">
        <v>149</v>
      </c>
      <c r="O4" s="128">
        <f t="shared" si="0"/>
        <v>-5609.375</v>
      </c>
      <c r="P4" s="125">
        <v>32</v>
      </c>
      <c r="Q4" s="109">
        <v>-179500</v>
      </c>
    </row>
    <row r="5" spans="1:17" x14ac:dyDescent="0.4">
      <c r="A5" s="57" t="s">
        <v>7</v>
      </c>
      <c r="B5" s="159">
        <f>IF(B$2=0,0,B$4/B$2)</f>
        <v>-12.663888888888886</v>
      </c>
      <c r="C5" s="160"/>
      <c r="E5" s="65" t="s">
        <v>67</v>
      </c>
      <c r="F5" s="62" t="s">
        <v>21</v>
      </c>
      <c r="G5" s="49">
        <v>17</v>
      </c>
      <c r="H5" s="141">
        <f>IF(B$27=0,0,G5/B$27)</f>
        <v>0.30357142857142855</v>
      </c>
      <c r="I5" s="100">
        <v>12</v>
      </c>
      <c r="K5" s="40">
        <v>3</v>
      </c>
      <c r="L5" s="105">
        <v>-15.599999999999998</v>
      </c>
      <c r="N5" s="121" t="s">
        <v>150</v>
      </c>
      <c r="O5" s="128">
        <f t="shared" si="0"/>
        <v>-3203.4482758620688</v>
      </c>
      <c r="P5" s="125">
        <v>29</v>
      </c>
      <c r="Q5" s="109">
        <v>-92900</v>
      </c>
    </row>
    <row r="6" spans="1:17" x14ac:dyDescent="0.4">
      <c r="A6" s="57" t="s">
        <v>1</v>
      </c>
      <c r="B6" s="147">
        <f>IF(B$2=0,0,(B$7*1+B$8*2+B$9*3)/B$2)</f>
        <v>2.3888888888888888</v>
      </c>
      <c r="C6" s="148"/>
      <c r="E6" s="65" t="s">
        <v>72</v>
      </c>
      <c r="F6" s="62" t="s">
        <v>12</v>
      </c>
      <c r="G6" s="49">
        <v>14</v>
      </c>
      <c r="H6" s="141">
        <f>IF(B$27=0,0,G6/B$27)</f>
        <v>0.25</v>
      </c>
      <c r="I6" s="100">
        <v>10</v>
      </c>
      <c r="K6" s="40">
        <v>4</v>
      </c>
      <c r="L6" s="105">
        <v>5.1000000000000014</v>
      </c>
      <c r="N6" s="121" t="s">
        <v>151</v>
      </c>
      <c r="O6" s="128">
        <f t="shared" si="0"/>
        <v>-2922.2222222222222</v>
      </c>
      <c r="P6" s="125">
        <v>27</v>
      </c>
      <c r="Q6" s="109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41">
        <f>IF(B$27=0,0,G7/B$27)</f>
        <v>0.16071428571428573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-2071.4285714285716</v>
      </c>
      <c r="P7" s="126">
        <v>21</v>
      </c>
      <c r="Q7" s="110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41">
        <f>IF(B$27=0,0,G8/B$27)</f>
        <v>0.16071428571428573</v>
      </c>
      <c r="I8" s="100">
        <v>5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21</v>
      </c>
      <c r="C9" s="42">
        <f t="shared" ref="C9" si="1">IF(B$2=0,0,B9/B$2)</f>
        <v>0.58333333333333337</v>
      </c>
      <c r="E9" s="65" t="s">
        <v>70</v>
      </c>
      <c r="F9" s="62" t="s">
        <v>24</v>
      </c>
      <c r="G9" s="49">
        <v>6</v>
      </c>
      <c r="H9" s="141">
        <f>IF(B$27=0,0,G9/B$27)</f>
        <v>0.10714285714285714</v>
      </c>
      <c r="I9" s="100">
        <v>13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41">
        <f>IF(B$27=0,0,G10/B$27)</f>
        <v>0.10714285714285714</v>
      </c>
      <c r="I10" s="100">
        <v>5</v>
      </c>
      <c r="K10" s="40">
        <v>8</v>
      </c>
      <c r="L10" s="105">
        <v>-4.4999999999999964</v>
      </c>
      <c r="N10" s="120" t="s">
        <v>253</v>
      </c>
      <c r="O10" s="130">
        <f>IF(P10=0,0,Q10/P10)</f>
        <v>-15.350000000000001</v>
      </c>
      <c r="P10" s="124">
        <v>12</v>
      </c>
      <c r="Q10" s="112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41">
        <f>IF(B$27=0,0,G11/B$27)</f>
        <v>0.10714285714285714</v>
      </c>
      <c r="I11" s="100">
        <v>4</v>
      </c>
      <c r="K11" s="40">
        <v>9</v>
      </c>
      <c r="L11" s="105">
        <v>-9.3999999999999968</v>
      </c>
      <c r="N11" s="121" t="s">
        <v>254</v>
      </c>
      <c r="O11" s="131">
        <f>IF(P11=0,0,Q11/P11)</f>
        <v>-14.470000000000002</v>
      </c>
      <c r="P11" s="125">
        <v>10</v>
      </c>
      <c r="Q11" s="113">
        <v>-144.70000000000002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41">
        <f>IF(B$27=0,0,G12/B$27)</f>
        <v>8.9285714285714288E-2</v>
      </c>
      <c r="I12" s="100">
        <v>10</v>
      </c>
      <c r="K12" s="40">
        <v>10</v>
      </c>
      <c r="L12" s="105">
        <v>-24.299999999999997</v>
      </c>
      <c r="N12" s="122" t="s">
        <v>255</v>
      </c>
      <c r="O12" s="132">
        <f>IF(P12=0,0,Q12/P12)</f>
        <v>-9.0714285714285712</v>
      </c>
      <c r="P12" s="126">
        <v>14</v>
      </c>
      <c r="Q12" s="114">
        <v>-127</v>
      </c>
    </row>
    <row r="13" spans="1:17" x14ac:dyDescent="0.4">
      <c r="A13" s="60" t="s">
        <v>128</v>
      </c>
      <c r="B13" s="52">
        <v>39</v>
      </c>
      <c r="C13" s="46">
        <f>IF(B$26=0,0,B13/B$26)</f>
        <v>0.13978494623655913</v>
      </c>
      <c r="E13" s="65" t="s">
        <v>82</v>
      </c>
      <c r="F13" s="62" t="s">
        <v>35</v>
      </c>
      <c r="G13" s="49">
        <v>3</v>
      </c>
      <c r="H13" s="141">
        <f>IF(B$27=0,0,G13/B$27)</f>
        <v>5.3571428571428568E-2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99</v>
      </c>
      <c r="C14" s="41">
        <f>IF(B$26=0,0,B14/B$26)</f>
        <v>0.35483870967741937</v>
      </c>
      <c r="E14" s="65" t="s">
        <v>86</v>
      </c>
      <c r="F14" s="62" t="s">
        <v>39</v>
      </c>
      <c r="G14" s="49">
        <v>3</v>
      </c>
      <c r="H14" s="141">
        <f>IF(B$27=0,0,G14/B$27)</f>
        <v>5.3571428571428568E-2</v>
      </c>
      <c r="I14" s="100">
        <v>3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41">
        <f>IF(B$27=0,0,G15/B$27)</f>
        <v>3.5714285714285712E-2</v>
      </c>
      <c r="I15" s="100">
        <v>12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41">
        <f>IF(B$27=0,0,G16/B$27)</f>
        <v>3.5714285714285712E-2</v>
      </c>
      <c r="I16" s="100">
        <v>8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41">
        <f>IF(B$27=0,0,G17/B$27)</f>
        <v>3.5714285714285712E-2</v>
      </c>
      <c r="I17" s="100">
        <v>3</v>
      </c>
      <c r="K17" s="40">
        <v>15</v>
      </c>
      <c r="L17" s="105">
        <v>-44.199999999999996</v>
      </c>
      <c r="N17" s="121" t="s">
        <v>139</v>
      </c>
      <c r="O17" s="131">
        <f>IF(P17=0,0,Q17/P17)</f>
        <v>-13.440000000000001</v>
      </c>
      <c r="P17" s="125">
        <v>20</v>
      </c>
      <c r="Q17" s="113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41">
        <f>IF(B$27=0,0,G18/B$27)</f>
        <v>1.7857142857142856E-2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-14.79166666666667</v>
      </c>
      <c r="P18" s="125">
        <v>12</v>
      </c>
      <c r="Q18" s="113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41">
        <f>IF(B$27=0,0,G19/B$27)</f>
        <v>1.7857142857142856E-2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41">
        <f>IF(B$27=0,0,G20/B$27)</f>
        <v>1.7857142857142856E-2</v>
      </c>
      <c r="I20" s="100">
        <v>8</v>
      </c>
      <c r="K20" s="40">
        <v>18</v>
      </c>
      <c r="L20" s="105">
        <v>-60.4</v>
      </c>
      <c r="N20" s="121" t="s">
        <v>135</v>
      </c>
      <c r="O20" s="131">
        <f>IF(P20=0,0,Q20/P20)</f>
        <v>-24.85</v>
      </c>
      <c r="P20" s="125">
        <v>2</v>
      </c>
      <c r="Q20" s="113">
        <v>-49.7</v>
      </c>
    </row>
    <row r="21" spans="1:17" x14ac:dyDescent="0.4">
      <c r="A21" s="57" t="s">
        <v>5</v>
      </c>
      <c r="B21" s="53">
        <f>IF(B$17=0,0,C21/B$17)</f>
        <v>9373.2142857142862</v>
      </c>
      <c r="C21" s="43">
        <v>524900</v>
      </c>
      <c r="E21" s="65" t="s">
        <v>97</v>
      </c>
      <c r="F21" s="62" t="s">
        <v>50</v>
      </c>
      <c r="G21" s="49">
        <v>1</v>
      </c>
      <c r="H21" s="141">
        <f>IF(B$27=0,0,G21/B$27)</f>
        <v>1.7857142857142856E-2</v>
      </c>
      <c r="I21" s="100">
        <v>2</v>
      </c>
      <c r="K21" s="40">
        <v>19</v>
      </c>
      <c r="L21" s="105">
        <v>-60</v>
      </c>
      <c r="N21" s="121" t="s">
        <v>136</v>
      </c>
      <c r="O21" s="131">
        <f>IF(P21=0,0,Q21/P21)</f>
        <v>-26.95</v>
      </c>
      <c r="P21" s="125">
        <v>6</v>
      </c>
      <c r="Q21" s="113">
        <v>-161.69999999999999</v>
      </c>
    </row>
    <row r="22" spans="1:17" x14ac:dyDescent="0.4">
      <c r="A22" s="59" t="s">
        <v>14</v>
      </c>
      <c r="B22" s="54">
        <f>IF(B$20=0,0,C22/B$20)</f>
        <v>-8745.2830188679254</v>
      </c>
      <c r="C22" s="47">
        <v>-463500</v>
      </c>
      <c r="E22" s="65" t="s">
        <v>77</v>
      </c>
      <c r="F22" s="62" t="s">
        <v>30</v>
      </c>
      <c r="G22" s="49">
        <v>0</v>
      </c>
      <c r="H22" s="141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-29.463999999999995</v>
      </c>
      <c r="P22" s="125">
        <v>25</v>
      </c>
      <c r="Q22" s="113">
        <v>-736.59999999999991</v>
      </c>
    </row>
    <row r="23" spans="1:17" x14ac:dyDescent="0.4">
      <c r="A23" s="96" t="s">
        <v>158</v>
      </c>
      <c r="B23" s="145">
        <v>5</v>
      </c>
      <c r="C23" s="146"/>
      <c r="E23" s="65" t="s">
        <v>78</v>
      </c>
      <c r="F23" s="62" t="s">
        <v>31</v>
      </c>
      <c r="G23" s="49">
        <v>0</v>
      </c>
      <c r="H23" s="141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43">
        <v>67700</v>
      </c>
      <c r="C24" s="144"/>
      <c r="E24" s="65" t="s">
        <v>79</v>
      </c>
      <c r="F24" s="62" t="s">
        <v>32</v>
      </c>
      <c r="G24" s="49">
        <v>0</v>
      </c>
      <c r="H24" s="141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3.5842293906810036E-3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9">
        <v>279</v>
      </c>
      <c r="C26" s="150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1">
        <v>56</v>
      </c>
      <c r="C27" s="152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41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C272-F43A-4146-AAD9-5D9A28E4987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250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</v>
      </c>
      <c r="C2" s="150"/>
      <c r="E2" s="64" t="s">
        <v>71</v>
      </c>
      <c r="F2" s="61" t="s">
        <v>25</v>
      </c>
      <c r="G2" s="48">
        <v>19</v>
      </c>
      <c r="H2" s="140">
        <f>IF(B$27=0,0,G2/B$27)</f>
        <v>1.1176470588235294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-350</v>
      </c>
      <c r="P2" s="124">
        <v>12</v>
      </c>
      <c r="Q2" s="108">
        <v>-4200</v>
      </c>
    </row>
    <row r="3" spans="1:17" x14ac:dyDescent="0.4">
      <c r="A3" s="57" t="s">
        <v>8</v>
      </c>
      <c r="B3" s="155">
        <v>88</v>
      </c>
      <c r="C3" s="156"/>
      <c r="E3" s="65" t="s">
        <v>76</v>
      </c>
      <c r="F3" s="62" t="s">
        <v>29</v>
      </c>
      <c r="G3" s="49">
        <v>14</v>
      </c>
      <c r="H3" s="141">
        <f>IF(B$27=0,0,G3/B$27)</f>
        <v>0.82352941176470584</v>
      </c>
      <c r="I3" s="100">
        <v>1</v>
      </c>
      <c r="K3" s="40">
        <v>1</v>
      </c>
      <c r="L3" s="105">
        <v>4</v>
      </c>
      <c r="N3" s="121" t="s">
        <v>148</v>
      </c>
      <c r="O3" s="128">
        <f t="shared" si="0"/>
        <v>-3308.3333333333335</v>
      </c>
      <c r="P3" s="125">
        <v>12</v>
      </c>
      <c r="Q3" s="109">
        <v>-39700</v>
      </c>
    </row>
    <row r="4" spans="1:17" x14ac:dyDescent="0.4">
      <c r="A4" s="57" t="s">
        <v>6</v>
      </c>
      <c r="B4" s="157">
        <v>-155.1</v>
      </c>
      <c r="C4" s="158"/>
      <c r="E4" s="65" t="s">
        <v>69</v>
      </c>
      <c r="F4" s="62" t="s">
        <v>23</v>
      </c>
      <c r="G4" s="49">
        <v>11</v>
      </c>
      <c r="H4" s="141">
        <f>IF(B$27=0,0,G4/B$27)</f>
        <v>0.6470588235294118</v>
      </c>
      <c r="I4" s="100">
        <v>10</v>
      </c>
      <c r="K4" s="40">
        <v>2</v>
      </c>
      <c r="L4" s="105">
        <v>3.7</v>
      </c>
      <c r="N4" s="121" t="s">
        <v>149</v>
      </c>
      <c r="O4" s="128">
        <f t="shared" si="0"/>
        <v>-7000</v>
      </c>
      <c r="P4" s="125">
        <v>12</v>
      </c>
      <c r="Q4" s="109">
        <v>-84000</v>
      </c>
    </row>
    <row r="5" spans="1:17" x14ac:dyDescent="0.4">
      <c r="A5" s="57" t="s">
        <v>7</v>
      </c>
      <c r="B5" s="159">
        <f>IF(B$2=0,0,B$4/B$2)</f>
        <v>-12.924999999999999</v>
      </c>
      <c r="C5" s="160"/>
      <c r="E5" s="65" t="s">
        <v>67</v>
      </c>
      <c r="F5" s="62" t="s">
        <v>21</v>
      </c>
      <c r="G5" s="49">
        <v>5</v>
      </c>
      <c r="H5" s="141">
        <f>IF(B$27=0,0,G5/B$27)</f>
        <v>0.29411764705882354</v>
      </c>
      <c r="I5" s="100">
        <v>13</v>
      </c>
      <c r="K5" s="40">
        <v>3</v>
      </c>
      <c r="L5" s="105">
        <v>27.8</v>
      </c>
      <c r="N5" s="121" t="s">
        <v>150</v>
      </c>
      <c r="O5" s="128">
        <f t="shared" si="0"/>
        <v>-244.44444444444446</v>
      </c>
      <c r="P5" s="125">
        <v>9</v>
      </c>
      <c r="Q5" s="109">
        <v>-2200</v>
      </c>
    </row>
    <row r="6" spans="1:17" x14ac:dyDescent="0.4">
      <c r="A6" s="57" t="s">
        <v>1</v>
      </c>
      <c r="B6" s="147">
        <f>IF(B$2=0,0,(B$7*1+B$8*2+B$9*3)/B$2)</f>
        <v>2.4166666666666665</v>
      </c>
      <c r="C6" s="148"/>
      <c r="E6" s="65" t="s">
        <v>70</v>
      </c>
      <c r="F6" s="62" t="s">
        <v>24</v>
      </c>
      <c r="G6" s="49">
        <v>3</v>
      </c>
      <c r="H6" s="141">
        <f>IF(B$27=0,0,G6/B$27)</f>
        <v>0.17647058823529413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-2737.5</v>
      </c>
      <c r="P6" s="125">
        <v>8</v>
      </c>
      <c r="Q6" s="109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41">
        <f>IF(B$27=0,0,G7/B$27)</f>
        <v>0.17647058823529413</v>
      </c>
      <c r="I7" s="100">
        <v>13</v>
      </c>
      <c r="K7" s="40">
        <v>5</v>
      </c>
      <c r="L7" s="105">
        <v>15</v>
      </c>
      <c r="N7" s="122" t="s">
        <v>152</v>
      </c>
      <c r="O7" s="129">
        <f t="shared" si="0"/>
        <v>-516.66666666666663</v>
      </c>
      <c r="P7" s="126">
        <v>6</v>
      </c>
      <c r="Q7" s="110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41">
        <f>IF(B$27=0,0,G8/B$27)</f>
        <v>0.17647058823529413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41">
        <f>IF(B$27=0,0,G9/B$27)</f>
        <v>0.17647058823529413</v>
      </c>
      <c r="I9" s="100">
        <v>4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41">
        <f>IF(B$27=0,0,G10/B$27)</f>
        <v>0.11764705882352941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-14.266666666666664</v>
      </c>
      <c r="P10" s="124">
        <v>9</v>
      </c>
      <c r="Q10" s="112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41">
        <f>IF(B$27=0,0,G11/B$27)</f>
        <v>5.8823529411764705E-2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41">
        <f>IF(B$27=0,0,G12/B$27)</f>
        <v>5.8823529411764705E-2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0.13636363636363635</v>
      </c>
      <c r="E13" s="65" t="s">
        <v>91</v>
      </c>
      <c r="F13" s="62" t="s">
        <v>44</v>
      </c>
      <c r="G13" s="49">
        <v>1</v>
      </c>
      <c r="H13" s="141">
        <f>IF(B$27=0,0,G13/B$27)</f>
        <v>5.8823529411764705E-2</v>
      </c>
      <c r="I13" s="100">
        <v>9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24</v>
      </c>
      <c r="C14" s="41">
        <f>IF(B$26=0,0,B14/B$26)</f>
        <v>0.27272727272727271</v>
      </c>
      <c r="E14" s="65" t="s">
        <v>68</v>
      </c>
      <c r="F14" s="62" t="s">
        <v>22</v>
      </c>
      <c r="G14" s="49">
        <v>0</v>
      </c>
      <c r="H14" s="141">
        <f>IF(B$27=0,0,G14/B$27)</f>
        <v>0</v>
      </c>
      <c r="I14" s="100">
        <v>12</v>
      </c>
      <c r="K14" s="40">
        <v>12</v>
      </c>
      <c r="L14" s="105">
        <v>-155.1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41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41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41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41">
        <f>IF(B$27=0,0,G18/B$27)</f>
        <v>0</v>
      </c>
      <c r="I18" s="100">
        <v>6</v>
      </c>
      <c r="N18" s="121" t="s">
        <v>133</v>
      </c>
      <c r="O18" s="131">
        <f>IF(P18=0,0,Q18/P18)</f>
        <v>-26.587499999999995</v>
      </c>
      <c r="P18" s="125">
        <v>8</v>
      </c>
      <c r="Q18" s="113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41">
        <f>IF(B$27=0,0,G19/B$27)</f>
        <v>0</v>
      </c>
      <c r="I19" s="100">
        <v>6</v>
      </c>
      <c r="N19" s="121" t="s">
        <v>139</v>
      </c>
      <c r="O19" s="131">
        <f>IF(P19=0,0,Q19/P19)</f>
        <v>-28.18</v>
      </c>
      <c r="P19" s="125">
        <v>5</v>
      </c>
      <c r="Q19" s="113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41">
        <f>IF(B$27=0,0,G20/B$27)</f>
        <v>0</v>
      </c>
      <c r="I20" s="100">
        <v>1</v>
      </c>
      <c r="N20" s="121" t="s">
        <v>137</v>
      </c>
      <c r="O20" s="131">
        <f>IF(P20=0,0,Q20/P20)</f>
        <v>-33.4</v>
      </c>
      <c r="P20" s="125">
        <v>1</v>
      </c>
      <c r="Q20" s="113">
        <v>-33.4</v>
      </c>
    </row>
    <row r="21" spans="1:17" x14ac:dyDescent="0.4">
      <c r="A21" s="57" t="s">
        <v>5</v>
      </c>
      <c r="B21" s="53">
        <f>IF(B$17=0,0,C21/B$17)</f>
        <v>8670.5882352941171</v>
      </c>
      <c r="C21" s="43">
        <v>147400</v>
      </c>
      <c r="E21" s="65" t="s">
        <v>81</v>
      </c>
      <c r="F21" s="62" t="s">
        <v>34</v>
      </c>
      <c r="G21" s="49">
        <v>0</v>
      </c>
      <c r="H21" s="141">
        <f>IF(B$27=0,0,G21/B$27)</f>
        <v>0</v>
      </c>
      <c r="I21" s="100">
        <v>7</v>
      </c>
      <c r="N21" s="121" t="s">
        <v>134</v>
      </c>
      <c r="O21" s="131">
        <f>IF(P21=0,0,Q21/P21)</f>
        <v>-53.3</v>
      </c>
      <c r="P21" s="125">
        <v>2</v>
      </c>
      <c r="Q21" s="113">
        <v>-106.6</v>
      </c>
    </row>
    <row r="22" spans="1:17" x14ac:dyDescent="0.4">
      <c r="A22" s="59" t="s">
        <v>14</v>
      </c>
      <c r="B22" s="54">
        <f>IF(B$20=0,0,C22/B$20)</f>
        <v>-9190.9090909090901</v>
      </c>
      <c r="C22" s="47">
        <v>-202200</v>
      </c>
      <c r="E22" s="65" t="s">
        <v>82</v>
      </c>
      <c r="F22" s="62" t="s">
        <v>35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5</v>
      </c>
      <c r="C23" s="14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59500</v>
      </c>
      <c r="C24" s="14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88</v>
      </c>
      <c r="C26" s="150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17</v>
      </c>
      <c r="C27" s="152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A453-562C-481F-8334-3A8DCF43F9C7}">
  <sheetPr codeName="Sheet33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8.3333333333333329E-2</v>
      </c>
      <c r="M15" s="69">
        <v>0.13636363636363635</v>
      </c>
      <c r="N15" s="69">
        <v>0.27272727272727271</v>
      </c>
      <c r="O15" s="69">
        <v>0.41666666666666669</v>
      </c>
      <c r="P15" s="69">
        <v>0.33333333333333331</v>
      </c>
      <c r="Q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EA9-5990-4278-8E28-D829CA846048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  <row r="35" spans="1:17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</v>
      </c>
      <c r="M35" s="69">
        <v>0.13934426229508196</v>
      </c>
      <c r="N35" s="69">
        <v>0.39344262295081966</v>
      </c>
      <c r="O35" s="69">
        <v>0.44117647058823528</v>
      </c>
      <c r="P35" s="69">
        <v>0.29166666666666669</v>
      </c>
      <c r="Q35" s="69">
        <v>0.32</v>
      </c>
    </row>
    <row r="36" spans="1:17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</v>
      </c>
      <c r="M36" s="69">
        <v>0.13779527559055119</v>
      </c>
      <c r="N36" s="69">
        <v>0.37795275590551181</v>
      </c>
      <c r="O36" s="69">
        <v>0.45714285714285713</v>
      </c>
      <c r="P36" s="69">
        <v>0.29166666666666669</v>
      </c>
      <c r="Q36" s="69">
        <v>0.33333333333333331</v>
      </c>
    </row>
    <row r="37" spans="1:17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</v>
      </c>
      <c r="M37" s="69">
        <v>0.13962264150943396</v>
      </c>
      <c r="N37" s="69">
        <v>0.37358490566037733</v>
      </c>
      <c r="O37" s="69">
        <v>0.45945945945945948</v>
      </c>
      <c r="P37" s="69">
        <v>0.28282828282828282</v>
      </c>
      <c r="Q37" s="69">
        <v>0.33962264150943394</v>
      </c>
    </row>
    <row r="38" spans="1:17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</v>
      </c>
      <c r="M38" s="69">
        <v>0.13653136531365315</v>
      </c>
      <c r="N38" s="69">
        <v>0.36531365313653136</v>
      </c>
      <c r="O38" s="69">
        <v>0.45945945945945948</v>
      </c>
      <c r="P38" s="69">
        <v>0.28282828282828282</v>
      </c>
      <c r="Q38" s="69">
        <v>0.35185185185185186</v>
      </c>
    </row>
    <row r="39" spans="1:17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</v>
      </c>
      <c r="M39" s="69">
        <v>0.13978494623655913</v>
      </c>
      <c r="N39" s="69">
        <v>0.35483870967741937</v>
      </c>
      <c r="O39" s="69">
        <v>0.46153846153846156</v>
      </c>
      <c r="P39" s="69">
        <v>0.28282828282828282</v>
      </c>
      <c r="Q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E8A0-8678-4244-88AD-B1A88D5E9A52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9AD-2E89-4032-A1C5-CCB23C6E3858}">
  <sheetPr codeName="Sheet26"/>
  <dimension ref="A1:Q13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  <row r="128" spans="1:17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9.6000000000000002E-2</v>
      </c>
      <c r="M128" s="69">
        <v>0.3007518796992481</v>
      </c>
      <c r="N128" s="69">
        <v>0.19011815252416756</v>
      </c>
      <c r="O128" s="69">
        <v>0.58214285714285718</v>
      </c>
      <c r="P128" s="69">
        <v>0.38418079096045199</v>
      </c>
      <c r="Q128" s="69">
        <v>0.43795620437956206</v>
      </c>
    </row>
    <row r="129" spans="1:17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9.5238095238095233E-2</v>
      </c>
      <c r="M129" s="69">
        <v>0.3022269353128314</v>
      </c>
      <c r="N129" s="69">
        <v>0.18875927889713678</v>
      </c>
      <c r="O129" s="69">
        <v>0.5859649122807018</v>
      </c>
      <c r="P129" s="69">
        <v>0.38764044943820225</v>
      </c>
      <c r="Q129" s="69">
        <v>0.44086021505376344</v>
      </c>
    </row>
    <row r="130" spans="1:17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9.4488188976377951E-2</v>
      </c>
      <c r="M130" s="69">
        <v>0.30242360379346683</v>
      </c>
      <c r="N130" s="69">
        <v>0.18861959957850369</v>
      </c>
      <c r="O130" s="69">
        <v>0.58885017421602792</v>
      </c>
      <c r="P130" s="69">
        <v>0.39106145251396646</v>
      </c>
      <c r="Q130" s="69">
        <v>0.4432624113475177</v>
      </c>
    </row>
    <row r="131" spans="1:17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9.375E-2</v>
      </c>
      <c r="M131" s="69">
        <v>0.30407523510971785</v>
      </c>
      <c r="N131" s="69">
        <v>0.18704284221525602</v>
      </c>
      <c r="O131" s="69">
        <v>0.58419243986254299</v>
      </c>
      <c r="P131" s="69">
        <v>0.39106145251396646</v>
      </c>
      <c r="Q131" s="69">
        <v>0.44169611307420492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790A-778B-4AD4-BF03-AD636A18A28A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E167-E506-4432-889E-36A539C7714E}">
  <sheetPr codeName="Sheet22"/>
  <dimension ref="A1:Q12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  <row r="117" spans="1:17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9.6491228070175433E-2</v>
      </c>
      <c r="M117" s="69">
        <v>0.30476190476190479</v>
      </c>
      <c r="N117" s="69">
        <v>0.21632653061224491</v>
      </c>
      <c r="O117" s="69">
        <v>0.5669642857142857</v>
      </c>
      <c r="P117" s="69">
        <v>0.38993710691823902</v>
      </c>
      <c r="Q117" s="69">
        <v>0.44486692015209123</v>
      </c>
    </row>
    <row r="118" spans="1:17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9.5652173913043481E-2</v>
      </c>
      <c r="M118" s="69">
        <v>0.30364372469635625</v>
      </c>
      <c r="N118" s="69">
        <v>0.21592442645074225</v>
      </c>
      <c r="O118" s="69">
        <v>0.56444444444444442</v>
      </c>
      <c r="P118" s="69">
        <v>0.38750000000000001</v>
      </c>
      <c r="Q118" s="69">
        <v>0.44486692015209123</v>
      </c>
    </row>
    <row r="119" spans="1:17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9.4827586206896547E-2</v>
      </c>
      <c r="M119" s="69">
        <v>0.30307076101468627</v>
      </c>
      <c r="N119" s="69">
        <v>0.21495327102803738</v>
      </c>
      <c r="O119" s="69">
        <v>0.55947136563876654</v>
      </c>
      <c r="P119" s="69">
        <v>0.38509316770186336</v>
      </c>
      <c r="Q119" s="69">
        <v>0.44486692015209123</v>
      </c>
    </row>
    <row r="120" spans="1:17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9.4017094017094016E-2</v>
      </c>
      <c r="M120" s="69">
        <v>0.30211081794195249</v>
      </c>
      <c r="N120" s="69">
        <v>0.21240105540897097</v>
      </c>
      <c r="O120" s="69">
        <v>0.55895196506550215</v>
      </c>
      <c r="P120" s="69">
        <v>0.38509316770186336</v>
      </c>
      <c r="Q120" s="69">
        <v>0.43984962406015038</v>
      </c>
    </row>
    <row r="121" spans="1:17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9.3220338983050849E-2</v>
      </c>
      <c r="M121" s="69">
        <v>0.30223390275952694</v>
      </c>
      <c r="N121" s="69">
        <v>0.21156373193166886</v>
      </c>
      <c r="O121" s="69">
        <v>0.55652173913043479</v>
      </c>
      <c r="P121" s="69">
        <v>0.38509316770186336</v>
      </c>
      <c r="Q121" s="69">
        <v>0.43984962406015038</v>
      </c>
    </row>
    <row r="122" spans="1:17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9.2436974789915971E-2</v>
      </c>
      <c r="M122" s="69">
        <v>0.29961089494163423</v>
      </c>
      <c r="N122" s="69">
        <v>0.21271076523994811</v>
      </c>
      <c r="O122" s="69">
        <v>0.55844155844155841</v>
      </c>
      <c r="P122" s="69">
        <v>0.3902439024390244</v>
      </c>
      <c r="Q122" s="69">
        <v>0.43703703703703706</v>
      </c>
    </row>
    <row r="123" spans="1:17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9.166666666666666E-2</v>
      </c>
      <c r="M123" s="69">
        <v>0.29795396419437342</v>
      </c>
      <c r="N123" s="69">
        <v>0.21227621483375958</v>
      </c>
      <c r="O123" s="69">
        <v>0.5622317596566524</v>
      </c>
      <c r="P123" s="69">
        <v>0.38554216867469882</v>
      </c>
      <c r="Q123" s="69">
        <v>0.4375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1A23-E94F-4B15-B6EF-B9085063F259}">
  <sheetPr codeName="Sheet20"/>
  <dimension ref="A1:Q8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  <row r="77" spans="1:17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5.4054054054054057E-2</v>
      </c>
      <c r="M77" s="69">
        <v>0.27295918367346939</v>
      </c>
      <c r="N77" s="69">
        <v>0.27551020408163263</v>
      </c>
      <c r="O77" s="69">
        <v>0.48598130841121495</v>
      </c>
      <c r="P77" s="69">
        <v>0.35185185185185186</v>
      </c>
      <c r="Q77" s="69">
        <v>0.47682119205298013</v>
      </c>
    </row>
    <row r="78" spans="1:17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5.3333333333333337E-2</v>
      </c>
      <c r="M78" s="69">
        <v>0.271356783919598</v>
      </c>
      <c r="N78" s="69">
        <v>0.27889447236180903</v>
      </c>
      <c r="O78" s="69">
        <v>0.49074074074074076</v>
      </c>
      <c r="P78" s="69">
        <v>0.36036036036036034</v>
      </c>
      <c r="Q78" s="69">
        <v>0.47741935483870968</v>
      </c>
    </row>
    <row r="79" spans="1:17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5.2631578947368418E-2</v>
      </c>
      <c r="M79" s="69">
        <v>0.27093596059113301</v>
      </c>
      <c r="N79" s="69">
        <v>0.27832512315270935</v>
      </c>
      <c r="O79" s="69">
        <v>0.5</v>
      </c>
      <c r="P79" s="69">
        <v>0.36283185840707965</v>
      </c>
      <c r="Q79" s="69">
        <v>0.4779874213836478</v>
      </c>
    </row>
    <row r="80" spans="1:17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5.1948051948051951E-2</v>
      </c>
      <c r="M80" s="69">
        <v>0.26746987951807227</v>
      </c>
      <c r="N80" s="69">
        <v>0.27710843373493976</v>
      </c>
      <c r="O80" s="69">
        <v>0.49549549549549549</v>
      </c>
      <c r="P80" s="69">
        <v>0.35652173913043478</v>
      </c>
      <c r="Q80" s="69">
        <v>0.48125000000000001</v>
      </c>
    </row>
    <row r="81" spans="1:17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5.128205128205128E-2</v>
      </c>
      <c r="M81" s="69">
        <v>0.26840855106888362</v>
      </c>
      <c r="N81" s="69">
        <v>0.27553444180522563</v>
      </c>
      <c r="O81" s="69">
        <v>0.49557522123893805</v>
      </c>
      <c r="P81" s="69">
        <v>0.35344827586206895</v>
      </c>
      <c r="Q81" s="69">
        <v>0.4785276073619632</v>
      </c>
    </row>
    <row r="82" spans="1:17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5.0632911392405063E-2</v>
      </c>
      <c r="M82" s="69">
        <v>0.26650943396226418</v>
      </c>
      <c r="N82" s="69">
        <v>0.27594339622641512</v>
      </c>
      <c r="O82" s="69">
        <v>0.49557522123893805</v>
      </c>
      <c r="P82" s="69">
        <v>0.35897435897435898</v>
      </c>
      <c r="Q82" s="69">
        <v>0.47878787878787876</v>
      </c>
    </row>
    <row r="83" spans="1:17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0.05</v>
      </c>
      <c r="M83" s="69">
        <v>0.26666666666666666</v>
      </c>
      <c r="N83" s="69">
        <v>0.27816091954022987</v>
      </c>
      <c r="O83" s="69">
        <v>0.5</v>
      </c>
      <c r="P83" s="69">
        <v>0.37190082644628097</v>
      </c>
      <c r="Q83" s="69">
        <v>0.47368421052631576</v>
      </c>
    </row>
    <row r="84" spans="1:17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4.9382716049382713E-2</v>
      </c>
      <c r="M84" s="69">
        <v>0.26818181818181819</v>
      </c>
      <c r="N84" s="69">
        <v>0.27727272727272728</v>
      </c>
      <c r="O84" s="69">
        <v>0.5</v>
      </c>
      <c r="P84" s="69">
        <v>0.36885245901639346</v>
      </c>
      <c r="Q84" s="69">
        <v>0.47674418604651164</v>
      </c>
    </row>
    <row r="85" spans="1:17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4.878048780487805E-2</v>
      </c>
      <c r="M85" s="69">
        <v>0.27433628318584069</v>
      </c>
      <c r="N85" s="69">
        <v>0.27654867256637167</v>
      </c>
      <c r="O85" s="69">
        <v>0.49193548387096775</v>
      </c>
      <c r="P85" s="69">
        <v>0.36</v>
      </c>
      <c r="Q85" s="69">
        <v>0.47701149425287354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05917-4CA3-4B37-A729-E99F0070C162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D293-1BE9-4E0E-8748-349ACD4ECC17}">
  <sheetPr codeName="Sheet16"/>
  <dimension ref="A1:Q6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  <row r="65" spans="1:17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4.8387096774193547E-2</v>
      </c>
      <c r="M65" s="69">
        <v>0.23076923076923078</v>
      </c>
      <c r="N65" s="69">
        <v>0.3125</v>
      </c>
      <c r="O65" s="69">
        <v>0.58333333333333337</v>
      </c>
      <c r="P65" s="69">
        <v>0.4</v>
      </c>
      <c r="Q65" s="69">
        <v>0.44155844155844154</v>
      </c>
    </row>
    <row r="66" spans="1:17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4.7619047619047616E-2</v>
      </c>
      <c r="M66" s="69">
        <v>0.22580645161290322</v>
      </c>
      <c r="N66" s="69">
        <v>0.30875576036866359</v>
      </c>
      <c r="O66" s="69">
        <v>0.5714285714285714</v>
      </c>
      <c r="P66" s="69">
        <v>0.41791044776119401</v>
      </c>
      <c r="Q66" s="69">
        <v>0.43312101910828027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0EED-0BD3-4CE4-B0E2-373A2B424D35}">
  <sheetPr codeName="Sheet14"/>
  <dimension ref="A1:Q1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  <row r="136" spans="1:17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7.5187969924812026E-2</v>
      </c>
      <c r="M136" s="69">
        <v>0.29571984435797666</v>
      </c>
      <c r="N136" s="69">
        <v>0.17769130998702984</v>
      </c>
      <c r="O136" s="69">
        <v>0.57894736842105265</v>
      </c>
      <c r="P136" s="69">
        <v>0.37956204379562042</v>
      </c>
      <c r="Q136" s="69">
        <v>0.44237918215613381</v>
      </c>
    </row>
    <row r="137" spans="1:17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7.4626865671641784E-2</v>
      </c>
      <c r="M137" s="69">
        <v>0.29487179487179488</v>
      </c>
      <c r="N137" s="69">
        <v>0.17692307692307693</v>
      </c>
      <c r="O137" s="69">
        <v>0.57826086956521738</v>
      </c>
      <c r="P137" s="69">
        <v>0.38405797101449274</v>
      </c>
      <c r="Q137" s="69">
        <v>0.4485294117647059</v>
      </c>
    </row>
    <row r="138" spans="1:17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7.407407407407407E-2</v>
      </c>
      <c r="M138" s="69">
        <v>0.29389312977099236</v>
      </c>
      <c r="N138" s="69">
        <v>0.17684478371501272</v>
      </c>
      <c r="O138" s="69">
        <v>0.58008658008658009</v>
      </c>
      <c r="P138" s="69">
        <v>0.38848920863309355</v>
      </c>
      <c r="Q138" s="69">
        <v>0.4489051094890511</v>
      </c>
    </row>
    <row r="139" spans="1:17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7.3529411764705885E-2</v>
      </c>
      <c r="M139" s="69">
        <v>0.29292929292929293</v>
      </c>
      <c r="N139" s="69">
        <v>0.17803030303030304</v>
      </c>
      <c r="O139" s="69">
        <v>0.5818965517241379</v>
      </c>
      <c r="P139" s="69">
        <v>0.39007092198581561</v>
      </c>
      <c r="Q139" s="69">
        <v>0.44927536231884058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97E-3797-4644-B487-FB173673797A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B7B5-7FC2-4B03-A939-07732F071330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7EDE-516D-4453-A707-0EDC071DCCBB}">
  <sheetPr codeName="Sheet8"/>
  <dimension ref="A1:Q25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  <row r="241" spans="1:17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0.10504201680672269</v>
      </c>
      <c r="M241" s="69">
        <v>0.3060312732688012</v>
      </c>
      <c r="N241" s="69">
        <v>0.20625465376023827</v>
      </c>
      <c r="O241" s="69">
        <v>0.63990267639902676</v>
      </c>
      <c r="P241" s="69">
        <v>0.49097472924187724</v>
      </c>
      <c r="Q241" s="69">
        <v>0.37402190923317685</v>
      </c>
    </row>
    <row r="242" spans="1:17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0.10460251046025104</v>
      </c>
      <c r="M242" s="69">
        <v>0.30473372781065089</v>
      </c>
      <c r="N242" s="69">
        <v>0.20784023668639054</v>
      </c>
      <c r="O242" s="69">
        <v>0.64077669902912626</v>
      </c>
      <c r="P242" s="69">
        <v>0.48754448398576511</v>
      </c>
      <c r="Q242" s="69">
        <v>0.37538940809968846</v>
      </c>
    </row>
    <row r="243" spans="1:17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0.10416666666666667</v>
      </c>
      <c r="M243" s="69">
        <v>0.30633284241531666</v>
      </c>
      <c r="N243" s="69">
        <v>0.20839469808541974</v>
      </c>
      <c r="O243" s="69">
        <v>0.64423076923076927</v>
      </c>
      <c r="P243" s="69">
        <v>0.48409893992932862</v>
      </c>
      <c r="Q243" s="69">
        <v>0.37770897832817335</v>
      </c>
    </row>
    <row r="244" spans="1:17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0.1037344398340249</v>
      </c>
      <c r="M244" s="69">
        <v>0.30498533724340177</v>
      </c>
      <c r="N244" s="69">
        <v>0.20821114369501467</v>
      </c>
      <c r="O244" s="69">
        <v>0.64423076923076927</v>
      </c>
      <c r="P244" s="69">
        <v>0.4859154929577465</v>
      </c>
      <c r="Q244" s="69">
        <v>0.37654320987654322</v>
      </c>
    </row>
    <row r="245" spans="1:17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0.10330578512396695</v>
      </c>
      <c r="M245" s="69">
        <v>0.30466472303206998</v>
      </c>
      <c r="N245" s="69">
        <v>0.2099125364431487</v>
      </c>
      <c r="O245" s="69">
        <v>0.64593301435406703</v>
      </c>
      <c r="P245" s="69">
        <v>0.4861111111111111</v>
      </c>
      <c r="Q245" s="69">
        <v>0.37576687116564417</v>
      </c>
    </row>
    <row r="246" spans="1:17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0.102880658436214</v>
      </c>
      <c r="M246" s="69">
        <v>0.30485155684286747</v>
      </c>
      <c r="N246" s="69">
        <v>0.20854453294713976</v>
      </c>
      <c r="O246" s="69">
        <v>0.64845605700712594</v>
      </c>
      <c r="P246" s="69">
        <v>0.4861111111111111</v>
      </c>
      <c r="Q246" s="69">
        <v>0.375</v>
      </c>
    </row>
    <row r="247" spans="1:17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0.10245901639344263</v>
      </c>
      <c r="M247" s="69">
        <v>0.30569574621485218</v>
      </c>
      <c r="N247" s="69">
        <v>0.20764239365537129</v>
      </c>
      <c r="O247" s="69">
        <v>0.65094339622641506</v>
      </c>
      <c r="P247" s="69">
        <v>0.4861111111111111</v>
      </c>
      <c r="Q247" s="69">
        <v>0.37632776934749623</v>
      </c>
    </row>
    <row r="248" spans="1:17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0.10204081632653061</v>
      </c>
      <c r="M248" s="69">
        <v>0.30503597122302156</v>
      </c>
      <c r="N248" s="69">
        <v>0.2079136690647482</v>
      </c>
      <c r="O248" s="69">
        <v>0.65094339622641506</v>
      </c>
      <c r="P248" s="69">
        <v>0.48788927335640137</v>
      </c>
      <c r="Q248" s="69">
        <v>0.37575757575757573</v>
      </c>
    </row>
    <row r="249" spans="1:17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0.1016260162601626</v>
      </c>
      <c r="M249" s="69">
        <v>0.30499999999999999</v>
      </c>
      <c r="N249" s="69">
        <v>0.20785714285714285</v>
      </c>
      <c r="O249" s="69">
        <v>0.65105386416861821</v>
      </c>
      <c r="P249" s="69">
        <v>0.4845360824742268</v>
      </c>
      <c r="Q249" s="69">
        <v>0.37858220211161386</v>
      </c>
    </row>
    <row r="250" spans="1:17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0.10526315789473684</v>
      </c>
      <c r="M250" s="69">
        <v>0.30533807829181497</v>
      </c>
      <c r="N250" s="69">
        <v>0.20782918149466192</v>
      </c>
      <c r="O250" s="69">
        <v>0.65034965034965031</v>
      </c>
      <c r="P250" s="69">
        <v>0.48287671232876711</v>
      </c>
      <c r="Q250" s="69">
        <v>0.37894736842105264</v>
      </c>
    </row>
    <row r="251" spans="1:17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0.10483870967741936</v>
      </c>
      <c r="M251" s="69">
        <v>0.30416372618207482</v>
      </c>
      <c r="N251" s="69">
        <v>0.20748059280169373</v>
      </c>
      <c r="O251" s="69">
        <v>0.65197215777262185</v>
      </c>
      <c r="P251" s="69">
        <v>0.48299319727891155</v>
      </c>
      <c r="Q251" s="69">
        <v>0.3787425149700599</v>
      </c>
    </row>
    <row r="252" spans="1:17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0.10441767068273092</v>
      </c>
      <c r="M252" s="69">
        <v>0.30358397751229799</v>
      </c>
      <c r="N252" s="69">
        <v>0.20660576247364723</v>
      </c>
      <c r="O252" s="69">
        <v>0.65277777777777779</v>
      </c>
      <c r="P252" s="69">
        <v>0.48299319727891155</v>
      </c>
      <c r="Q252" s="69">
        <v>0.37967115097159942</v>
      </c>
    </row>
    <row r="253" spans="1:17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0.104</v>
      </c>
      <c r="M253" s="69">
        <v>0.30468204053109715</v>
      </c>
      <c r="N253" s="69">
        <v>0.20545073375262055</v>
      </c>
      <c r="O253" s="69">
        <v>0.65137614678899081</v>
      </c>
      <c r="P253" s="69">
        <v>0.48299319727891155</v>
      </c>
      <c r="Q253" s="69">
        <v>0.38002980625931443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A3CF-FB0B-4223-A535-C76C8AFFF6A4}">
  <sheetPr codeName="Sheet6"/>
  <dimension ref="A1:Q29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  <row r="282" spans="1:17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8.3632019115890077E-2</v>
      </c>
      <c r="M282" s="69">
        <v>0.28847314423657211</v>
      </c>
      <c r="N282" s="69">
        <v>0.21967410983705493</v>
      </c>
      <c r="O282" s="69">
        <v>0.58019525801952576</v>
      </c>
      <c r="P282" s="69">
        <v>0.39377289377289376</v>
      </c>
      <c r="Q282" s="69">
        <v>0.41666666666666669</v>
      </c>
    </row>
    <row r="283" spans="1:17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8.3333333333333329E-2</v>
      </c>
      <c r="M283" s="69">
        <v>0.28771508603441376</v>
      </c>
      <c r="N283" s="69">
        <v>0.21988795518207283</v>
      </c>
      <c r="O283" s="69">
        <v>0.57997218358831715</v>
      </c>
      <c r="P283" s="69">
        <v>0.39490445859872614</v>
      </c>
      <c r="Q283" s="69">
        <v>0.41731467081389323</v>
      </c>
    </row>
    <row r="284" spans="1:17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8.3036773428232499E-2</v>
      </c>
      <c r="M284" s="69">
        <v>0.28807814992025521</v>
      </c>
      <c r="N284" s="69">
        <v>0.2196969696969697</v>
      </c>
      <c r="O284" s="69">
        <v>0.58062283737024223</v>
      </c>
      <c r="P284" s="69">
        <v>0.39473684210526316</v>
      </c>
      <c r="Q284" s="69">
        <v>0.41808785529715764</v>
      </c>
    </row>
    <row r="285" spans="1:17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8.2742316784869971E-2</v>
      </c>
      <c r="M285" s="69">
        <v>0.28744537147397697</v>
      </c>
      <c r="N285" s="69">
        <v>0.21970599920540326</v>
      </c>
      <c r="O285" s="69">
        <v>0.58120248790601248</v>
      </c>
      <c r="P285" s="69">
        <v>0.39692585895117538</v>
      </c>
      <c r="Q285" s="69">
        <v>0.41761071060762101</v>
      </c>
    </row>
    <row r="286" spans="1:17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8.2449941107184926E-2</v>
      </c>
      <c r="M286" s="69">
        <v>0.28701504354711005</v>
      </c>
      <c r="N286" s="69">
        <v>0.22011084718923199</v>
      </c>
      <c r="O286" s="69">
        <v>0.58137931034482759</v>
      </c>
      <c r="P286" s="69">
        <v>0.39748201438848924</v>
      </c>
      <c r="Q286" s="69">
        <v>0.41786447638603696</v>
      </c>
    </row>
    <row r="287" spans="1:17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8.2159624413145546E-2</v>
      </c>
      <c r="M287" s="69">
        <v>0.28684003152088261</v>
      </c>
      <c r="N287" s="69">
        <v>0.22044917257683216</v>
      </c>
      <c r="O287" s="69">
        <v>0.58173076923076927</v>
      </c>
      <c r="P287" s="69">
        <v>0.39767649687220735</v>
      </c>
      <c r="Q287" s="69">
        <v>0.41768916155419222</v>
      </c>
    </row>
    <row r="288" spans="1:17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8.1871345029239762E-2</v>
      </c>
      <c r="M288" s="69">
        <v>0.28649813834999022</v>
      </c>
      <c r="N288" s="69">
        <v>0.21967470115618265</v>
      </c>
      <c r="O288" s="69">
        <v>0.58207934336525313</v>
      </c>
      <c r="P288" s="69">
        <v>0.39696699375557537</v>
      </c>
      <c r="Q288" s="69">
        <v>0.41700610997963339</v>
      </c>
    </row>
    <row r="289" spans="1:17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8.1585081585081584E-2</v>
      </c>
      <c r="M289" s="69">
        <v>0.28646748681898065</v>
      </c>
      <c r="N289" s="69">
        <v>0.21909783245459871</v>
      </c>
      <c r="O289" s="69">
        <v>0.58282208588957052</v>
      </c>
      <c r="P289" s="69">
        <v>0.39661319073083778</v>
      </c>
      <c r="Q289" s="69">
        <v>0.41725888324873095</v>
      </c>
    </row>
    <row r="290" spans="1:17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8.1300813008130079E-2</v>
      </c>
      <c r="M290" s="69">
        <v>0.28615984405458089</v>
      </c>
      <c r="N290" s="69">
        <v>0.21910331384015594</v>
      </c>
      <c r="O290" s="69">
        <v>0.58242506811989103</v>
      </c>
      <c r="P290" s="69">
        <v>0.39768683274021355</v>
      </c>
      <c r="Q290" s="69">
        <v>0.41713127217435375</v>
      </c>
    </row>
    <row r="291" spans="1:17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8.1018518518518517E-2</v>
      </c>
      <c r="M291" s="69">
        <v>0.28546511627906979</v>
      </c>
      <c r="N291" s="69">
        <v>0.21879844961240311</v>
      </c>
      <c r="O291" s="69">
        <v>0.58316361167684994</v>
      </c>
      <c r="P291" s="69">
        <v>0.39769707705934454</v>
      </c>
      <c r="Q291" s="69">
        <v>0.41797072185764766</v>
      </c>
    </row>
    <row r="292" spans="1:17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8.073817762399077E-2</v>
      </c>
      <c r="M292" s="69">
        <v>0.28499903716541497</v>
      </c>
      <c r="N292" s="69">
        <v>0.21914115155016367</v>
      </c>
      <c r="O292" s="69">
        <v>0.58378378378378382</v>
      </c>
      <c r="P292" s="69">
        <v>0.39718804920913886</v>
      </c>
      <c r="Q292" s="69">
        <v>0.41788046207935708</v>
      </c>
    </row>
    <row r="293" spans="1:17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8.1609195402298856E-2</v>
      </c>
      <c r="M293" s="69">
        <v>0.28513824884792627</v>
      </c>
      <c r="N293" s="69">
        <v>0.21908602150537634</v>
      </c>
      <c r="O293" s="69">
        <v>0.58383838383838382</v>
      </c>
      <c r="P293" s="69">
        <v>0.39614373356704646</v>
      </c>
      <c r="Q293" s="69">
        <v>0.41854636591478694</v>
      </c>
    </row>
    <row r="294" spans="1:17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8.1328751431844218E-2</v>
      </c>
      <c r="M294" s="69">
        <v>0.28565980167810834</v>
      </c>
      <c r="N294" s="69">
        <v>0.21872616323417238</v>
      </c>
      <c r="O294" s="69">
        <v>0.58411214953271029</v>
      </c>
      <c r="P294" s="69">
        <v>0.39581517000871841</v>
      </c>
      <c r="Q294" s="69">
        <v>0.41895261845386533</v>
      </c>
    </row>
    <row r="295" spans="1:17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8.1050228310502279E-2</v>
      </c>
      <c r="M295" s="69">
        <v>0.28525275560623337</v>
      </c>
      <c r="N295" s="69">
        <v>0.21816799695933106</v>
      </c>
      <c r="O295" s="69">
        <v>0.58494337108594274</v>
      </c>
      <c r="P295" s="69">
        <v>0.39634146341463417</v>
      </c>
      <c r="Q295" s="69">
        <v>0.4199004975124378</v>
      </c>
    </row>
    <row r="296" spans="1:17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8.0773606370875994E-2</v>
      </c>
      <c r="M296" s="69">
        <v>0.28584941354521376</v>
      </c>
      <c r="N296" s="69">
        <v>0.21717744986757473</v>
      </c>
      <c r="O296" s="69">
        <v>0.5837193911317009</v>
      </c>
      <c r="P296" s="69">
        <v>0.39634146341463417</v>
      </c>
      <c r="Q296" s="69">
        <v>0.42034739454094294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2019-02-23T14:48:08Z</dcterms:modified>
</cp:coreProperties>
</file>