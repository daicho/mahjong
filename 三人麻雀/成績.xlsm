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91B6E8BC-CC33-4D21-8D05-E83B8611FC2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2" i="4036"/>
  <c r="O13" i="4034"/>
  <c r="O11" i="4036"/>
  <c r="O15" i="4026" l="1"/>
  <c r="O11" i="4042"/>
  <c r="O14" i="4042" l="1"/>
  <c r="O12" i="4020"/>
  <c r="O16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6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5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0" i="4038"/>
  <c r="H25" i="4038"/>
  <c r="H19" i="4038"/>
  <c r="H33" i="4038"/>
  <c r="H9" i="4038"/>
  <c r="H32" i="4038"/>
  <c r="H31" i="4038"/>
  <c r="H12" i="4038"/>
  <c r="H24" i="4038"/>
  <c r="C25" i="4038"/>
  <c r="H23" i="4038"/>
  <c r="H14" i="4038"/>
  <c r="H30" i="4038"/>
  <c r="B22" i="4038"/>
  <c r="H17" i="4038"/>
  <c r="H29" i="4038"/>
  <c r="C20" i="4038"/>
  <c r="H28" i="4038"/>
  <c r="H22" i="4038"/>
  <c r="H13" i="4038"/>
  <c r="B17" i="4038"/>
  <c r="C18" i="4038" s="1"/>
  <c r="H21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3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6" i="4036"/>
  <c r="H15" i="4036"/>
  <c r="H32" i="4036"/>
  <c r="H9" i="4036"/>
  <c r="H31" i="4036"/>
  <c r="H30" i="4036"/>
  <c r="H14" i="4036"/>
  <c r="H29" i="4036"/>
  <c r="C25" i="4036"/>
  <c r="H28" i="4036"/>
  <c r="H27" i="4036"/>
  <c r="H26" i="4036"/>
  <c r="B22" i="4036"/>
  <c r="H25" i="4036"/>
  <c r="H24" i="4036"/>
  <c r="C20" i="4036"/>
  <c r="H23" i="4036"/>
  <c r="H22" i="4036"/>
  <c r="C18" i="4036"/>
  <c r="H13" i="4036"/>
  <c r="B17" i="4036"/>
  <c r="B21" i="4036" s="1"/>
  <c r="H21" i="4036"/>
  <c r="C16" i="4036"/>
  <c r="H20" i="4036"/>
  <c r="C15" i="4036"/>
  <c r="H19" i="4036"/>
  <c r="C14" i="4036"/>
  <c r="H18" i="4036"/>
  <c r="C13" i="4036"/>
  <c r="H17" i="4036"/>
  <c r="C12" i="4036"/>
  <c r="H6" i="4036"/>
  <c r="C11" i="4036"/>
  <c r="H12" i="4036"/>
  <c r="C10" i="4036"/>
  <c r="H11" i="4036"/>
  <c r="C9" i="4036"/>
  <c r="H10" i="4036"/>
  <c r="C8" i="4036"/>
  <c r="O7" i="4036"/>
  <c r="H7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5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24" i="4034"/>
  <c r="H33" i="4034"/>
  <c r="H20" i="4034"/>
  <c r="H32" i="4034"/>
  <c r="H9" i="4034"/>
  <c r="H31" i="4034"/>
  <c r="H30" i="4034"/>
  <c r="H14" i="4034"/>
  <c r="H29" i="4034"/>
  <c r="C25" i="4034"/>
  <c r="H23" i="4034"/>
  <c r="H16" i="4034"/>
  <c r="H28" i="4034"/>
  <c r="B22" i="4034"/>
  <c r="H15" i="4034"/>
  <c r="H27" i="4034"/>
  <c r="C20" i="4034"/>
  <c r="H26" i="4034"/>
  <c r="H19" i="4034"/>
  <c r="H13" i="4034"/>
  <c r="B17" i="4034"/>
  <c r="B21" i="4034" s="1"/>
  <c r="H18" i="4034"/>
  <c r="C16" i="4034"/>
  <c r="H25" i="4034"/>
  <c r="C15" i="4034"/>
  <c r="H22" i="4034"/>
  <c r="C14" i="4034"/>
  <c r="H21" i="4034"/>
  <c r="C13" i="4034"/>
  <c r="H17" i="4034"/>
  <c r="C12" i="4034"/>
  <c r="H5" i="4034"/>
  <c r="C11" i="4034"/>
  <c r="H12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4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3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4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3" i="4032"/>
  <c r="O3" i="4032"/>
  <c r="H7" i="4032"/>
  <c r="O2" i="4032"/>
  <c r="H5" i="4032"/>
  <c r="O18" i="4020"/>
  <c r="O13" i="4020"/>
  <c r="O18" i="4018"/>
  <c r="O13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9" i="4026"/>
  <c r="H24" i="4026"/>
  <c r="H23" i="4026"/>
  <c r="H12" i="4026"/>
  <c r="H19" i="4026"/>
  <c r="C25" i="4026"/>
  <c r="H22" i="4026"/>
  <c r="H13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0" i="4026"/>
  <c r="C9" i="4026"/>
  <c r="H11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8" i="4026"/>
  <c r="O2" i="4026"/>
  <c r="H4" i="4026"/>
  <c r="O19" i="4020"/>
  <c r="O16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5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7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9" i="4020"/>
  <c r="C16" i="4020"/>
  <c r="H29" i="4020"/>
  <c r="C15" i="4020"/>
  <c r="H18" i="4020"/>
  <c r="C14" i="4020"/>
  <c r="H24" i="4020"/>
  <c r="C13" i="4020"/>
  <c r="H20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4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4" i="4018"/>
  <c r="H22" i="4018"/>
  <c r="H17" i="4018"/>
  <c r="H30" i="4018"/>
  <c r="H8" i="4018"/>
  <c r="H29" i="4018"/>
  <c r="H26" i="4018"/>
  <c r="H12" i="4018"/>
  <c r="H23" i="4018"/>
  <c r="C25" i="4018"/>
  <c r="H25" i="4018"/>
  <c r="H14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7" i="4018"/>
  <c r="C13" i="4018"/>
  <c r="H19" i="4018"/>
  <c r="C12" i="4018"/>
  <c r="H4" i="4018"/>
  <c r="C11" i="4018"/>
  <c r="H13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<sst xmlns="http://schemas.openxmlformats.org/spreadsheetml/2006/main" count="3220" uniqueCount="249">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</sst>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</borders>
  <cellStyleXfs count="1">
    <xf numFmtId="0" fontId="0" fillId="0" borderId="0">
      <alignment vertical="center"/>
    </xf>
  </cellStyleXfs>
  <cellXfs count="161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全体!$K$2:$K$698</c:f>
              <c:numCache>
                <c:formatCode>General</c:formatCode>
                <c:ptCount val="6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</c:numCache>
            </c:numRef>
          </c:xVal>
          <c:yVal>
            <c:numRef>
              <c:f>全体!$L$2:$L$698</c:f>
              <c:numCache>
                <c:formatCode>\+0.0;\-0.0;\±0</c:formatCode>
                <c:ptCount val="697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-14.619883040935672</c:v>
                </c:pt>
                <c:pt idx="1">
                  <c:v>0</c:v>
                </c:pt>
                <c:pt idx="2">
                  <c:v>6.5359477124183005</c:v>
                </c:pt>
                <c:pt idx="3">
                  <c:v>0</c:v>
                </c:pt>
                <c:pt idx="4">
                  <c:v>8.4925690021231421</c:v>
                </c:pt>
                <c:pt idx="5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だいち!$K$2:$K$205</c:f>
              <c:numCache>
                <c:formatCode>General</c:formatCode>
                <c:ptCount val="2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</c:numCache>
            </c:numRef>
          </c:xVal>
          <c:yVal>
            <c:numRef>
              <c:f>だいち!$L$2:$L$205</c:f>
              <c:numCache>
                <c:formatCode>\+0.0;\-0.0;\±0</c:formatCode>
                <c:ptCount val="20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1332.1608040201006</c:v>
                </c:pt>
                <c:pt idx="1">
                  <c:v>346.07329842931938</c:v>
                </c:pt>
                <c:pt idx="2">
                  <c:v>1342.9378531073446</c:v>
                </c:pt>
                <c:pt idx="3">
                  <c:v>1269.182389937107</c:v>
                </c:pt>
                <c:pt idx="4">
                  <c:v>1905.1094890510949</c:v>
                </c:pt>
                <c:pt idx="5">
                  <c:v>1682.4074074074074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りくと!$L$2:$L$121</c:f>
              <c:numCache>
                <c:formatCode>\+0.0;\-0.0;\±0</c:formatCode>
                <c:ptCount val="12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-376.92307692307691</c:v>
                </c:pt>
                <c:pt idx="1">
                  <c:v>-1461.9469026548672</c:v>
                </c:pt>
                <c:pt idx="2">
                  <c:v>1958.1818181818182</c:v>
                </c:pt>
                <c:pt idx="3">
                  <c:v>-785.71428571428567</c:v>
                </c:pt>
                <c:pt idx="4">
                  <c:v>-2453.6585365853657</c:v>
                </c:pt>
                <c:pt idx="5">
                  <c:v>-2472.3076923076924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-2546.4285714285716</c:v>
                </c:pt>
                <c:pt idx="1">
                  <c:v>-3626.4150943396226</c:v>
                </c:pt>
                <c:pt idx="2">
                  <c:v>-1508.695652173913</c:v>
                </c:pt>
                <c:pt idx="3">
                  <c:v>795.4545454545455</c:v>
                </c:pt>
                <c:pt idx="4">
                  <c:v>-2982.3529411764707</c:v>
                </c:pt>
                <c:pt idx="5">
                  <c:v>-1185.1851851851852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ただ!$L$2:$L$97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2611.8279569892475</c:v>
                </c:pt>
                <c:pt idx="1">
                  <c:v>678.40909090909088</c:v>
                </c:pt>
                <c:pt idx="2">
                  <c:v>-256.79012345679013</c:v>
                </c:pt>
                <c:pt idx="3">
                  <c:v>-1565.7894736842106</c:v>
                </c:pt>
                <c:pt idx="4">
                  <c:v>-85.9375</c:v>
                </c:pt>
                <c:pt idx="5">
                  <c:v>445.45454545454544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やがさき!$L$2:$L$28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-253.84615384615384</c:v>
                </c:pt>
                <c:pt idx="1">
                  <c:v>4200</c:v>
                </c:pt>
                <c:pt idx="2">
                  <c:v>-2409.5238095238096</c:v>
                </c:pt>
                <c:pt idx="3">
                  <c:v>2330</c:v>
                </c:pt>
                <c:pt idx="4">
                  <c:v>-582.35294117647061</c:v>
                </c:pt>
                <c:pt idx="5">
                  <c:v>-1946.6666666666667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れんたろう!$L$2:$L$99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-1726.8817204301076</c:v>
                </c:pt>
                <c:pt idx="1">
                  <c:v>-85.869565217391298</c:v>
                </c:pt>
                <c:pt idx="2">
                  <c:v>-440.22988505747128</c:v>
                </c:pt>
                <c:pt idx="3">
                  <c:v>-465.82278481012656</c:v>
                </c:pt>
                <c:pt idx="4">
                  <c:v>-2268.0555555555557</c:v>
                </c:pt>
                <c:pt idx="5">
                  <c:v>1237.5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37"/>
      <c r="C1" s="13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39">
        <v>0</v>
      </c>
      <c r="C2" s="140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1">
        <v>0</v>
      </c>
      <c r="C3" s="142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43">
        <v>0</v>
      </c>
      <c r="C4" s="144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45">
        <f>IF(B$2=0,0,B$4/B$2)</f>
        <v>0</v>
      </c>
      <c r="C5" s="146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51">
        <f>IF(B$2=0,0,(B$7*1+B$8*2+B$9*3)/B$2)</f>
        <v>0</v>
      </c>
      <c r="C6" s="15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49">
        <v>0</v>
      </c>
      <c r="C23" s="15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47">
        <v>0</v>
      </c>
      <c r="C24" s="14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39">
        <v>0</v>
      </c>
      <c r="C26" s="140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53">
        <v>0</v>
      </c>
      <c r="C27" s="154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7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43505.113252314812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  <row r="56" spans="1:12" x14ac:dyDescent="0.4">
      <c r="A56" s="38" t="s">
        <v>244</v>
      </c>
      <c r="B56" s="39">
        <v>43506.129988425928</v>
      </c>
      <c r="C56" s="38" t="s">
        <v>140</v>
      </c>
      <c r="D56" s="38" t="s">
        <v>141</v>
      </c>
      <c r="E56" s="38" t="s">
        <v>142</v>
      </c>
      <c r="F56" s="38" t="s">
        <v>143</v>
      </c>
    </row>
    <row r="57" spans="1:12" x14ac:dyDescent="0.4">
      <c r="A57" s="38" t="s">
        <v>245</v>
      </c>
      <c r="B57" s="39">
        <v>43506.793969907405</v>
      </c>
      <c r="C57" s="38" t="s">
        <v>140</v>
      </c>
      <c r="D57" s="38" t="s">
        <v>141</v>
      </c>
      <c r="E57" s="38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5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7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8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9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7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08" customWidth="1"/>
    <col min="36" max="36" width="10.75" style="105" customWidth="1"/>
    <col min="37" max="37" width="10.75" style="110" customWidth="1"/>
    <col min="38" max="38" width="10.75" style="105" customWidth="1"/>
    <col min="39" max="39" width="10.75" style="114" customWidth="1"/>
    <col min="40" max="40" width="10.75" style="105" customWidth="1"/>
    <col min="41" max="41" width="10.75" style="111" customWidth="1"/>
    <col min="42" max="16384" width="9" style="91"/>
  </cols>
  <sheetData>
    <row r="1" spans="1:41" x14ac:dyDescent="0.4">
      <c r="A1" s="90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247</v>
      </c>
      <c r="K1" s="160"/>
      <c r="L1" s="159" t="s">
        <v>196</v>
      </c>
      <c r="M1" s="160"/>
      <c r="N1" s="159" t="s">
        <v>197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156</v>
      </c>
      <c r="W1" s="160"/>
      <c r="X1" s="159" t="s">
        <v>242</v>
      </c>
      <c r="Y1" s="160"/>
      <c r="Z1" s="159" t="s">
        <v>129</v>
      </c>
      <c r="AA1" s="160"/>
      <c r="AB1" s="159" t="s">
        <v>124</v>
      </c>
      <c r="AC1" s="160"/>
      <c r="AD1" s="159" t="s">
        <v>132</v>
      </c>
      <c r="AE1" s="160"/>
      <c r="AF1" s="159" t="s">
        <v>198</v>
      </c>
      <c r="AG1" s="160"/>
      <c r="AH1" s="159" t="s">
        <v>161</v>
      </c>
      <c r="AI1" s="160"/>
      <c r="AJ1" s="159" t="s">
        <v>199</v>
      </c>
      <c r="AK1" s="160"/>
      <c r="AL1" s="159" t="s">
        <v>201</v>
      </c>
      <c r="AM1" s="160"/>
      <c r="AN1" s="159" t="s">
        <v>248</v>
      </c>
      <c r="AO1" s="160"/>
    </row>
    <row r="2" spans="1:41" x14ac:dyDescent="0.4">
      <c r="A2" s="90" t="s">
        <v>246</v>
      </c>
      <c r="B2" s="157"/>
      <c r="C2" s="158"/>
      <c r="D2" s="157"/>
      <c r="E2" s="158"/>
      <c r="F2" s="155">
        <v>0.98976544981674819</v>
      </c>
      <c r="G2" s="156"/>
      <c r="H2" s="155">
        <v>0.96550891627683821</v>
      </c>
      <c r="I2" s="156"/>
      <c r="J2" s="155">
        <v>0.96141900442655892</v>
      </c>
      <c r="K2" s="156"/>
      <c r="L2" s="155">
        <v>0.89546762652647971</v>
      </c>
      <c r="M2" s="156"/>
      <c r="N2" s="155">
        <v>0.74755695630038654</v>
      </c>
      <c r="O2" s="156"/>
      <c r="P2" s="155">
        <v>0.34167215812420082</v>
      </c>
      <c r="Q2" s="156"/>
      <c r="R2" s="155">
        <v>-1.1706091574986612E-3</v>
      </c>
      <c r="S2" s="156"/>
      <c r="T2" s="155">
        <v>0.89428598364288514</v>
      </c>
      <c r="U2" s="156"/>
      <c r="V2" s="155">
        <v>0.93376220865106496</v>
      </c>
      <c r="W2" s="156"/>
      <c r="X2" s="155">
        <v>0.56893441794577881</v>
      </c>
      <c r="Y2" s="156"/>
      <c r="Z2" s="155">
        <v>0.54538808445022902</v>
      </c>
      <c r="AA2" s="156"/>
      <c r="AB2" s="155">
        <v>-0.33285569657854736</v>
      </c>
      <c r="AC2" s="156"/>
      <c r="AD2" s="155">
        <v>0.74278909511134938</v>
      </c>
      <c r="AE2" s="156"/>
      <c r="AF2" s="155">
        <v>0.16552759034042772</v>
      </c>
      <c r="AG2" s="156"/>
      <c r="AH2" s="155">
        <v>0.31737570231924961</v>
      </c>
      <c r="AI2" s="156"/>
      <c r="AJ2" s="155">
        <v>0.6626969563771109</v>
      </c>
      <c r="AK2" s="156"/>
      <c r="AL2" s="155">
        <v>0.64718081590716536</v>
      </c>
      <c r="AM2" s="156"/>
      <c r="AN2" s="155">
        <v>-0.12584979150051614</v>
      </c>
      <c r="AO2" s="156"/>
    </row>
    <row r="3" spans="1:41" x14ac:dyDescent="0.4">
      <c r="A3" s="92">
        <v>1</v>
      </c>
      <c r="B3" s="93" t="s">
        <v>133</v>
      </c>
      <c r="C3" s="94">
        <v>1249.4000000000001</v>
      </c>
      <c r="D3" s="95" t="s">
        <v>195</v>
      </c>
      <c r="E3" s="120">
        <v>7.833333333333333</v>
      </c>
      <c r="F3" s="95" t="s">
        <v>133</v>
      </c>
      <c r="G3" s="96">
        <v>1.7980295566502462</v>
      </c>
      <c r="H3" s="95" t="s">
        <v>195</v>
      </c>
      <c r="I3" s="97">
        <v>0.5</v>
      </c>
      <c r="J3" s="95" t="s">
        <v>133</v>
      </c>
      <c r="K3" s="97">
        <v>0.22167487684729065</v>
      </c>
      <c r="L3" s="95" t="s">
        <v>195</v>
      </c>
      <c r="M3" s="98">
        <v>0.38</v>
      </c>
      <c r="N3" s="95" t="s">
        <v>195</v>
      </c>
      <c r="O3" s="98">
        <v>0.08</v>
      </c>
      <c r="P3" s="95" t="s">
        <v>138</v>
      </c>
      <c r="Q3" s="99">
        <v>11218.333333333334</v>
      </c>
      <c r="R3" s="95" t="s">
        <v>167</v>
      </c>
      <c r="S3" s="99">
        <v>-8240</v>
      </c>
      <c r="T3" s="95" t="s">
        <v>168</v>
      </c>
      <c r="U3" s="97">
        <v>0</v>
      </c>
      <c r="V3" s="95" t="s">
        <v>133</v>
      </c>
      <c r="W3" s="97">
        <v>0.2019704433497537</v>
      </c>
      <c r="X3" s="95" t="s">
        <v>172</v>
      </c>
      <c r="Y3" s="97">
        <v>0.2</v>
      </c>
      <c r="Z3" s="95" t="s">
        <v>168</v>
      </c>
      <c r="AA3" s="98">
        <v>0.45454545454545453</v>
      </c>
      <c r="AB3" s="95" t="s">
        <v>158</v>
      </c>
      <c r="AC3" s="98">
        <v>0.38775510204081631</v>
      </c>
      <c r="AD3" s="95" t="s">
        <v>172</v>
      </c>
      <c r="AE3" s="98">
        <v>0.75</v>
      </c>
      <c r="AF3" s="95" t="s">
        <v>195</v>
      </c>
      <c r="AG3" s="98">
        <v>0.5</v>
      </c>
      <c r="AH3" s="95" t="s">
        <v>167</v>
      </c>
      <c r="AI3" s="98">
        <v>1</v>
      </c>
      <c r="AJ3" s="95" t="s">
        <v>133</v>
      </c>
      <c r="AK3" s="100">
        <v>10</v>
      </c>
      <c r="AL3" s="95" t="s">
        <v>139</v>
      </c>
      <c r="AM3" s="113">
        <v>124700</v>
      </c>
      <c r="AN3" s="95" t="s">
        <v>162</v>
      </c>
      <c r="AO3" s="101">
        <v>19</v>
      </c>
    </row>
    <row r="4" spans="1:41" x14ac:dyDescent="0.4">
      <c r="A4" s="102">
        <v>2</v>
      </c>
      <c r="B4" s="103" t="s">
        <v>135</v>
      </c>
      <c r="C4" s="104">
        <v>257.3</v>
      </c>
      <c r="D4" s="105" t="s">
        <v>133</v>
      </c>
      <c r="E4" s="121">
        <v>6.1546798029556653</v>
      </c>
      <c r="F4" s="105" t="s">
        <v>195</v>
      </c>
      <c r="G4" s="106">
        <v>1.8333333333333333</v>
      </c>
      <c r="H4" s="105" t="s">
        <v>133</v>
      </c>
      <c r="I4" s="107">
        <v>0.42364532019704432</v>
      </c>
      <c r="J4" s="105" t="s">
        <v>135</v>
      </c>
      <c r="K4" s="107">
        <v>0.22807017543859648</v>
      </c>
      <c r="L4" s="105" t="s">
        <v>133</v>
      </c>
      <c r="M4" s="108">
        <v>0.35209424083769636</v>
      </c>
      <c r="N4" s="105" t="s">
        <v>168</v>
      </c>
      <c r="O4" s="108">
        <v>0.125</v>
      </c>
      <c r="P4" s="105" t="s">
        <v>134</v>
      </c>
      <c r="Q4" s="109">
        <v>11142.259414225942</v>
      </c>
      <c r="R4" s="105" t="s">
        <v>158</v>
      </c>
      <c r="S4" s="109">
        <v>-8441.176470588236</v>
      </c>
      <c r="T4" s="105" t="s">
        <v>133</v>
      </c>
      <c r="U4" s="107">
        <v>0.10344827586206896</v>
      </c>
      <c r="V4" s="105" t="s">
        <v>172</v>
      </c>
      <c r="W4" s="107">
        <v>0.2</v>
      </c>
      <c r="X4" s="105" t="s">
        <v>137</v>
      </c>
      <c r="Y4" s="107">
        <v>0.11578947368421053</v>
      </c>
      <c r="Z4" s="105" t="s">
        <v>195</v>
      </c>
      <c r="AA4" s="108">
        <v>0.42</v>
      </c>
      <c r="AB4" s="105" t="s">
        <v>135</v>
      </c>
      <c r="AC4" s="108">
        <v>0.31976744186046513</v>
      </c>
      <c r="AD4" s="105" t="s">
        <v>133</v>
      </c>
      <c r="AE4" s="108">
        <v>0.65644171779141103</v>
      </c>
      <c r="AF4" s="105" t="s">
        <v>133</v>
      </c>
      <c r="AG4" s="108">
        <v>0.47272727272727272</v>
      </c>
      <c r="AH4" s="105" t="s">
        <v>135</v>
      </c>
      <c r="AI4" s="108">
        <v>0.46527777777777779</v>
      </c>
      <c r="AJ4" s="105" t="s">
        <v>134</v>
      </c>
      <c r="AK4" s="110">
        <v>10</v>
      </c>
      <c r="AL4" s="105" t="s">
        <v>162</v>
      </c>
      <c r="AM4" s="114">
        <v>124700</v>
      </c>
      <c r="AN4" s="105" t="s">
        <v>139</v>
      </c>
      <c r="AO4" s="111">
        <v>7</v>
      </c>
    </row>
    <row r="5" spans="1:41" x14ac:dyDescent="0.4">
      <c r="A5" s="102">
        <v>3</v>
      </c>
      <c r="B5" s="103" t="s">
        <v>137</v>
      </c>
      <c r="C5" s="104">
        <v>222.49999999999989</v>
      </c>
      <c r="D5" s="105" t="s">
        <v>135</v>
      </c>
      <c r="E5" s="121">
        <v>4.5140350877192983</v>
      </c>
      <c r="F5" s="105" t="s">
        <v>135</v>
      </c>
      <c r="G5" s="106">
        <v>1.8771929824561404</v>
      </c>
      <c r="H5" s="105" t="s">
        <v>137</v>
      </c>
      <c r="I5" s="107">
        <v>0.38947368421052631</v>
      </c>
      <c r="J5" s="105" t="s">
        <v>137</v>
      </c>
      <c r="K5" s="107">
        <v>0.31578947368421051</v>
      </c>
      <c r="L5" s="105" t="s">
        <v>135</v>
      </c>
      <c r="M5" s="108">
        <v>0.35121951219512193</v>
      </c>
      <c r="N5" s="105" t="s">
        <v>133</v>
      </c>
      <c r="O5" s="108">
        <v>0.14332460732984292</v>
      </c>
      <c r="P5" s="105" t="s">
        <v>139</v>
      </c>
      <c r="Q5" s="109">
        <v>10867.741935483871</v>
      </c>
      <c r="R5" s="105" t="s">
        <v>138</v>
      </c>
      <c r="S5" s="109">
        <v>-8805.7142857142862</v>
      </c>
      <c r="T5" s="105" t="s">
        <v>137</v>
      </c>
      <c r="U5" s="107">
        <v>0.11578947368421053</v>
      </c>
      <c r="V5" s="105" t="s">
        <v>137</v>
      </c>
      <c r="W5" s="107">
        <v>0.17894736842105263</v>
      </c>
      <c r="X5" s="105" t="s">
        <v>139</v>
      </c>
      <c r="Y5" s="107">
        <v>0.10309278350515463</v>
      </c>
      <c r="Z5" s="105" t="s">
        <v>137</v>
      </c>
      <c r="AA5" s="108">
        <v>0.31764705882352939</v>
      </c>
      <c r="AB5" s="105" t="s">
        <v>136</v>
      </c>
      <c r="AC5" s="108">
        <v>0.26459143968871596</v>
      </c>
      <c r="AD5" s="105" t="s">
        <v>195</v>
      </c>
      <c r="AE5" s="108">
        <v>0.61904761904761907</v>
      </c>
      <c r="AF5" s="105" t="s">
        <v>137</v>
      </c>
      <c r="AG5" s="108">
        <v>0.39393939393939392</v>
      </c>
      <c r="AH5" s="105" t="s">
        <v>139</v>
      </c>
      <c r="AI5" s="108">
        <v>0.46082949308755761</v>
      </c>
      <c r="AJ5" s="105" t="s">
        <v>162</v>
      </c>
      <c r="AK5" s="110">
        <v>10</v>
      </c>
      <c r="AL5" s="105" t="s">
        <v>133</v>
      </c>
      <c r="AM5" s="114">
        <v>120200</v>
      </c>
      <c r="AN5" s="105" t="s">
        <v>134</v>
      </c>
      <c r="AO5" s="111">
        <v>4</v>
      </c>
    </row>
    <row r="6" spans="1:41" x14ac:dyDescent="0.4">
      <c r="A6" s="102">
        <v>4</v>
      </c>
      <c r="B6" s="103" t="s">
        <v>138</v>
      </c>
      <c r="C6" s="104">
        <v>51.10000000000003</v>
      </c>
      <c r="D6" s="105" t="s">
        <v>137</v>
      </c>
      <c r="E6" s="121">
        <v>2.3421052631578934</v>
      </c>
      <c r="F6" s="105" t="s">
        <v>137</v>
      </c>
      <c r="G6" s="106">
        <v>1.9263157894736842</v>
      </c>
      <c r="H6" s="105" t="s">
        <v>135</v>
      </c>
      <c r="I6" s="107">
        <v>0.35087719298245612</v>
      </c>
      <c r="J6" s="105" t="s">
        <v>162</v>
      </c>
      <c r="K6" s="107">
        <v>0.33333333333333331</v>
      </c>
      <c r="L6" s="105" t="s">
        <v>137</v>
      </c>
      <c r="M6" s="108">
        <v>0.30929264909847431</v>
      </c>
      <c r="N6" s="105" t="s">
        <v>135</v>
      </c>
      <c r="O6" s="108">
        <v>0.15609756097560976</v>
      </c>
      <c r="P6" s="105" t="s">
        <v>137</v>
      </c>
      <c r="Q6" s="109">
        <v>10395.067264573991</v>
      </c>
      <c r="R6" s="105" t="s">
        <v>135</v>
      </c>
      <c r="S6" s="109">
        <v>-9007.8125</v>
      </c>
      <c r="T6" s="105" t="s">
        <v>135</v>
      </c>
      <c r="U6" s="107">
        <v>0.12280701754385964</v>
      </c>
      <c r="V6" s="105" t="s">
        <v>135</v>
      </c>
      <c r="W6" s="107">
        <v>0.17543859649122806</v>
      </c>
      <c r="X6" s="105" t="s">
        <v>133</v>
      </c>
      <c r="Y6" s="107">
        <v>9.8522167487684734E-2</v>
      </c>
      <c r="Z6" s="105" t="s">
        <v>138</v>
      </c>
      <c r="AA6" s="108">
        <v>0.30827067669172931</v>
      </c>
      <c r="AB6" s="105" t="s">
        <v>138</v>
      </c>
      <c r="AC6" s="108">
        <v>0.24060150375939848</v>
      </c>
      <c r="AD6" s="105" t="s">
        <v>135</v>
      </c>
      <c r="AE6" s="108">
        <v>0.61538461538461542</v>
      </c>
      <c r="AF6" s="105" t="s">
        <v>162</v>
      </c>
      <c r="AG6" s="108">
        <v>0.38992974238875877</v>
      </c>
      <c r="AH6" s="105" t="s">
        <v>137</v>
      </c>
      <c r="AI6" s="108">
        <v>0.45739910313901344</v>
      </c>
      <c r="AJ6" s="105" t="s">
        <v>137</v>
      </c>
      <c r="AK6" s="110">
        <v>9</v>
      </c>
      <c r="AL6" s="105" t="s">
        <v>135</v>
      </c>
      <c r="AM6" s="114">
        <v>118000</v>
      </c>
      <c r="AN6" s="105" t="s">
        <v>137</v>
      </c>
      <c r="AO6" s="111">
        <v>3</v>
      </c>
    </row>
    <row r="7" spans="1:41" x14ac:dyDescent="0.4">
      <c r="A7" s="102">
        <v>5</v>
      </c>
      <c r="B7" s="103" t="s">
        <v>195</v>
      </c>
      <c r="C7" s="104">
        <v>47</v>
      </c>
      <c r="D7" s="105" t="s">
        <v>138</v>
      </c>
      <c r="E7" s="121">
        <v>1.9653846153846166</v>
      </c>
      <c r="F7" s="105" t="s">
        <v>138</v>
      </c>
      <c r="G7" s="106">
        <v>2</v>
      </c>
      <c r="H7" s="105" t="s">
        <v>138</v>
      </c>
      <c r="I7" s="107">
        <v>0.34615384615384615</v>
      </c>
      <c r="J7" s="105" t="s">
        <v>168</v>
      </c>
      <c r="K7" s="107">
        <v>0.33333333333333331</v>
      </c>
      <c r="L7" s="105" t="s">
        <v>162</v>
      </c>
      <c r="M7" s="108">
        <v>0.30285929270127915</v>
      </c>
      <c r="N7" s="105" t="s">
        <v>137</v>
      </c>
      <c r="O7" s="108">
        <v>0.16088765603328711</v>
      </c>
      <c r="P7" s="105" t="s">
        <v>162</v>
      </c>
      <c r="Q7" s="109">
        <v>10237.329192546584</v>
      </c>
      <c r="R7" s="105" t="s">
        <v>137</v>
      </c>
      <c r="S7" s="109">
        <v>-9154.310344827587</v>
      </c>
      <c r="T7" s="105" t="s">
        <v>162</v>
      </c>
      <c r="U7" s="107">
        <v>0.16091954022988506</v>
      </c>
      <c r="V7" s="105" t="s">
        <v>195</v>
      </c>
      <c r="W7" s="107">
        <v>0.16666666666666666</v>
      </c>
      <c r="X7" s="105" t="s">
        <v>162</v>
      </c>
      <c r="Y7" s="107">
        <v>8.4770114942528729E-2</v>
      </c>
      <c r="Z7" s="105" t="s">
        <v>133</v>
      </c>
      <c r="AA7" s="108">
        <v>0.30410447761194032</v>
      </c>
      <c r="AB7" s="105" t="s">
        <v>137</v>
      </c>
      <c r="AC7" s="108">
        <v>0.22184873949579831</v>
      </c>
      <c r="AD7" s="105" t="s">
        <v>139</v>
      </c>
      <c r="AE7" s="108">
        <v>0.59174311926605505</v>
      </c>
      <c r="AF7" s="105" t="s">
        <v>135</v>
      </c>
      <c r="AG7" s="108">
        <v>0.38181818181818183</v>
      </c>
      <c r="AH7" s="105" t="s">
        <v>136</v>
      </c>
      <c r="AI7" s="108">
        <v>0.45535714285714285</v>
      </c>
      <c r="AJ7" s="105" t="s">
        <v>135</v>
      </c>
      <c r="AK7" s="110">
        <v>7</v>
      </c>
      <c r="AL7" s="105" t="s">
        <v>137</v>
      </c>
      <c r="AM7" s="114">
        <v>109300</v>
      </c>
      <c r="AN7" s="105" t="s">
        <v>133</v>
      </c>
      <c r="AO7" s="111">
        <v>2</v>
      </c>
    </row>
    <row r="8" spans="1:41" x14ac:dyDescent="0.4">
      <c r="A8" s="102">
        <v>6</v>
      </c>
      <c r="B8" s="103" t="s">
        <v>162</v>
      </c>
      <c r="C8" s="104">
        <v>-4.9999999999999432</v>
      </c>
      <c r="D8" s="105" t="s">
        <v>162</v>
      </c>
      <c r="E8" s="121">
        <v>-7.1839080459769299E-3</v>
      </c>
      <c r="F8" s="105" t="s">
        <v>162</v>
      </c>
      <c r="G8" s="106">
        <v>2</v>
      </c>
      <c r="H8" s="105" t="s">
        <v>162</v>
      </c>
      <c r="I8" s="107">
        <v>0.33333333333333331</v>
      </c>
      <c r="J8" s="105" t="s">
        <v>195</v>
      </c>
      <c r="K8" s="107">
        <v>0.33333333333333331</v>
      </c>
      <c r="L8" s="105" t="s">
        <v>139</v>
      </c>
      <c r="M8" s="108">
        <v>0.28741721854304636</v>
      </c>
      <c r="N8" s="105" t="s">
        <v>138</v>
      </c>
      <c r="O8" s="108">
        <v>0.16279069767441862</v>
      </c>
      <c r="P8" s="105" t="s">
        <v>133</v>
      </c>
      <c r="Q8" s="109">
        <v>9949.2565055762079</v>
      </c>
      <c r="R8" s="105" t="s">
        <v>133</v>
      </c>
      <c r="S8" s="109">
        <v>-9351.5981735159821</v>
      </c>
      <c r="T8" s="105" t="s">
        <v>195</v>
      </c>
      <c r="U8" s="107">
        <v>0.16666666666666666</v>
      </c>
      <c r="V8" s="105" t="s">
        <v>162</v>
      </c>
      <c r="W8" s="107">
        <v>0.16091954022988506</v>
      </c>
      <c r="X8" s="105" t="s">
        <v>138</v>
      </c>
      <c r="Y8" s="107">
        <v>7.6923076923076927E-2</v>
      </c>
      <c r="Z8" s="105" t="s">
        <v>139</v>
      </c>
      <c r="AA8" s="108">
        <v>0.30362116991643456</v>
      </c>
      <c r="AB8" s="105" t="s">
        <v>162</v>
      </c>
      <c r="AC8" s="108">
        <v>0.21897435897435896</v>
      </c>
      <c r="AD8" s="105" t="s">
        <v>162</v>
      </c>
      <c r="AE8" s="108">
        <v>0.58978873239436624</v>
      </c>
      <c r="AF8" s="105" t="s">
        <v>134</v>
      </c>
      <c r="AG8" s="108">
        <v>0.38053097345132741</v>
      </c>
      <c r="AH8" s="105" t="s">
        <v>138</v>
      </c>
      <c r="AI8" s="108">
        <v>0.45</v>
      </c>
      <c r="AJ8" s="105" t="s">
        <v>138</v>
      </c>
      <c r="AK8" s="110">
        <v>7</v>
      </c>
      <c r="AL8" s="105" t="s">
        <v>138</v>
      </c>
      <c r="AM8" s="114">
        <v>109300</v>
      </c>
      <c r="AN8" s="105" t="s">
        <v>136</v>
      </c>
      <c r="AO8" s="111">
        <v>2</v>
      </c>
    </row>
    <row r="9" spans="1:41" x14ac:dyDescent="0.4">
      <c r="A9" s="102">
        <v>7</v>
      </c>
      <c r="B9" s="103" t="s">
        <v>168</v>
      </c>
      <c r="C9" s="104">
        <v>-26.5</v>
      </c>
      <c r="D9" s="105" t="s">
        <v>134</v>
      </c>
      <c r="E9" s="121">
        <v>-3.3176470588235287</v>
      </c>
      <c r="F9" s="105" t="s">
        <v>134</v>
      </c>
      <c r="G9" s="106">
        <v>2.0840336134453783</v>
      </c>
      <c r="H9" s="105" t="s">
        <v>134</v>
      </c>
      <c r="I9" s="107">
        <v>0.30252100840336132</v>
      </c>
      <c r="J9" s="105" t="s">
        <v>138</v>
      </c>
      <c r="K9" s="107">
        <v>0.34615384615384615</v>
      </c>
      <c r="L9" s="105" t="s">
        <v>138</v>
      </c>
      <c r="M9" s="108">
        <v>0.27906976744186046</v>
      </c>
      <c r="N9" s="105" t="s">
        <v>162</v>
      </c>
      <c r="O9" s="108">
        <v>0.17231000752445447</v>
      </c>
      <c r="P9" s="105" t="s">
        <v>135</v>
      </c>
      <c r="Q9" s="109">
        <v>9825.6944444444453</v>
      </c>
      <c r="R9" s="105" t="s">
        <v>162</v>
      </c>
      <c r="S9" s="109">
        <v>-9389.3013100436674</v>
      </c>
      <c r="T9" s="105" t="s">
        <v>138</v>
      </c>
      <c r="U9" s="107">
        <v>0.19230769230769232</v>
      </c>
      <c r="V9" s="105" t="s">
        <v>138</v>
      </c>
      <c r="W9" s="107">
        <v>0.15384615384615385</v>
      </c>
      <c r="X9" s="105" t="s">
        <v>134</v>
      </c>
      <c r="Y9" s="107">
        <v>7.5630252100840331E-2</v>
      </c>
      <c r="Z9" s="105" t="s">
        <v>134</v>
      </c>
      <c r="AA9" s="108">
        <v>0.29624060150375942</v>
      </c>
      <c r="AB9" s="105" t="s">
        <v>133</v>
      </c>
      <c r="AC9" s="108">
        <v>0.20522388059701493</v>
      </c>
      <c r="AD9" s="105" t="s">
        <v>137</v>
      </c>
      <c r="AE9" s="108">
        <v>0.57671957671957674</v>
      </c>
      <c r="AF9" s="105" t="s">
        <v>139</v>
      </c>
      <c r="AG9" s="108">
        <v>0.37414965986394561</v>
      </c>
      <c r="AH9" s="105" t="s">
        <v>134</v>
      </c>
      <c r="AI9" s="108">
        <v>0.42677824267782427</v>
      </c>
      <c r="AJ9" s="105" t="s">
        <v>139</v>
      </c>
      <c r="AK9" s="110">
        <v>7</v>
      </c>
      <c r="AL9" s="105" t="s">
        <v>136</v>
      </c>
      <c r="AM9" s="114">
        <v>103200</v>
      </c>
      <c r="AN9" s="105" t="s">
        <v>135</v>
      </c>
      <c r="AO9" s="111">
        <v>1</v>
      </c>
    </row>
    <row r="10" spans="1:41" x14ac:dyDescent="0.4">
      <c r="A10" s="102">
        <v>8</v>
      </c>
      <c r="B10" s="103" t="s">
        <v>172</v>
      </c>
      <c r="C10" s="104">
        <v>-86.4</v>
      </c>
      <c r="D10" s="105" t="s">
        <v>139</v>
      </c>
      <c r="E10" s="121">
        <v>-4.6381443298969067</v>
      </c>
      <c r="F10" s="105" t="s">
        <v>139</v>
      </c>
      <c r="G10" s="106">
        <v>2.1752577319587627</v>
      </c>
      <c r="H10" s="105" t="s">
        <v>139</v>
      </c>
      <c r="I10" s="107">
        <v>0.25773195876288657</v>
      </c>
      <c r="J10" s="105" t="s">
        <v>134</v>
      </c>
      <c r="K10" s="107">
        <v>0.38655462184873951</v>
      </c>
      <c r="L10" s="105" t="s">
        <v>172</v>
      </c>
      <c r="M10" s="108">
        <v>0.27027027027027029</v>
      </c>
      <c r="N10" s="105" t="s">
        <v>158</v>
      </c>
      <c r="O10" s="108">
        <v>0.17346938775510204</v>
      </c>
      <c r="P10" s="105" t="s">
        <v>158</v>
      </c>
      <c r="Q10" s="109">
        <v>9343.181818181818</v>
      </c>
      <c r="R10" s="105" t="s">
        <v>136</v>
      </c>
      <c r="S10" s="109">
        <v>-9515.1162790697672</v>
      </c>
      <c r="T10" s="105" t="s">
        <v>134</v>
      </c>
      <c r="U10" s="107">
        <v>0.19327731092436976</v>
      </c>
      <c r="V10" s="105" t="s">
        <v>134</v>
      </c>
      <c r="W10" s="107">
        <v>0.13445378151260504</v>
      </c>
      <c r="X10" s="105" t="s">
        <v>136</v>
      </c>
      <c r="Y10" s="107">
        <v>5.3571428571428568E-2</v>
      </c>
      <c r="Z10" s="105" t="s">
        <v>162</v>
      </c>
      <c r="AA10" s="108">
        <v>0.29128205128205126</v>
      </c>
      <c r="AB10" s="105" t="s">
        <v>139</v>
      </c>
      <c r="AC10" s="108">
        <v>0.20473537604456823</v>
      </c>
      <c r="AD10" s="105" t="s">
        <v>134</v>
      </c>
      <c r="AE10" s="108">
        <v>0.57360406091370564</v>
      </c>
      <c r="AF10" s="105" t="s">
        <v>136</v>
      </c>
      <c r="AG10" s="108">
        <v>0.36764705882352944</v>
      </c>
      <c r="AH10" s="105" t="s">
        <v>162</v>
      </c>
      <c r="AI10" s="108">
        <v>0.41925465838509318</v>
      </c>
      <c r="AJ10" s="105" t="s">
        <v>136</v>
      </c>
      <c r="AK10" s="110">
        <v>5</v>
      </c>
      <c r="AL10" s="105" t="s">
        <v>134</v>
      </c>
      <c r="AM10" s="114">
        <v>97700</v>
      </c>
      <c r="AN10" s="105" t="s">
        <v>138</v>
      </c>
      <c r="AO10" s="111">
        <v>0</v>
      </c>
    </row>
    <row r="11" spans="1:41" x14ac:dyDescent="0.4">
      <c r="A11" s="102">
        <v>9</v>
      </c>
      <c r="B11" s="103" t="s">
        <v>167</v>
      </c>
      <c r="C11" s="104">
        <v>-132.1</v>
      </c>
      <c r="D11" s="105" t="s">
        <v>168</v>
      </c>
      <c r="E11" s="121">
        <v>-8.8333333333333339</v>
      </c>
      <c r="F11" s="105" t="s">
        <v>172</v>
      </c>
      <c r="G11" s="106">
        <v>2.2000000000000002</v>
      </c>
      <c r="H11" s="105" t="s">
        <v>158</v>
      </c>
      <c r="I11" s="107">
        <v>0.2</v>
      </c>
      <c r="J11" s="105" t="s">
        <v>172</v>
      </c>
      <c r="K11" s="107">
        <v>0.4</v>
      </c>
      <c r="L11" s="105" t="s">
        <v>134</v>
      </c>
      <c r="M11" s="108">
        <v>0.25809935205183587</v>
      </c>
      <c r="N11" s="105" t="s">
        <v>134</v>
      </c>
      <c r="O11" s="108">
        <v>0.19006479481641469</v>
      </c>
      <c r="P11" s="105" t="s">
        <v>195</v>
      </c>
      <c r="Q11" s="109">
        <v>9163.1578947368416</v>
      </c>
      <c r="R11" s="105" t="s">
        <v>134</v>
      </c>
      <c r="S11" s="109">
        <v>-9556.25</v>
      </c>
      <c r="T11" s="105" t="s">
        <v>136</v>
      </c>
      <c r="U11" s="107">
        <v>0.21428571428571427</v>
      </c>
      <c r="V11" s="105" t="s">
        <v>139</v>
      </c>
      <c r="W11" s="107">
        <v>0.13402061855670103</v>
      </c>
      <c r="X11" s="105" t="s">
        <v>135</v>
      </c>
      <c r="Y11" s="107">
        <v>5.2631578947368418E-2</v>
      </c>
      <c r="Z11" s="105" t="s">
        <v>172</v>
      </c>
      <c r="AA11" s="108">
        <v>0.25806451612903225</v>
      </c>
      <c r="AB11" s="105" t="s">
        <v>134</v>
      </c>
      <c r="AC11" s="108">
        <v>0.1699248120300752</v>
      </c>
      <c r="AD11" s="105" t="s">
        <v>138</v>
      </c>
      <c r="AE11" s="108">
        <v>0.48780487804878048</v>
      </c>
      <c r="AF11" s="105" t="s">
        <v>158</v>
      </c>
      <c r="AG11" s="108">
        <v>0.31578947368421051</v>
      </c>
      <c r="AH11" s="105" t="s">
        <v>133</v>
      </c>
      <c r="AI11" s="108">
        <v>0.37732342007434944</v>
      </c>
      <c r="AJ11" s="105" t="s">
        <v>158</v>
      </c>
      <c r="AK11" s="110">
        <v>5</v>
      </c>
      <c r="AL11" s="105" t="s">
        <v>195</v>
      </c>
      <c r="AM11" s="114">
        <v>78000</v>
      </c>
      <c r="AN11" s="105" t="s">
        <v>158</v>
      </c>
      <c r="AO11" s="111">
        <v>0</v>
      </c>
    </row>
    <row r="12" spans="1:41" x14ac:dyDescent="0.4">
      <c r="A12" s="102">
        <v>10</v>
      </c>
      <c r="B12" s="103" t="s">
        <v>158</v>
      </c>
      <c r="C12" s="104">
        <v>-240.00000000000003</v>
      </c>
      <c r="D12" s="105" t="s">
        <v>136</v>
      </c>
      <c r="E12" s="121">
        <v>-8.9749999999999979</v>
      </c>
      <c r="F12" s="105" t="s">
        <v>136</v>
      </c>
      <c r="G12" s="106">
        <v>2.2678571428571428</v>
      </c>
      <c r="H12" s="105" t="s">
        <v>172</v>
      </c>
      <c r="I12" s="107">
        <v>0.2</v>
      </c>
      <c r="J12" s="105" t="s">
        <v>139</v>
      </c>
      <c r="K12" s="107">
        <v>0.4329896907216495</v>
      </c>
      <c r="L12" s="105" t="s">
        <v>136</v>
      </c>
      <c r="M12" s="108">
        <v>0.25629290617848971</v>
      </c>
      <c r="N12" s="105" t="s">
        <v>136</v>
      </c>
      <c r="O12" s="108">
        <v>0.19679633867276888</v>
      </c>
      <c r="P12" s="105" t="s">
        <v>136</v>
      </c>
      <c r="Q12" s="109">
        <v>9053.5714285714294</v>
      </c>
      <c r="R12" s="105" t="s">
        <v>139</v>
      </c>
      <c r="S12" s="109">
        <v>-9706.1728395061727</v>
      </c>
      <c r="T12" s="105" t="s">
        <v>139</v>
      </c>
      <c r="U12" s="107">
        <v>0.22680412371134021</v>
      </c>
      <c r="V12" s="105" t="s">
        <v>136</v>
      </c>
      <c r="W12" s="107">
        <v>0.125</v>
      </c>
      <c r="X12" s="105" t="s">
        <v>158</v>
      </c>
      <c r="Y12" s="107">
        <v>0</v>
      </c>
      <c r="Z12" s="105" t="s">
        <v>136</v>
      </c>
      <c r="AA12" s="108">
        <v>0.24124513618677043</v>
      </c>
      <c r="AB12" s="105" t="s">
        <v>172</v>
      </c>
      <c r="AC12" s="108">
        <v>0.16129032258064516</v>
      </c>
      <c r="AD12" s="105" t="s">
        <v>158</v>
      </c>
      <c r="AE12" s="108">
        <v>0.46666666666666667</v>
      </c>
      <c r="AF12" s="105" t="s">
        <v>172</v>
      </c>
      <c r="AG12" s="108">
        <v>0.2</v>
      </c>
      <c r="AH12" s="105" t="s">
        <v>195</v>
      </c>
      <c r="AI12" s="108">
        <v>0.31578947368421051</v>
      </c>
      <c r="AJ12" s="105" t="s">
        <v>195</v>
      </c>
      <c r="AK12" s="110">
        <v>5</v>
      </c>
      <c r="AL12" s="105" t="s">
        <v>158</v>
      </c>
      <c r="AM12" s="114">
        <v>67700</v>
      </c>
      <c r="AN12" s="105" t="s">
        <v>167</v>
      </c>
      <c r="AO12" s="111">
        <v>0</v>
      </c>
    </row>
    <row r="13" spans="1:41" x14ac:dyDescent="0.4">
      <c r="A13" s="102">
        <v>11</v>
      </c>
      <c r="B13" s="103" t="s">
        <v>134</v>
      </c>
      <c r="C13" s="104">
        <v>-394.7999999999999</v>
      </c>
      <c r="D13" s="105" t="s">
        <v>158</v>
      </c>
      <c r="E13" s="121">
        <v>-9.6000000000000014</v>
      </c>
      <c r="F13" s="105" t="s">
        <v>158</v>
      </c>
      <c r="G13" s="106">
        <v>2.3199999999999998</v>
      </c>
      <c r="H13" s="105" t="s">
        <v>136</v>
      </c>
      <c r="I13" s="107">
        <v>0.17857142857142858</v>
      </c>
      <c r="J13" s="105" t="s">
        <v>136</v>
      </c>
      <c r="K13" s="107">
        <v>0.44642857142857145</v>
      </c>
      <c r="L13" s="105" t="s">
        <v>158</v>
      </c>
      <c r="M13" s="108">
        <v>0.22448979591836735</v>
      </c>
      <c r="N13" s="105" t="s">
        <v>139</v>
      </c>
      <c r="O13" s="108">
        <v>0.21456953642384105</v>
      </c>
      <c r="P13" s="105" t="s">
        <v>168</v>
      </c>
      <c r="Q13" s="109">
        <v>8000</v>
      </c>
      <c r="R13" s="105" t="s">
        <v>195</v>
      </c>
      <c r="S13" s="109">
        <v>-10025</v>
      </c>
      <c r="T13" s="105" t="s">
        <v>158</v>
      </c>
      <c r="U13" s="107">
        <v>0.24</v>
      </c>
      <c r="V13" s="105" t="s">
        <v>158</v>
      </c>
      <c r="W13" s="107">
        <v>0.08</v>
      </c>
      <c r="X13" s="105" t="s">
        <v>167</v>
      </c>
      <c r="Y13" s="107">
        <v>0</v>
      </c>
      <c r="Z13" s="105" t="s">
        <v>135</v>
      </c>
      <c r="AA13" s="108">
        <v>0.22674418604651161</v>
      </c>
      <c r="AB13" s="105" t="s">
        <v>195</v>
      </c>
      <c r="AC13" s="108">
        <v>0.12</v>
      </c>
      <c r="AD13" s="105" t="s">
        <v>136</v>
      </c>
      <c r="AE13" s="108">
        <v>0.43548387096774194</v>
      </c>
      <c r="AF13" s="105" t="s">
        <v>138</v>
      </c>
      <c r="AG13" s="108">
        <v>0.15625</v>
      </c>
      <c r="AH13" s="105" t="s">
        <v>172</v>
      </c>
      <c r="AI13" s="108">
        <v>0.3</v>
      </c>
      <c r="AJ13" s="105" t="s">
        <v>172</v>
      </c>
      <c r="AK13" s="110">
        <v>3</v>
      </c>
      <c r="AL13" s="105" t="s">
        <v>172</v>
      </c>
      <c r="AM13" s="114">
        <v>57800</v>
      </c>
      <c r="AN13" s="105" t="s">
        <v>168</v>
      </c>
      <c r="AO13" s="111">
        <v>0</v>
      </c>
    </row>
    <row r="14" spans="1:41" x14ac:dyDescent="0.4">
      <c r="A14" s="102">
        <v>12</v>
      </c>
      <c r="B14" s="103" t="s">
        <v>139</v>
      </c>
      <c r="C14" s="104">
        <v>-449.89999999999992</v>
      </c>
      <c r="D14" s="105" t="s">
        <v>172</v>
      </c>
      <c r="E14" s="121">
        <v>-17.28</v>
      </c>
      <c r="F14" s="105" t="s">
        <v>168</v>
      </c>
      <c r="G14" s="106">
        <v>2.3333333333333335</v>
      </c>
      <c r="H14" s="105" t="s">
        <v>167</v>
      </c>
      <c r="I14" s="107">
        <v>0</v>
      </c>
      <c r="J14" s="105" t="s">
        <v>158</v>
      </c>
      <c r="K14" s="107">
        <v>0.52</v>
      </c>
      <c r="L14" s="105" t="s">
        <v>168</v>
      </c>
      <c r="M14" s="108">
        <v>0.1875</v>
      </c>
      <c r="N14" s="105" t="s">
        <v>172</v>
      </c>
      <c r="O14" s="108">
        <v>0.21621621621621623</v>
      </c>
      <c r="P14" s="105" t="s">
        <v>167</v>
      </c>
      <c r="Q14" s="109">
        <v>7800</v>
      </c>
      <c r="R14" s="105" t="s">
        <v>168</v>
      </c>
      <c r="S14" s="109">
        <v>-12000</v>
      </c>
      <c r="T14" s="105" t="s">
        <v>172</v>
      </c>
      <c r="U14" s="107">
        <v>0.4</v>
      </c>
      <c r="V14" s="105" t="s">
        <v>167</v>
      </c>
      <c r="W14" s="107">
        <v>0</v>
      </c>
      <c r="X14" s="105" t="s">
        <v>168</v>
      </c>
      <c r="Y14" s="107">
        <v>0</v>
      </c>
      <c r="Z14" s="105" t="s">
        <v>158</v>
      </c>
      <c r="AA14" s="108">
        <v>0.15306122448979592</v>
      </c>
      <c r="AB14" s="105" t="s">
        <v>167</v>
      </c>
      <c r="AC14" s="108">
        <v>0</v>
      </c>
      <c r="AD14" s="105" t="s">
        <v>168</v>
      </c>
      <c r="AE14" s="108">
        <v>0.2</v>
      </c>
      <c r="AF14" s="105" t="s">
        <v>167</v>
      </c>
      <c r="AG14" s="108">
        <v>0</v>
      </c>
      <c r="AH14" s="105" t="s">
        <v>158</v>
      </c>
      <c r="AI14" s="108">
        <v>0.29545454545454547</v>
      </c>
      <c r="AJ14" s="105" t="s">
        <v>168</v>
      </c>
      <c r="AK14" s="110">
        <v>2</v>
      </c>
      <c r="AL14" s="105" t="s">
        <v>168</v>
      </c>
      <c r="AM14" s="114">
        <v>42000</v>
      </c>
      <c r="AN14" s="105" t="s">
        <v>172</v>
      </c>
      <c r="AO14" s="111">
        <v>0</v>
      </c>
    </row>
    <row r="15" spans="1:41" x14ac:dyDescent="0.4">
      <c r="A15" s="102">
        <v>13</v>
      </c>
      <c r="B15" s="103" t="s">
        <v>136</v>
      </c>
      <c r="C15" s="104">
        <v>-502.59999999999991</v>
      </c>
      <c r="D15" s="105" t="s">
        <v>167</v>
      </c>
      <c r="E15" s="121">
        <v>-33.024999999999999</v>
      </c>
      <c r="F15" s="105" t="s">
        <v>167</v>
      </c>
      <c r="G15" s="106">
        <v>3</v>
      </c>
      <c r="H15" s="105" t="s">
        <v>168</v>
      </c>
      <c r="I15" s="107">
        <v>0</v>
      </c>
      <c r="J15" s="105" t="s">
        <v>167</v>
      </c>
      <c r="K15" s="107">
        <v>1</v>
      </c>
      <c r="L15" s="105" t="s">
        <v>167</v>
      </c>
      <c r="M15" s="108">
        <v>0.04</v>
      </c>
      <c r="N15" s="105" t="s">
        <v>167</v>
      </c>
      <c r="O15" s="108">
        <v>0.4</v>
      </c>
      <c r="P15" s="105" t="s">
        <v>172</v>
      </c>
      <c r="Q15" s="109">
        <v>7100</v>
      </c>
      <c r="R15" s="105" t="s">
        <v>172</v>
      </c>
      <c r="S15" s="109">
        <v>-12487.5</v>
      </c>
      <c r="T15" s="105" t="s">
        <v>167</v>
      </c>
      <c r="U15" s="107">
        <v>0.5</v>
      </c>
      <c r="V15" s="105" t="s">
        <v>168</v>
      </c>
      <c r="W15" s="107">
        <v>0</v>
      </c>
      <c r="X15" s="105" t="s">
        <v>195</v>
      </c>
      <c r="Y15" s="107">
        <v>0</v>
      </c>
      <c r="Z15" s="105" t="s">
        <v>167</v>
      </c>
      <c r="AA15" s="108">
        <v>0</v>
      </c>
      <c r="AB15" s="105" t="s">
        <v>168</v>
      </c>
      <c r="AC15" s="108">
        <v>0</v>
      </c>
      <c r="AD15" s="105" t="s">
        <v>167</v>
      </c>
      <c r="AE15" s="108">
        <v>0</v>
      </c>
      <c r="AF15" s="105" t="s">
        <v>168</v>
      </c>
      <c r="AG15" s="108">
        <v>0</v>
      </c>
      <c r="AH15" s="105" t="s">
        <v>168</v>
      </c>
      <c r="AI15" s="108">
        <v>0</v>
      </c>
      <c r="AJ15" s="105" t="s">
        <v>167</v>
      </c>
      <c r="AK15" s="110">
        <v>0</v>
      </c>
      <c r="AL15" s="105" t="s">
        <v>167</v>
      </c>
      <c r="AM15" s="114">
        <v>13000</v>
      </c>
      <c r="AN15" s="105" t="s">
        <v>195</v>
      </c>
      <c r="AO15" s="111">
        <v>0</v>
      </c>
    </row>
  </sheetData>
  <sortState ref="AN3:AO47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9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696</v>
      </c>
      <c r="C2" s="140"/>
      <c r="E2" s="80" t="s">
        <v>71</v>
      </c>
      <c r="F2" s="76" t="s">
        <v>25</v>
      </c>
      <c r="G2" s="63">
        <v>1030</v>
      </c>
      <c r="H2" s="45">
        <f t="shared" ref="H2:H33" si="0">IF(B$27=0,0,G2/B$27)</f>
        <v>0.87585034013605445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-14.619883040935672</v>
      </c>
      <c r="P2" s="59">
        <v>-10000</v>
      </c>
      <c r="Q2" s="57">
        <v>684</v>
      </c>
    </row>
    <row r="3" spans="1:17" x14ac:dyDescent="0.4">
      <c r="A3" s="72" t="s">
        <v>8</v>
      </c>
      <c r="B3" s="141">
        <v>5316</v>
      </c>
      <c r="C3" s="142"/>
      <c r="E3" s="81" t="s">
        <v>69</v>
      </c>
      <c r="F3" s="77" t="s">
        <v>23</v>
      </c>
      <c r="G3" s="64">
        <v>847</v>
      </c>
      <c r="H3" s="47">
        <f t="shared" si="0"/>
        <v>0.72023809523809523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1"/>
        <v>0</v>
      </c>
      <c r="P3" s="60">
        <v>0</v>
      </c>
      <c r="Q3" s="55">
        <v>657</v>
      </c>
    </row>
    <row r="4" spans="1:17" x14ac:dyDescent="0.4">
      <c r="A4" s="72" t="s">
        <v>6</v>
      </c>
      <c r="B4" s="143">
        <v>-4.9999999999999432</v>
      </c>
      <c r="C4" s="144"/>
      <c r="E4" s="81" t="s">
        <v>76</v>
      </c>
      <c r="F4" s="77" t="s">
        <v>29</v>
      </c>
      <c r="G4" s="64">
        <v>669</v>
      </c>
      <c r="H4" s="47">
        <f t="shared" si="0"/>
        <v>0.56887755102040816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1"/>
        <v>6.5359477124183005</v>
      </c>
      <c r="P4" s="60">
        <v>4000</v>
      </c>
      <c r="Q4" s="55">
        <v>612</v>
      </c>
    </row>
    <row r="5" spans="1:17" x14ac:dyDescent="0.4">
      <c r="A5" s="72" t="s">
        <v>7</v>
      </c>
      <c r="B5" s="145">
        <f>IF(B$2=0,0,B$4/B$2)</f>
        <v>-7.1839080459769299E-3</v>
      </c>
      <c r="C5" s="146"/>
      <c r="E5" s="81" t="s">
        <v>67</v>
      </c>
      <c r="F5" s="77" t="s">
        <v>21</v>
      </c>
      <c r="G5" s="64">
        <v>659</v>
      </c>
      <c r="H5" s="47">
        <f t="shared" si="0"/>
        <v>0.56037414965986398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1"/>
        <v>0</v>
      </c>
      <c r="P5" s="60">
        <v>0</v>
      </c>
      <c r="Q5" s="55">
        <v>549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70</v>
      </c>
      <c r="F6" s="77" t="s">
        <v>24</v>
      </c>
      <c r="G6" s="64">
        <v>382</v>
      </c>
      <c r="H6" s="47">
        <f t="shared" si="0"/>
        <v>0.32482993197278914</v>
      </c>
      <c r="I6" s="117">
        <v>7</v>
      </c>
      <c r="K6" s="46">
        <v>4</v>
      </c>
      <c r="L6" s="123">
        <v>-1</v>
      </c>
      <c r="N6" s="46" t="s">
        <v>151</v>
      </c>
      <c r="O6" s="127">
        <f t="shared" si="1"/>
        <v>8.4925690021231421</v>
      </c>
      <c r="P6" s="60">
        <v>4000</v>
      </c>
      <c r="Q6" s="55">
        <v>471</v>
      </c>
    </row>
    <row r="7" spans="1:17" x14ac:dyDescent="0.4">
      <c r="A7" s="72" t="s">
        <v>2</v>
      </c>
      <c r="B7" s="64">
        <v>232</v>
      </c>
      <c r="C7" s="47">
        <f>IF(B$2=0,0,B7/B$2)</f>
        <v>0.33333333333333331</v>
      </c>
      <c r="E7" s="81" t="s">
        <v>72</v>
      </c>
      <c r="F7" s="77" t="s">
        <v>12</v>
      </c>
      <c r="G7" s="64">
        <v>366</v>
      </c>
      <c r="H7" s="47">
        <f t="shared" si="0"/>
        <v>0.31122448979591838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1"/>
        <v>-8</v>
      </c>
      <c r="P7" s="61">
        <v>-3000</v>
      </c>
      <c r="Q7" s="56">
        <v>375</v>
      </c>
    </row>
    <row r="8" spans="1:17" x14ac:dyDescent="0.4">
      <c r="A8" s="72" t="s">
        <v>3</v>
      </c>
      <c r="B8" s="64">
        <v>232</v>
      </c>
      <c r="C8" s="47">
        <f>IF(B$2=0,0,B8/B$2)</f>
        <v>0.33333333333333331</v>
      </c>
      <c r="E8" s="81" t="s">
        <v>94</v>
      </c>
      <c r="F8" s="77" t="s">
        <v>47</v>
      </c>
      <c r="G8" s="64">
        <v>178</v>
      </c>
      <c r="H8" s="47">
        <f t="shared" si="0"/>
        <v>0.15136054421768708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232</v>
      </c>
      <c r="C9" s="48">
        <f t="shared" ref="C9" si="2">IF(B$2=0,0,B9/B$2)</f>
        <v>0.33333333333333331</v>
      </c>
      <c r="E9" s="81" t="s">
        <v>73</v>
      </c>
      <c r="F9" s="77" t="s">
        <v>26</v>
      </c>
      <c r="G9" s="64">
        <v>173</v>
      </c>
      <c r="H9" s="47">
        <f t="shared" si="0"/>
        <v>0.14710884353741496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112</v>
      </c>
      <c r="C10" s="48">
        <f>IF(B$2=0,0,B10/B$2)</f>
        <v>0.16091954022988506</v>
      </c>
      <c r="E10" s="81" t="s">
        <v>68</v>
      </c>
      <c r="F10" s="77" t="s">
        <v>22</v>
      </c>
      <c r="G10" s="64">
        <v>140</v>
      </c>
      <c r="H10" s="47">
        <f t="shared" si="0"/>
        <v>0.11904761904761904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 t="shared" ref="O10:O21" si="3"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112</v>
      </c>
      <c r="C11" s="48">
        <f>IF(B$2=0,0,B11/B$2)</f>
        <v>0.16091954022988506</v>
      </c>
      <c r="E11" s="81" t="s">
        <v>74</v>
      </c>
      <c r="F11" s="77" t="s">
        <v>27</v>
      </c>
      <c r="G11" s="64">
        <v>117</v>
      </c>
      <c r="H11" s="47">
        <f t="shared" si="0"/>
        <v>9.9489795918367346E-2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 t="shared" si="3"/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59</v>
      </c>
      <c r="C12" s="51">
        <f>IF(B$2=0,0,B12/B$2)</f>
        <v>8.4770114942528729E-2</v>
      </c>
      <c r="E12" s="81" t="s">
        <v>91</v>
      </c>
      <c r="F12" s="77" t="s">
        <v>44</v>
      </c>
      <c r="G12" s="64">
        <v>78</v>
      </c>
      <c r="H12" s="47">
        <f t="shared" si="0"/>
        <v>6.6326530612244902E-2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 t="shared" si="3"/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1136</v>
      </c>
      <c r="C13" s="54">
        <f>IF(B$26=0,0,B13/B$26)</f>
        <v>0.29128205128205126</v>
      </c>
      <c r="E13" s="81" t="s">
        <v>75</v>
      </c>
      <c r="F13" s="77" t="s">
        <v>28</v>
      </c>
      <c r="G13" s="64">
        <v>55</v>
      </c>
      <c r="H13" s="47">
        <f t="shared" si="0"/>
        <v>4.6768707482993201E-2</v>
      </c>
      <c r="I13" s="117">
        <v>6</v>
      </c>
      <c r="K13" s="46">
        <v>11</v>
      </c>
      <c r="L13" s="123">
        <v>44.5</v>
      </c>
      <c r="N13" s="46" t="s">
        <v>136</v>
      </c>
      <c r="O13" s="125">
        <f t="shared" si="3"/>
        <v>13.462500000000006</v>
      </c>
      <c r="P13" s="131">
        <v>1507.8000000000006</v>
      </c>
      <c r="Q13" s="55">
        <v>112</v>
      </c>
    </row>
    <row r="14" spans="1:17" x14ac:dyDescent="0.4">
      <c r="A14" s="72" t="s">
        <v>123</v>
      </c>
      <c r="B14" s="64">
        <v>854</v>
      </c>
      <c r="C14" s="47">
        <f>IF(B$26=0,0,B14/B$26)</f>
        <v>0.21897435897435896</v>
      </c>
      <c r="E14" s="81" t="s">
        <v>88</v>
      </c>
      <c r="F14" s="77" t="s">
        <v>41</v>
      </c>
      <c r="G14" s="64">
        <v>55</v>
      </c>
      <c r="H14" s="47">
        <f t="shared" si="0"/>
        <v>4.6768707482993201E-2</v>
      </c>
      <c r="I14" s="117">
        <v>4</v>
      </c>
      <c r="K14" s="46">
        <v>12</v>
      </c>
      <c r="L14" s="123">
        <v>0</v>
      </c>
      <c r="N14" s="46" t="s">
        <v>168</v>
      </c>
      <c r="O14" s="125">
        <f t="shared" si="3"/>
        <v>13.25</v>
      </c>
      <c r="P14" s="131">
        <v>79.5</v>
      </c>
      <c r="Q14" s="55">
        <v>6</v>
      </c>
    </row>
    <row r="15" spans="1:17" x14ac:dyDescent="0.4">
      <c r="A15" s="71" t="s">
        <v>130</v>
      </c>
      <c r="B15" s="63">
        <v>670</v>
      </c>
      <c r="C15" s="45">
        <f>IF(B$13=0,0,B15/B$13)</f>
        <v>0.58978873239436624</v>
      </c>
      <c r="E15" s="81" t="s">
        <v>82</v>
      </c>
      <c r="F15" s="77" t="s">
        <v>35</v>
      </c>
      <c r="G15" s="64">
        <v>36</v>
      </c>
      <c r="H15" s="47">
        <f t="shared" si="0"/>
        <v>3.0612244897959183E-2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 t="shared" si="3"/>
        <v>6.9520618556701006</v>
      </c>
      <c r="P15" s="131">
        <v>1348.6999999999996</v>
      </c>
      <c r="Q15" s="55">
        <v>194</v>
      </c>
    </row>
    <row r="16" spans="1:17" x14ac:dyDescent="0.4">
      <c r="A16" s="71" t="s">
        <v>131</v>
      </c>
      <c r="B16" s="63">
        <v>333</v>
      </c>
      <c r="C16" s="45">
        <f>IF(B$14=0,0,B16/B$14)</f>
        <v>0.38992974238875877</v>
      </c>
      <c r="E16" s="81" t="s">
        <v>86</v>
      </c>
      <c r="F16" s="77" t="s">
        <v>39</v>
      </c>
      <c r="G16" s="64">
        <v>34</v>
      </c>
      <c r="H16" s="47">
        <f t="shared" si="0"/>
        <v>2.8911564625850341E-2</v>
      </c>
      <c r="I16" s="117">
        <v>5</v>
      </c>
      <c r="K16" s="46">
        <v>14</v>
      </c>
      <c r="L16" s="123">
        <v>-4</v>
      </c>
      <c r="N16" s="46" t="s">
        <v>134</v>
      </c>
      <c r="O16" s="125">
        <f t="shared" si="3"/>
        <v>4.9596638655462169</v>
      </c>
      <c r="P16" s="131">
        <v>1180.3999999999996</v>
      </c>
      <c r="Q16" s="55">
        <v>238</v>
      </c>
    </row>
    <row r="17" spans="1:17" x14ac:dyDescent="0.4">
      <c r="A17" s="71" t="s">
        <v>10</v>
      </c>
      <c r="B17" s="63">
        <f>B19+B18</f>
        <v>1610</v>
      </c>
      <c r="C17" s="45">
        <f>IF(B$3=0,0,B17/B$3)</f>
        <v>0.30285929270127915</v>
      </c>
      <c r="E17" s="81" t="s">
        <v>96</v>
      </c>
      <c r="F17" s="77" t="s">
        <v>49</v>
      </c>
      <c r="G17" s="64">
        <v>20</v>
      </c>
      <c r="H17" s="47">
        <f t="shared" si="0"/>
        <v>1.7006802721088437E-2</v>
      </c>
      <c r="I17" s="117">
        <v>5</v>
      </c>
      <c r="K17" s="46">
        <v>15</v>
      </c>
      <c r="L17" s="123">
        <v>0</v>
      </c>
      <c r="N17" s="46" t="s">
        <v>138</v>
      </c>
      <c r="O17" s="125">
        <f t="shared" si="3"/>
        <v>-2.948076923076921</v>
      </c>
      <c r="P17" s="131">
        <v>-153.2999999999999</v>
      </c>
      <c r="Q17" s="55">
        <v>52</v>
      </c>
    </row>
    <row r="18" spans="1:17" x14ac:dyDescent="0.4">
      <c r="A18" s="72" t="s">
        <v>12</v>
      </c>
      <c r="B18" s="64">
        <v>675</v>
      </c>
      <c r="C18" s="47">
        <f>IF(B$17=0,0,B18/B$17)</f>
        <v>0.41925465838509318</v>
      </c>
      <c r="E18" s="81" t="s">
        <v>83</v>
      </c>
      <c r="F18" s="77" t="s">
        <v>36</v>
      </c>
      <c r="G18" s="64">
        <v>14</v>
      </c>
      <c r="H18" s="47">
        <f t="shared" si="0"/>
        <v>1.1904761904761904E-2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 t="shared" si="3"/>
        <v>-3.5236842105263135</v>
      </c>
      <c r="P18" s="131">
        <v>-669.49999999999955</v>
      </c>
      <c r="Q18" s="55">
        <v>190</v>
      </c>
    </row>
    <row r="19" spans="1:17" x14ac:dyDescent="0.4">
      <c r="A19" s="72" t="s">
        <v>11</v>
      </c>
      <c r="B19" s="64">
        <v>935</v>
      </c>
      <c r="C19" s="47">
        <f>IF(B$17=0,0,B19/B$17)</f>
        <v>0.58074534161490687</v>
      </c>
      <c r="E19" s="81" t="s">
        <v>77</v>
      </c>
      <c r="F19" s="77" t="s">
        <v>30</v>
      </c>
      <c r="G19" s="64">
        <v>9</v>
      </c>
      <c r="H19" s="47">
        <f t="shared" si="0"/>
        <v>7.6530612244897957E-3</v>
      </c>
      <c r="I19" s="117">
        <v>4</v>
      </c>
      <c r="K19" s="46">
        <v>17</v>
      </c>
      <c r="L19" s="123">
        <v>-8</v>
      </c>
      <c r="N19" s="46" t="s">
        <v>135</v>
      </c>
      <c r="O19" s="125">
        <f t="shared" si="3"/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916</v>
      </c>
      <c r="C20" s="47">
        <f>IF(B$3=0,0,B20/B$3)</f>
        <v>0.17231000752445447</v>
      </c>
      <c r="E20" s="81" t="s">
        <v>79</v>
      </c>
      <c r="F20" s="77" t="s">
        <v>32</v>
      </c>
      <c r="G20" s="64">
        <v>9</v>
      </c>
      <c r="H20" s="47">
        <f t="shared" si="0"/>
        <v>7.6530612244897957E-3</v>
      </c>
      <c r="I20" s="117">
        <v>4</v>
      </c>
      <c r="K20" s="46">
        <v>18</v>
      </c>
      <c r="L20" s="123">
        <v>0</v>
      </c>
      <c r="N20" s="46" t="s">
        <v>133</v>
      </c>
      <c r="O20" s="125">
        <f t="shared" si="3"/>
        <v>-9.2418719211822626</v>
      </c>
      <c r="P20" s="131">
        <v>-3752.1999999999989</v>
      </c>
      <c r="Q20" s="55">
        <v>406</v>
      </c>
    </row>
    <row r="21" spans="1:17" x14ac:dyDescent="0.4">
      <c r="A21" s="72" t="s">
        <v>5</v>
      </c>
      <c r="B21" s="68">
        <f>IF(B$17=0,0,C21/B$17)</f>
        <v>10237.329192546584</v>
      </c>
      <c r="C21" s="49">
        <v>16482100</v>
      </c>
      <c r="E21" s="81" t="s">
        <v>81</v>
      </c>
      <c r="F21" s="77" t="s">
        <v>34</v>
      </c>
      <c r="G21" s="64">
        <v>8</v>
      </c>
      <c r="H21" s="47">
        <f t="shared" si="0"/>
        <v>6.8027210884353739E-3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 t="shared" si="3"/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-9389.3013100436674</v>
      </c>
      <c r="C22" s="62">
        <v>-8600600</v>
      </c>
      <c r="E22" s="81" t="s">
        <v>97</v>
      </c>
      <c r="F22" s="77" t="s">
        <v>50</v>
      </c>
      <c r="G22" s="64">
        <v>7</v>
      </c>
      <c r="H22" s="47">
        <f t="shared" si="0"/>
        <v>5.9523809523809521E-3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49">
        <v>10</v>
      </c>
      <c r="C23" s="150"/>
      <c r="E23" s="81" t="s">
        <v>90</v>
      </c>
      <c r="F23" s="77" t="s">
        <v>43</v>
      </c>
      <c r="G23" s="64">
        <v>5</v>
      </c>
      <c r="H23" s="47">
        <f t="shared" si="0"/>
        <v>4.2517006802721092E-3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47">
        <v>124700</v>
      </c>
      <c r="C24" s="148"/>
      <c r="E24" s="81" t="s">
        <v>98</v>
      </c>
      <c r="F24" s="77" t="s">
        <v>51</v>
      </c>
      <c r="G24" s="64">
        <v>4</v>
      </c>
      <c r="H24" s="47">
        <f t="shared" si="0"/>
        <v>3.4013605442176869E-3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3.5741158765989467E-3</v>
      </c>
      <c r="E25" s="81" t="s">
        <v>89</v>
      </c>
      <c r="F25" s="77" t="s">
        <v>42</v>
      </c>
      <c r="G25" s="64">
        <v>3</v>
      </c>
      <c r="H25" s="47">
        <f t="shared" si="0"/>
        <v>2.5510204081632651E-3</v>
      </c>
      <c r="I25" s="117">
        <v>4</v>
      </c>
      <c r="K25" s="46">
        <v>23</v>
      </c>
      <c r="L25" s="123">
        <v>-3</v>
      </c>
    </row>
    <row r="26" spans="1:17" x14ac:dyDescent="0.4">
      <c r="A26" s="71" t="s">
        <v>126</v>
      </c>
      <c r="B26" s="139">
        <v>3900</v>
      </c>
      <c r="C26" s="140"/>
      <c r="E26" s="81" t="s">
        <v>92</v>
      </c>
      <c r="F26" s="77" t="s">
        <v>45</v>
      </c>
      <c r="G26" s="64">
        <v>3</v>
      </c>
      <c r="H26" s="47">
        <f t="shared" si="0"/>
        <v>2.5510204081632651E-3</v>
      </c>
      <c r="I26" s="117">
        <v>3</v>
      </c>
      <c r="K26" s="46">
        <v>24</v>
      </c>
      <c r="L26" s="123">
        <v>0</v>
      </c>
    </row>
    <row r="27" spans="1:17" x14ac:dyDescent="0.4">
      <c r="A27" s="74" t="s">
        <v>127</v>
      </c>
      <c r="B27" s="153">
        <v>1176</v>
      </c>
      <c r="C27" s="154"/>
      <c r="E27" s="81" t="s">
        <v>78</v>
      </c>
      <c r="F27" s="77" t="s">
        <v>31</v>
      </c>
      <c r="G27" s="64">
        <v>2</v>
      </c>
      <c r="H27" s="47">
        <f t="shared" si="0"/>
        <v>1.7006802721088435E-3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 t="shared" si="0"/>
        <v>8.5034013605442174E-4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 t="shared" si="0"/>
        <v>8.5034013605442174E-4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 t="shared" si="0"/>
        <v>8.5034013605442174E-4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 t="shared" si="0"/>
        <v>8.5034013605442174E-4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 t="shared" si="0"/>
        <v>8.5034013605442174E-4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 t="shared" si="0"/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 t="shared" si="4"/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 t="shared" si="4"/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  <row r="678" spans="11:12" x14ac:dyDescent="0.4">
      <c r="K678" s="46">
        <v>676</v>
      </c>
      <c r="L678" s="123">
        <v>1.8000000000000496</v>
      </c>
    </row>
    <row r="679" spans="11:12" x14ac:dyDescent="0.4">
      <c r="K679" s="46">
        <v>677</v>
      </c>
      <c r="L679" s="123">
        <v>29.50000000000005</v>
      </c>
    </row>
    <row r="680" spans="11:12" x14ac:dyDescent="0.4">
      <c r="K680" s="46">
        <v>678</v>
      </c>
      <c r="L680" s="123">
        <v>-4.9999999999999503</v>
      </c>
    </row>
    <row r="681" spans="11:12" x14ac:dyDescent="0.4">
      <c r="K681" s="46">
        <v>679</v>
      </c>
      <c r="L681" s="123">
        <v>-12.59999999999995</v>
      </c>
    </row>
    <row r="682" spans="11:12" x14ac:dyDescent="0.4">
      <c r="K682" s="46">
        <v>680</v>
      </c>
      <c r="L682" s="123">
        <v>-14.59999999999995</v>
      </c>
    </row>
    <row r="683" spans="11:12" x14ac:dyDescent="0.4">
      <c r="K683" s="46">
        <v>681</v>
      </c>
      <c r="L683" s="123">
        <v>-4.9999999999999503</v>
      </c>
    </row>
    <row r="684" spans="11:12" x14ac:dyDescent="0.4">
      <c r="K684" s="46">
        <v>682</v>
      </c>
      <c r="L684" s="123">
        <v>21.200000000000049</v>
      </c>
    </row>
    <row r="685" spans="11:12" x14ac:dyDescent="0.4">
      <c r="K685" s="46">
        <v>683</v>
      </c>
      <c r="L685" s="123">
        <v>-7.1999999999999496</v>
      </c>
    </row>
    <row r="686" spans="11:12" x14ac:dyDescent="0.4">
      <c r="K686" s="46">
        <v>684</v>
      </c>
      <c r="L686" s="123">
        <v>-4.9999999999999494</v>
      </c>
    </row>
    <row r="687" spans="11:12" x14ac:dyDescent="0.4">
      <c r="K687" s="46">
        <v>685</v>
      </c>
      <c r="L687" s="123">
        <v>8.700000000000049</v>
      </c>
    </row>
    <row r="688" spans="11:12" x14ac:dyDescent="0.4">
      <c r="K688" s="46">
        <v>686</v>
      </c>
      <c r="L688" s="123">
        <v>-5.0999999999999517</v>
      </c>
    </row>
    <row r="689" spans="11:12" x14ac:dyDescent="0.4">
      <c r="K689" s="46">
        <v>687</v>
      </c>
      <c r="L689" s="123">
        <v>-4.999999999999952</v>
      </c>
    </row>
    <row r="690" spans="11:12" x14ac:dyDescent="0.4">
      <c r="K690" s="46">
        <v>688</v>
      </c>
      <c r="L690" s="123">
        <v>-4.6999999999999522</v>
      </c>
    </row>
    <row r="691" spans="11:12" x14ac:dyDescent="0.4">
      <c r="K691" s="46">
        <v>689</v>
      </c>
      <c r="L691" s="123">
        <v>-21.599999999999952</v>
      </c>
    </row>
    <row r="692" spans="11:12" x14ac:dyDescent="0.4">
      <c r="K692" s="46">
        <v>690</v>
      </c>
      <c r="L692" s="123">
        <v>-4.9999999999999503</v>
      </c>
    </row>
    <row r="693" spans="11:12" x14ac:dyDescent="0.4">
      <c r="K693" s="46">
        <v>691</v>
      </c>
      <c r="L693" s="123">
        <v>-10.399999999999951</v>
      </c>
    </row>
    <row r="694" spans="11:12" x14ac:dyDescent="0.4">
      <c r="K694" s="46">
        <v>692</v>
      </c>
      <c r="L694" s="123">
        <v>-35.799999999999947</v>
      </c>
    </row>
    <row r="695" spans="11:12" x14ac:dyDescent="0.4">
      <c r="K695" s="46">
        <v>693</v>
      </c>
      <c r="L695" s="123">
        <v>-4.9999999999999467</v>
      </c>
    </row>
    <row r="696" spans="11:12" x14ac:dyDescent="0.4">
      <c r="K696" s="46">
        <v>694</v>
      </c>
      <c r="L696" s="123">
        <v>-48.199999999999946</v>
      </c>
    </row>
    <row r="697" spans="11:12" x14ac:dyDescent="0.4">
      <c r="K697" s="46">
        <v>695</v>
      </c>
      <c r="L697" s="123">
        <v>-68.699999999999946</v>
      </c>
    </row>
    <row r="698" spans="11:12" x14ac:dyDescent="0.4">
      <c r="K698" s="46">
        <v>696</v>
      </c>
      <c r="L698" s="123">
        <v>-4.9999999999999432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20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133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203</v>
      </c>
      <c r="C2" s="140"/>
      <c r="E2" s="80" t="s">
        <v>71</v>
      </c>
      <c r="F2" s="76" t="s">
        <v>25</v>
      </c>
      <c r="G2" s="63">
        <v>338</v>
      </c>
      <c r="H2" s="45">
        <f t="shared" ref="H2:H33" si="0">IF(B$27=0,0,G2/B$27)</f>
        <v>0.88481675392670156</v>
      </c>
      <c r="I2" s="116">
        <v>5</v>
      </c>
      <c r="K2" s="44">
        <v>0</v>
      </c>
      <c r="L2" s="122">
        <v>0</v>
      </c>
      <c r="N2" s="44" t="s">
        <v>147</v>
      </c>
      <c r="O2" s="126">
        <f t="shared" ref="O2:O7" si="1">IF(Q2=0,0,P2/Q2)</f>
        <v>1332.1608040201006</v>
      </c>
      <c r="P2" s="59">
        <v>265100</v>
      </c>
      <c r="Q2" s="57">
        <v>199</v>
      </c>
    </row>
    <row r="3" spans="1:17" x14ac:dyDescent="0.4">
      <c r="A3" s="72" t="s">
        <v>8</v>
      </c>
      <c r="B3" s="141">
        <v>1528</v>
      </c>
      <c r="C3" s="142"/>
      <c r="E3" s="81" t="s">
        <v>69</v>
      </c>
      <c r="F3" s="77" t="s">
        <v>23</v>
      </c>
      <c r="G3" s="64">
        <v>252</v>
      </c>
      <c r="H3" s="47">
        <f t="shared" si="0"/>
        <v>0.65968586387434558</v>
      </c>
      <c r="I3" s="117">
        <v>7</v>
      </c>
      <c r="K3" s="46">
        <v>1</v>
      </c>
      <c r="L3" s="123">
        <v>15</v>
      </c>
      <c r="N3" s="46" t="s">
        <v>148</v>
      </c>
      <c r="O3" s="127">
        <f t="shared" si="1"/>
        <v>346.07329842931938</v>
      </c>
      <c r="P3" s="60">
        <v>66100</v>
      </c>
      <c r="Q3" s="55">
        <v>191</v>
      </c>
    </row>
    <row r="4" spans="1:17" x14ac:dyDescent="0.4">
      <c r="A4" s="72" t="s">
        <v>6</v>
      </c>
      <c r="B4" s="143">
        <v>1249.4000000000001</v>
      </c>
      <c r="C4" s="144"/>
      <c r="E4" s="81" t="s">
        <v>67</v>
      </c>
      <c r="F4" s="77" t="s">
        <v>21</v>
      </c>
      <c r="G4" s="64">
        <v>212</v>
      </c>
      <c r="H4" s="47">
        <f t="shared" si="0"/>
        <v>0.55497382198952883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1"/>
        <v>1342.9378531073446</v>
      </c>
      <c r="P4" s="60">
        <v>237700</v>
      </c>
      <c r="Q4" s="55">
        <v>177</v>
      </c>
    </row>
    <row r="5" spans="1:17" x14ac:dyDescent="0.4">
      <c r="A5" s="72" t="s">
        <v>7</v>
      </c>
      <c r="B5" s="145">
        <f>IF(B$2=0,0,B$4/B$2)</f>
        <v>6.1546798029556653</v>
      </c>
      <c r="C5" s="146"/>
      <c r="E5" s="81" t="s">
        <v>76</v>
      </c>
      <c r="F5" s="77" t="s">
        <v>29</v>
      </c>
      <c r="G5" s="64">
        <v>203</v>
      </c>
      <c r="H5" s="47">
        <f t="shared" si="0"/>
        <v>0.53141361256544506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1"/>
        <v>1269.182389937107</v>
      </c>
      <c r="P5" s="60">
        <v>201800</v>
      </c>
      <c r="Q5" s="55">
        <v>159</v>
      </c>
    </row>
    <row r="6" spans="1:17" x14ac:dyDescent="0.4">
      <c r="A6" s="72" t="s">
        <v>1</v>
      </c>
      <c r="B6" s="151">
        <f>IF(B$2=0,0,(B$7*1+B$8*2+B$9*3)/B$2)</f>
        <v>1.7980295566502462</v>
      </c>
      <c r="C6" s="152"/>
      <c r="E6" s="81" t="s">
        <v>70</v>
      </c>
      <c r="F6" s="77" t="s">
        <v>24</v>
      </c>
      <c r="G6" s="64">
        <v>117</v>
      </c>
      <c r="H6" s="47">
        <f t="shared" si="0"/>
        <v>0.30628272251308902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1"/>
        <v>1905.1094890510949</v>
      </c>
      <c r="P6" s="60">
        <v>261000</v>
      </c>
      <c r="Q6" s="55">
        <v>137</v>
      </c>
    </row>
    <row r="7" spans="1:17" x14ac:dyDescent="0.4">
      <c r="A7" s="72" t="s">
        <v>2</v>
      </c>
      <c r="B7" s="64">
        <v>86</v>
      </c>
      <c r="C7" s="47">
        <f>IF(B$2=0,0,B7/B$2)</f>
        <v>0.42364532019704432</v>
      </c>
      <c r="E7" s="81" t="s">
        <v>72</v>
      </c>
      <c r="F7" s="77" t="s">
        <v>12</v>
      </c>
      <c r="G7" s="64">
        <v>110</v>
      </c>
      <c r="H7" s="47">
        <f t="shared" si="0"/>
        <v>0.2879581151832461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1"/>
        <v>1682.4074074074074</v>
      </c>
      <c r="P7" s="61">
        <v>181700</v>
      </c>
      <c r="Q7" s="56">
        <v>108</v>
      </c>
    </row>
    <row r="8" spans="1:17" x14ac:dyDescent="0.4">
      <c r="A8" s="72" t="s">
        <v>3</v>
      </c>
      <c r="B8" s="64">
        <v>72</v>
      </c>
      <c r="C8" s="47">
        <f>IF(B$2=0,0,B8/B$2)</f>
        <v>0.35467980295566504</v>
      </c>
      <c r="E8" s="81" t="s">
        <v>94</v>
      </c>
      <c r="F8" s="77" t="s">
        <v>47</v>
      </c>
      <c r="G8" s="64">
        <v>68</v>
      </c>
      <c r="H8" s="47">
        <f t="shared" si="0"/>
        <v>0.17801047120418848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45</v>
      </c>
      <c r="C9" s="48">
        <f t="shared" ref="C9" si="2">IF(B$2=0,0,B9/B$2)</f>
        <v>0.22167487684729065</v>
      </c>
      <c r="E9" s="81" t="s">
        <v>73</v>
      </c>
      <c r="F9" s="77" t="s">
        <v>26</v>
      </c>
      <c r="G9" s="64">
        <v>57</v>
      </c>
      <c r="H9" s="47">
        <f t="shared" si="0"/>
        <v>0.14921465968586387</v>
      </c>
      <c r="I9" s="117">
        <v>5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21</v>
      </c>
      <c r="C10" s="48">
        <f>IF(B$2=0,0,B10/B$2)</f>
        <v>0.10344827586206896</v>
      </c>
      <c r="E10" s="81" t="s">
        <v>68</v>
      </c>
      <c r="F10" s="77" t="s">
        <v>22</v>
      </c>
      <c r="G10" s="64">
        <v>41</v>
      </c>
      <c r="H10" s="47">
        <f t="shared" si="0"/>
        <v>0.10732984293193717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 t="shared" ref="O10:O19" si="3"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41</v>
      </c>
      <c r="C11" s="48">
        <f>IF(B$2=0,0,B11/B$2)</f>
        <v>0.2019704433497537</v>
      </c>
      <c r="E11" s="81" t="s">
        <v>74</v>
      </c>
      <c r="F11" s="77" t="s">
        <v>27</v>
      </c>
      <c r="G11" s="64">
        <v>31</v>
      </c>
      <c r="H11" s="47">
        <f t="shared" si="0"/>
        <v>8.1151832460732987E-2</v>
      </c>
      <c r="I11" s="117">
        <v>7</v>
      </c>
      <c r="K11" s="46">
        <v>9</v>
      </c>
      <c r="L11" s="123">
        <v>14.700000000000017</v>
      </c>
      <c r="N11" s="46" t="s">
        <v>167</v>
      </c>
      <c r="O11" s="125">
        <f t="shared" si="3"/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20</v>
      </c>
      <c r="C12" s="51">
        <f>IF(B$2=0,0,B12/B$2)</f>
        <v>9.8522167487684734E-2</v>
      </c>
      <c r="E12" s="81" t="s">
        <v>75</v>
      </c>
      <c r="F12" s="77" t="s">
        <v>28</v>
      </c>
      <c r="G12" s="64">
        <v>24</v>
      </c>
      <c r="H12" s="47">
        <f t="shared" si="0"/>
        <v>6.2827225130890049E-2</v>
      </c>
      <c r="I12" s="117">
        <v>3</v>
      </c>
      <c r="K12" s="46">
        <v>10</v>
      </c>
      <c r="L12" s="123">
        <v>-16.799999999999983</v>
      </c>
      <c r="N12" s="46" t="s">
        <v>158</v>
      </c>
      <c r="O12" s="125">
        <f t="shared" si="3"/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326</v>
      </c>
      <c r="C13" s="54">
        <f>IF(B$26=0,0,B13/B$26)</f>
        <v>0.30410447761194032</v>
      </c>
      <c r="E13" s="81" t="s">
        <v>91</v>
      </c>
      <c r="F13" s="77" t="s">
        <v>44</v>
      </c>
      <c r="G13" s="64">
        <v>24</v>
      </c>
      <c r="H13" s="47">
        <f t="shared" si="0"/>
        <v>6.2827225130890049E-2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 t="shared" si="3"/>
        <v>17.125000000000004</v>
      </c>
      <c r="P13" s="131">
        <v>822.00000000000011</v>
      </c>
      <c r="Q13" s="55">
        <v>48</v>
      </c>
    </row>
    <row r="14" spans="1:17" x14ac:dyDescent="0.4">
      <c r="A14" s="72" t="s">
        <v>123</v>
      </c>
      <c r="B14" s="64">
        <v>220</v>
      </c>
      <c r="C14" s="47">
        <f>IF(B$26=0,0,B14/B$26)</f>
        <v>0.20522388059701493</v>
      </c>
      <c r="E14" s="81" t="s">
        <v>88</v>
      </c>
      <c r="F14" s="77" t="s">
        <v>41</v>
      </c>
      <c r="G14" s="64">
        <v>12</v>
      </c>
      <c r="H14" s="47">
        <f t="shared" si="0"/>
        <v>3.1413612565445025E-2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 t="shared" si="3"/>
        <v>12.691025641025643</v>
      </c>
      <c r="P14" s="131">
        <v>989.90000000000009</v>
      </c>
      <c r="Q14" s="55">
        <v>78</v>
      </c>
    </row>
    <row r="15" spans="1:17" x14ac:dyDescent="0.4">
      <c r="A15" s="71" t="s">
        <v>130</v>
      </c>
      <c r="B15" s="63">
        <v>214</v>
      </c>
      <c r="C15" s="45">
        <f>IF(B$13=0,0,B15/B$13)</f>
        <v>0.65644171779141103</v>
      </c>
      <c r="E15" s="81" t="s">
        <v>86</v>
      </c>
      <c r="F15" s="77" t="s">
        <v>39</v>
      </c>
      <c r="G15" s="64">
        <v>9</v>
      </c>
      <c r="H15" s="47">
        <f t="shared" si="0"/>
        <v>2.356020942408377E-2</v>
      </c>
      <c r="I15" s="117">
        <v>6</v>
      </c>
      <c r="K15" s="46">
        <v>13</v>
      </c>
      <c r="L15" s="123">
        <v>71.300000000000011</v>
      </c>
      <c r="N15" s="46" t="s">
        <v>168</v>
      </c>
      <c r="O15" s="125">
        <f t="shared" si="3"/>
        <v>8</v>
      </c>
      <c r="P15" s="131">
        <v>8</v>
      </c>
      <c r="Q15" s="55">
        <v>1</v>
      </c>
    </row>
    <row r="16" spans="1:17" x14ac:dyDescent="0.4">
      <c r="A16" s="71" t="s">
        <v>131</v>
      </c>
      <c r="B16" s="63">
        <v>104</v>
      </c>
      <c r="C16" s="45">
        <f>IF(B$14=0,0,B16/B$14)</f>
        <v>0.47272727272727272</v>
      </c>
      <c r="E16" s="81" t="s">
        <v>82</v>
      </c>
      <c r="F16" s="77" t="s">
        <v>35</v>
      </c>
      <c r="G16" s="64">
        <v>6</v>
      </c>
      <c r="H16" s="47">
        <f t="shared" si="0"/>
        <v>1.5706806282722512E-2</v>
      </c>
      <c r="I16" s="117">
        <v>9</v>
      </c>
      <c r="K16" s="46">
        <v>14</v>
      </c>
      <c r="L16" s="123">
        <v>27.300000000000011</v>
      </c>
      <c r="N16" s="46" t="s">
        <v>134</v>
      </c>
      <c r="O16" s="125">
        <f t="shared" si="3"/>
        <v>7.8215686274509757</v>
      </c>
      <c r="P16" s="131">
        <v>797.7999999999995</v>
      </c>
      <c r="Q16" s="55">
        <v>102</v>
      </c>
    </row>
    <row r="17" spans="1:17" x14ac:dyDescent="0.4">
      <c r="A17" s="71" t="s">
        <v>10</v>
      </c>
      <c r="B17" s="63">
        <f>B19+B18</f>
        <v>538</v>
      </c>
      <c r="C17" s="45">
        <f>IF(B$3=0,0,B17/B$3)</f>
        <v>0.35209424083769636</v>
      </c>
      <c r="E17" s="81" t="s">
        <v>96</v>
      </c>
      <c r="F17" s="77" t="s">
        <v>49</v>
      </c>
      <c r="G17" s="64">
        <v>5</v>
      </c>
      <c r="H17" s="47">
        <f t="shared" si="0"/>
        <v>1.3089005235602094E-2</v>
      </c>
      <c r="I17" s="117">
        <v>7</v>
      </c>
      <c r="K17" s="46">
        <v>15</v>
      </c>
      <c r="L17" s="123">
        <v>-9.6999999999999886</v>
      </c>
      <c r="N17" s="46" t="s">
        <v>138</v>
      </c>
      <c r="O17" s="125">
        <f t="shared" si="3"/>
        <v>4.8826086956521761</v>
      </c>
      <c r="P17" s="131">
        <v>112.30000000000005</v>
      </c>
      <c r="Q17" s="55">
        <v>23</v>
      </c>
    </row>
    <row r="18" spans="1:17" x14ac:dyDescent="0.4">
      <c r="A18" s="72" t="s">
        <v>12</v>
      </c>
      <c r="B18" s="64">
        <v>203</v>
      </c>
      <c r="C18" s="47">
        <f>IF(B$17=0,0,B18/B$17)</f>
        <v>0.37732342007434944</v>
      </c>
      <c r="E18" s="81" t="s">
        <v>79</v>
      </c>
      <c r="F18" s="77" t="s">
        <v>32</v>
      </c>
      <c r="G18" s="64">
        <v>4</v>
      </c>
      <c r="H18" s="47">
        <f t="shared" si="0"/>
        <v>1.0471204188481676E-2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 t="shared" si="3"/>
        <v>2.1862499999999998</v>
      </c>
      <c r="P18" s="131">
        <v>174.89999999999998</v>
      </c>
      <c r="Q18" s="55">
        <v>80</v>
      </c>
    </row>
    <row r="19" spans="1:17" x14ac:dyDescent="0.4">
      <c r="A19" s="72" t="s">
        <v>11</v>
      </c>
      <c r="B19" s="64">
        <v>335</v>
      </c>
      <c r="C19" s="47">
        <f>IF(B$17=0,0,B19/B$17)</f>
        <v>0.62267657992565051</v>
      </c>
      <c r="E19" s="81" t="s">
        <v>81</v>
      </c>
      <c r="F19" s="77" t="s">
        <v>34</v>
      </c>
      <c r="G19" s="64">
        <v>4</v>
      </c>
      <c r="H19" s="47">
        <f t="shared" si="0"/>
        <v>1.0471204188481676E-2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 t="shared" si="3"/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219</v>
      </c>
      <c r="C20" s="47">
        <f>IF(B$3=0,0,B20/B$3)</f>
        <v>0.14332460732984292</v>
      </c>
      <c r="E20" s="81" t="s">
        <v>77</v>
      </c>
      <c r="F20" s="77" t="s">
        <v>30</v>
      </c>
      <c r="G20" s="64">
        <v>3</v>
      </c>
      <c r="H20" s="47">
        <f t="shared" si="0"/>
        <v>7.8534031413612562E-3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9949.2565055762079</v>
      </c>
      <c r="C21" s="49">
        <v>5352700</v>
      </c>
      <c r="E21" s="81" t="s">
        <v>83</v>
      </c>
      <c r="F21" s="77" t="s">
        <v>36</v>
      </c>
      <c r="G21" s="64">
        <v>3</v>
      </c>
      <c r="H21" s="47">
        <f t="shared" si="0"/>
        <v>7.8534031413612562E-3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-9351.5981735159821</v>
      </c>
      <c r="C22" s="62">
        <v>-2048000</v>
      </c>
      <c r="E22" s="81" t="s">
        <v>97</v>
      </c>
      <c r="F22" s="77" t="s">
        <v>50</v>
      </c>
      <c r="G22" s="64">
        <v>3</v>
      </c>
      <c r="H22" s="47">
        <f t="shared" si="0"/>
        <v>7.8534031413612562E-3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2</v>
      </c>
      <c r="H23" s="47">
        <f t="shared" si="0"/>
        <v>5.235602094240838E-3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47">
        <v>120200</v>
      </c>
      <c r="C24" s="148"/>
      <c r="E24" s="81" t="s">
        <v>78</v>
      </c>
      <c r="F24" s="77" t="s">
        <v>31</v>
      </c>
      <c r="G24" s="64">
        <v>1</v>
      </c>
      <c r="H24" s="47">
        <f t="shared" si="0"/>
        <v>2.617801047120419E-3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1.3089005235602095E-3</v>
      </c>
      <c r="E25" s="81" t="s">
        <v>90</v>
      </c>
      <c r="F25" s="77" t="s">
        <v>43</v>
      </c>
      <c r="G25" s="64">
        <v>1</v>
      </c>
      <c r="H25" s="47">
        <f t="shared" si="0"/>
        <v>2.617801047120419E-3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39">
        <v>1072</v>
      </c>
      <c r="C26" s="140"/>
      <c r="E26" s="81" t="s">
        <v>95</v>
      </c>
      <c r="F26" s="77" t="s">
        <v>48</v>
      </c>
      <c r="G26" s="64">
        <v>1</v>
      </c>
      <c r="H26" s="47">
        <f t="shared" si="0"/>
        <v>2.617801047120419E-3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53">
        <v>382</v>
      </c>
      <c r="C27" s="154"/>
      <c r="E27" s="81" t="s">
        <v>100</v>
      </c>
      <c r="F27" s="77" t="s">
        <v>53</v>
      </c>
      <c r="G27" s="64">
        <v>1</v>
      </c>
      <c r="H27" s="47">
        <f t="shared" si="0"/>
        <v>2.617801047120419E-3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 t="shared" si="0"/>
        <v>2.617801047120419E-3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 t="shared" si="0"/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 t="shared" si="0"/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 t="shared" si="0"/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 t="shared" si="0"/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 t="shared" si="0"/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 t="shared" ref="H34:H65" si="4"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 t="shared" si="4"/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 t="shared" si="4"/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  <row r="200" spans="11:12" x14ac:dyDescent="0.4">
      <c r="K200" s="46">
        <v>198</v>
      </c>
      <c r="L200" s="123">
        <v>1291.6000000000001</v>
      </c>
    </row>
    <row r="201" spans="11:12" x14ac:dyDescent="0.4">
      <c r="K201" s="46">
        <v>199</v>
      </c>
      <c r="L201" s="123">
        <v>1284.0000000000002</v>
      </c>
    </row>
    <row r="202" spans="11:12" x14ac:dyDescent="0.4">
      <c r="K202" s="46">
        <v>200</v>
      </c>
      <c r="L202" s="123">
        <v>1297.7000000000003</v>
      </c>
    </row>
    <row r="203" spans="11:12" x14ac:dyDescent="0.4">
      <c r="K203" s="46">
        <v>201</v>
      </c>
      <c r="L203" s="123">
        <v>1298.0000000000002</v>
      </c>
    </row>
    <row r="204" spans="11:12" x14ac:dyDescent="0.4">
      <c r="K204" s="46">
        <v>202</v>
      </c>
      <c r="L204" s="123">
        <v>1292.6000000000001</v>
      </c>
    </row>
    <row r="205" spans="11:12" x14ac:dyDescent="0.4">
      <c r="K205" s="46">
        <v>203</v>
      </c>
      <c r="L205" s="123">
        <v>1249.4000000000001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4</v>
      </c>
      <c r="C2" s="140"/>
      <c r="E2" s="80" t="s">
        <v>67</v>
      </c>
      <c r="F2" s="76" t="s">
        <v>21</v>
      </c>
      <c r="G2" s="63">
        <v>0</v>
      </c>
      <c r="H2" s="45">
        <f t="shared" ref="H2:H33" si="0"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1">
        <v>25</v>
      </c>
      <c r="C3" s="142"/>
      <c r="E3" s="81" t="s">
        <v>68</v>
      </c>
      <c r="F3" s="77" t="s">
        <v>22</v>
      </c>
      <c r="G3" s="64">
        <v>0</v>
      </c>
      <c r="H3" s="47">
        <f t="shared" si="0"/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1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43">
        <v>-132.1</v>
      </c>
      <c r="C4" s="144"/>
      <c r="E4" s="81" t="s">
        <v>69</v>
      </c>
      <c r="F4" s="77" t="s">
        <v>23</v>
      </c>
      <c r="G4" s="64">
        <v>0</v>
      </c>
      <c r="H4" s="47">
        <f t="shared" si="0"/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1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45">
        <f>IF(B$2=0,0,B$4/B$2)</f>
        <v>-33.024999999999999</v>
      </c>
      <c r="C5" s="146"/>
      <c r="E5" s="81" t="s">
        <v>70</v>
      </c>
      <c r="F5" s="77" t="s">
        <v>24</v>
      </c>
      <c r="G5" s="64">
        <v>0</v>
      </c>
      <c r="H5" s="47">
        <f t="shared" si="0"/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1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51">
        <f>IF(B$2=0,0,(B$7*1+B$8*2+B$9*3)/B$2)</f>
        <v>3</v>
      </c>
      <c r="C6" s="152"/>
      <c r="E6" s="81" t="s">
        <v>71</v>
      </c>
      <c r="F6" s="77" t="s">
        <v>25</v>
      </c>
      <c r="G6" s="64">
        <v>0</v>
      </c>
      <c r="H6" s="47">
        <f t="shared" si="0"/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1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 t="shared" si="0"/>
        <v>0</v>
      </c>
      <c r="I7" s="117">
        <v>12</v>
      </c>
      <c r="N7" s="50" t="s">
        <v>152</v>
      </c>
      <c r="O7" s="128">
        <f t="shared" si="1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 t="shared" si="0"/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2">IF(B$2=0,0,B9/B$2)</f>
        <v>1</v>
      </c>
      <c r="E9" s="81" t="s">
        <v>74</v>
      </c>
      <c r="F9" s="77" t="s">
        <v>27</v>
      </c>
      <c r="G9" s="64">
        <v>0</v>
      </c>
      <c r="H9" s="47">
        <f t="shared" si="0"/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 t="shared" si="0"/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 t="shared" si="0"/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 t="shared" si="0"/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 t="shared" si="0"/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 t="shared" si="0"/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 t="shared" si="0"/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 t="shared" si="0"/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 t="shared" si="0"/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 t="shared" si="0"/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 t="shared" si="0"/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 t="shared" si="0"/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 t="shared" si="0"/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 t="shared" si="0"/>
        <v>0</v>
      </c>
      <c r="I22" s="117">
        <v>1</v>
      </c>
    </row>
    <row r="23" spans="1:9" x14ac:dyDescent="0.4">
      <c r="A23" s="112" t="s">
        <v>159</v>
      </c>
      <c r="B23" s="149">
        <v>0</v>
      </c>
      <c r="C23" s="150"/>
      <c r="E23" s="81" t="s">
        <v>88</v>
      </c>
      <c r="F23" s="77" t="s">
        <v>41</v>
      </c>
      <c r="G23" s="64">
        <v>0</v>
      </c>
      <c r="H23" s="47">
        <f t="shared" si="0"/>
        <v>0</v>
      </c>
      <c r="I23" s="117">
        <v>9</v>
      </c>
    </row>
    <row r="24" spans="1:9" x14ac:dyDescent="0.4">
      <c r="A24" s="75" t="s">
        <v>200</v>
      </c>
      <c r="B24" s="147">
        <v>13000</v>
      </c>
      <c r="C24" s="148"/>
      <c r="E24" s="81" t="s">
        <v>89</v>
      </c>
      <c r="F24" s="77" t="s">
        <v>42</v>
      </c>
      <c r="G24" s="64">
        <v>0</v>
      </c>
      <c r="H24" s="47">
        <f t="shared" si="0"/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 t="shared" si="0"/>
        <v>0</v>
      </c>
      <c r="I25" s="117">
        <v>6</v>
      </c>
    </row>
    <row r="26" spans="1:9" x14ac:dyDescent="0.4">
      <c r="A26" s="71" t="s">
        <v>126</v>
      </c>
      <c r="B26" s="139">
        <v>0</v>
      </c>
      <c r="C26" s="140"/>
      <c r="E26" s="81" t="s">
        <v>91</v>
      </c>
      <c r="F26" s="77" t="s">
        <v>44</v>
      </c>
      <c r="G26" s="64">
        <v>0</v>
      </c>
      <c r="H26" s="47">
        <f t="shared" si="0"/>
        <v>0</v>
      </c>
      <c r="I26" s="117">
        <v>12</v>
      </c>
    </row>
    <row r="27" spans="1:9" x14ac:dyDescent="0.4">
      <c r="A27" s="74" t="s">
        <v>127</v>
      </c>
      <c r="B27" s="153">
        <v>0</v>
      </c>
      <c r="C27" s="154"/>
      <c r="E27" s="81" t="s">
        <v>92</v>
      </c>
      <c r="F27" s="77" t="s">
        <v>45</v>
      </c>
      <c r="G27" s="64">
        <v>0</v>
      </c>
      <c r="H27" s="47">
        <f t="shared" si="0"/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 t="shared" si="0"/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 t="shared" si="0"/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3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3</v>
      </c>
      <c r="C2" s="140"/>
      <c r="E2" s="80" t="s">
        <v>70</v>
      </c>
      <c r="F2" s="76" t="s">
        <v>24</v>
      </c>
      <c r="G2" s="63">
        <v>2</v>
      </c>
      <c r="H2" s="45">
        <f t="shared" ref="H2:H33" si="0"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1">
        <v>16</v>
      </c>
      <c r="C3" s="142"/>
      <c r="E3" s="81" t="s">
        <v>67</v>
      </c>
      <c r="F3" s="77" t="s">
        <v>21</v>
      </c>
      <c r="G3" s="64">
        <v>1</v>
      </c>
      <c r="H3" s="47">
        <f t="shared" si="0"/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1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43">
        <v>-26.5</v>
      </c>
      <c r="C4" s="144"/>
      <c r="E4" s="81" t="s">
        <v>73</v>
      </c>
      <c r="F4" s="77" t="s">
        <v>26</v>
      </c>
      <c r="G4" s="64">
        <v>1</v>
      </c>
      <c r="H4" s="47">
        <f t="shared" si="0"/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1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45">
        <f>IF(B$2=0,0,B$4/B$2)</f>
        <v>-8.8333333333333339</v>
      </c>
      <c r="C5" s="146"/>
      <c r="E5" s="81" t="s">
        <v>75</v>
      </c>
      <c r="F5" s="77" t="s">
        <v>28</v>
      </c>
      <c r="G5" s="64">
        <v>1</v>
      </c>
      <c r="H5" s="47">
        <f t="shared" si="0"/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1"/>
        <v>0</v>
      </c>
      <c r="P5" s="60">
        <v>0</v>
      </c>
      <c r="Q5" s="55">
        <v>1</v>
      </c>
    </row>
    <row r="6" spans="1:17" x14ac:dyDescent="0.4">
      <c r="A6" s="72" t="s">
        <v>1</v>
      </c>
      <c r="B6" s="151">
        <f>IF(B$2=0,0,(B$7*1+B$8*2+B$9*3)/B$2)</f>
        <v>2.3333333333333335</v>
      </c>
      <c r="C6" s="152"/>
      <c r="E6" s="81" t="s">
        <v>68</v>
      </c>
      <c r="F6" s="77" t="s">
        <v>22</v>
      </c>
      <c r="G6" s="64">
        <v>0</v>
      </c>
      <c r="H6" s="47">
        <f t="shared" si="0"/>
        <v>0</v>
      </c>
      <c r="I6" s="117">
        <v>12</v>
      </c>
      <c r="N6" s="46" t="s">
        <v>151</v>
      </c>
      <c r="O6" s="127">
        <f t="shared" si="1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 t="shared" si="0"/>
        <v>0</v>
      </c>
      <c r="I7" s="117">
        <v>12</v>
      </c>
      <c r="N7" s="50" t="s">
        <v>152</v>
      </c>
      <c r="O7" s="128">
        <f t="shared" si="1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 t="shared" si="0"/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2">IF(B$2=0,0,B9/B$2)</f>
        <v>0.33333333333333331</v>
      </c>
      <c r="E9" s="81" t="s">
        <v>72</v>
      </c>
      <c r="F9" s="77" t="s">
        <v>12</v>
      </c>
      <c r="G9" s="64">
        <v>0</v>
      </c>
      <c r="H9" s="47">
        <f t="shared" si="0"/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 t="shared" si="0"/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 t="shared" si="0"/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 t="shared" si="0"/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 t="shared" si="0"/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 t="shared" si="0"/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 t="shared" si="0"/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 t="shared" si="0"/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 t="shared" si="0"/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 t="shared" si="0"/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 t="shared" si="0"/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 t="shared" si="0"/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 t="shared" si="0"/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 t="shared" si="0"/>
        <v>0</v>
      </c>
      <c r="I22" s="117">
        <v>1</v>
      </c>
    </row>
    <row r="23" spans="1:9" x14ac:dyDescent="0.4">
      <c r="A23" s="112" t="s">
        <v>159</v>
      </c>
      <c r="B23" s="149">
        <v>2</v>
      </c>
      <c r="C23" s="150"/>
      <c r="E23" s="81" t="s">
        <v>88</v>
      </c>
      <c r="F23" s="77" t="s">
        <v>41</v>
      </c>
      <c r="G23" s="64">
        <v>0</v>
      </c>
      <c r="H23" s="47">
        <f t="shared" si="0"/>
        <v>0</v>
      </c>
      <c r="I23" s="117">
        <v>9</v>
      </c>
    </row>
    <row r="24" spans="1:9" x14ac:dyDescent="0.4">
      <c r="A24" s="75" t="s">
        <v>200</v>
      </c>
      <c r="B24" s="147">
        <v>42000</v>
      </c>
      <c r="C24" s="148"/>
      <c r="E24" s="81" t="s">
        <v>89</v>
      </c>
      <c r="F24" s="77" t="s">
        <v>42</v>
      </c>
      <c r="G24" s="64">
        <v>0</v>
      </c>
      <c r="H24" s="47">
        <f t="shared" si="0"/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 t="shared" si="0"/>
        <v>0</v>
      </c>
      <c r="I25" s="117">
        <v>6</v>
      </c>
    </row>
    <row r="26" spans="1:9" x14ac:dyDescent="0.4">
      <c r="A26" s="71" t="s">
        <v>126</v>
      </c>
      <c r="B26" s="139">
        <v>11</v>
      </c>
      <c r="C26" s="140"/>
      <c r="E26" s="81" t="s">
        <v>91</v>
      </c>
      <c r="F26" s="77" t="s">
        <v>44</v>
      </c>
      <c r="G26" s="64">
        <v>0</v>
      </c>
      <c r="H26" s="47">
        <f t="shared" si="0"/>
        <v>0</v>
      </c>
      <c r="I26" s="117">
        <v>12</v>
      </c>
    </row>
    <row r="27" spans="1:9" x14ac:dyDescent="0.4">
      <c r="A27" s="74" t="s">
        <v>127</v>
      </c>
      <c r="B27" s="153">
        <v>1</v>
      </c>
      <c r="C27" s="154"/>
      <c r="E27" s="81" t="s">
        <v>92</v>
      </c>
      <c r="F27" s="77" t="s">
        <v>45</v>
      </c>
      <c r="G27" s="64">
        <v>0</v>
      </c>
      <c r="H27" s="47">
        <f t="shared" si="0"/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 t="shared" si="0"/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 t="shared" si="0"/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3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2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134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119</v>
      </c>
      <c r="C2" s="140"/>
      <c r="E2" s="80" t="s">
        <v>71</v>
      </c>
      <c r="F2" s="76" t="s">
        <v>25</v>
      </c>
      <c r="G2" s="63">
        <v>136</v>
      </c>
      <c r="H2" s="45">
        <f t="shared" ref="H2:H33" si="0">IF(B$27=0,0,G2/B$27)</f>
        <v>0.7640449438202247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-376.92307692307691</v>
      </c>
      <c r="P2" s="59">
        <v>-44100</v>
      </c>
      <c r="Q2" s="57">
        <v>117</v>
      </c>
    </row>
    <row r="3" spans="1:17" x14ac:dyDescent="0.4">
      <c r="A3" s="72" t="s">
        <v>8</v>
      </c>
      <c r="B3" s="141">
        <v>926</v>
      </c>
      <c r="C3" s="142"/>
      <c r="E3" s="81" t="s">
        <v>69</v>
      </c>
      <c r="F3" s="77" t="s">
        <v>23</v>
      </c>
      <c r="G3" s="64">
        <v>124</v>
      </c>
      <c r="H3" s="47">
        <f t="shared" si="0"/>
        <v>0.6966292134831461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1"/>
        <v>-1461.9469026548672</v>
      </c>
      <c r="P3" s="60">
        <v>-165200</v>
      </c>
      <c r="Q3" s="55">
        <v>113</v>
      </c>
    </row>
    <row r="4" spans="1:17" x14ac:dyDescent="0.4">
      <c r="A4" s="72" t="s">
        <v>6</v>
      </c>
      <c r="B4" s="143">
        <v>-394.7999999999999</v>
      </c>
      <c r="C4" s="144"/>
      <c r="E4" s="81" t="s">
        <v>67</v>
      </c>
      <c r="F4" s="77" t="s">
        <v>21</v>
      </c>
      <c r="G4" s="64">
        <v>112</v>
      </c>
      <c r="H4" s="47">
        <f t="shared" si="0"/>
        <v>0.6292134831460674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1"/>
        <v>1958.1818181818182</v>
      </c>
      <c r="P4" s="60">
        <v>215400</v>
      </c>
      <c r="Q4" s="55">
        <v>110</v>
      </c>
    </row>
    <row r="5" spans="1:17" x14ac:dyDescent="0.4">
      <c r="A5" s="72" t="s">
        <v>7</v>
      </c>
      <c r="B5" s="145">
        <f>IF(B$2=0,0,B$4/B$2)</f>
        <v>-3.3176470588235287</v>
      </c>
      <c r="C5" s="146"/>
      <c r="E5" s="81" t="s">
        <v>76</v>
      </c>
      <c r="F5" s="77" t="s">
        <v>29</v>
      </c>
      <c r="G5" s="64">
        <v>93</v>
      </c>
      <c r="H5" s="47">
        <f t="shared" si="0"/>
        <v>0.52247191011235961</v>
      </c>
      <c r="I5" s="117">
        <v>9</v>
      </c>
      <c r="K5" s="46">
        <v>3</v>
      </c>
      <c r="L5" s="123">
        <v>-36.4</v>
      </c>
      <c r="N5" s="46" t="s">
        <v>150</v>
      </c>
      <c r="O5" s="127">
        <f t="shared" si="1"/>
        <v>-785.71428571428567</v>
      </c>
      <c r="P5" s="60">
        <v>-77000</v>
      </c>
      <c r="Q5" s="55">
        <v>98</v>
      </c>
    </row>
    <row r="6" spans="1:17" x14ac:dyDescent="0.4">
      <c r="A6" s="72" t="s">
        <v>1</v>
      </c>
      <c r="B6" s="151">
        <f>IF(B$2=0,0,(B$7*1+B$8*2+B$9*3)/B$2)</f>
        <v>2.0840336134453783</v>
      </c>
      <c r="C6" s="152"/>
      <c r="E6" s="81" t="s">
        <v>72</v>
      </c>
      <c r="F6" s="77" t="s">
        <v>12</v>
      </c>
      <c r="G6" s="64">
        <v>64</v>
      </c>
      <c r="H6" s="47">
        <f t="shared" si="0"/>
        <v>0.3595505617977528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1"/>
        <v>-2453.6585365853657</v>
      </c>
      <c r="P6" s="60">
        <v>-201200</v>
      </c>
      <c r="Q6" s="55">
        <v>82</v>
      </c>
    </row>
    <row r="7" spans="1:17" x14ac:dyDescent="0.4">
      <c r="A7" s="72" t="s">
        <v>2</v>
      </c>
      <c r="B7" s="64">
        <v>36</v>
      </c>
      <c r="C7" s="47">
        <f>IF(B$2=0,0,B7/B$2)</f>
        <v>0.30252100840336132</v>
      </c>
      <c r="E7" s="81" t="s">
        <v>70</v>
      </c>
      <c r="F7" s="77" t="s">
        <v>24</v>
      </c>
      <c r="G7" s="64">
        <v>58</v>
      </c>
      <c r="H7" s="47">
        <f t="shared" si="0"/>
        <v>0.3258426966292135</v>
      </c>
      <c r="I7" s="117">
        <v>6</v>
      </c>
      <c r="K7" s="46">
        <v>5</v>
      </c>
      <c r="L7" s="123">
        <v>14.600000000000001</v>
      </c>
      <c r="N7" s="50" t="s">
        <v>152</v>
      </c>
      <c r="O7" s="128">
        <f t="shared" si="1"/>
        <v>-2472.3076923076924</v>
      </c>
      <c r="P7" s="61">
        <v>-160700</v>
      </c>
      <c r="Q7" s="56">
        <v>65</v>
      </c>
    </row>
    <row r="8" spans="1:17" x14ac:dyDescent="0.4">
      <c r="A8" s="72" t="s">
        <v>3</v>
      </c>
      <c r="B8" s="64">
        <v>37</v>
      </c>
      <c r="C8" s="47">
        <f>IF(B$2=0,0,B8/B$2)</f>
        <v>0.31092436974789917</v>
      </c>
      <c r="E8" s="81" t="s">
        <v>68</v>
      </c>
      <c r="F8" s="77" t="s">
        <v>22</v>
      </c>
      <c r="G8" s="64">
        <v>29</v>
      </c>
      <c r="H8" s="47">
        <f t="shared" si="0"/>
        <v>0.16292134831460675</v>
      </c>
      <c r="I8" s="117">
        <v>2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2">IF(B$2=0,0,B9/B$2)</f>
        <v>0.38655462184873951</v>
      </c>
      <c r="E9" s="81" t="s">
        <v>94</v>
      </c>
      <c r="F9" s="77" t="s">
        <v>47</v>
      </c>
      <c r="G9" s="64">
        <v>29</v>
      </c>
      <c r="H9" s="47">
        <f t="shared" si="0"/>
        <v>0.16292134831460675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0.19327731092436976</v>
      </c>
      <c r="E10" s="81" t="s">
        <v>74</v>
      </c>
      <c r="F10" s="77" t="s">
        <v>27</v>
      </c>
      <c r="G10" s="64">
        <v>27</v>
      </c>
      <c r="H10" s="47">
        <f t="shared" si="0"/>
        <v>0.15168539325842698</v>
      </c>
      <c r="I10" s="117">
        <v>2</v>
      </c>
      <c r="K10" s="46">
        <v>8</v>
      </c>
      <c r="L10" s="123">
        <v>60.199999999999996</v>
      </c>
      <c r="N10" s="44" t="s">
        <v>168</v>
      </c>
      <c r="O10" s="124">
        <f t="shared" ref="O10:O18" si="3"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0.13445378151260504</v>
      </c>
      <c r="E11" s="81" t="s">
        <v>73</v>
      </c>
      <c r="F11" s="77" t="s">
        <v>26</v>
      </c>
      <c r="G11" s="64">
        <v>26</v>
      </c>
      <c r="H11" s="47">
        <f t="shared" si="0"/>
        <v>0.14606741573033707</v>
      </c>
      <c r="I11" s="117">
        <v>7</v>
      </c>
      <c r="K11" s="46">
        <v>9</v>
      </c>
      <c r="L11" s="123">
        <v>24.4</v>
      </c>
      <c r="N11" s="46" t="s">
        <v>136</v>
      </c>
      <c r="O11" s="125">
        <f t="shared" si="3"/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7.5630252100840331E-2</v>
      </c>
      <c r="E12" s="81" t="s">
        <v>91</v>
      </c>
      <c r="F12" s="77" t="s">
        <v>44</v>
      </c>
      <c r="G12" s="64">
        <v>17</v>
      </c>
      <c r="H12" s="47">
        <f t="shared" si="0"/>
        <v>9.5505617977528087E-2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 t="shared" si="3"/>
        <v>6.842105263157892</v>
      </c>
      <c r="P12" s="131">
        <v>259.99999999999989</v>
      </c>
      <c r="Q12" s="55">
        <v>38</v>
      </c>
    </row>
    <row r="13" spans="1:17" x14ac:dyDescent="0.4">
      <c r="A13" s="75" t="s">
        <v>128</v>
      </c>
      <c r="B13" s="67">
        <v>197</v>
      </c>
      <c r="C13" s="54">
        <f>IF(B$26=0,0,B13/B$26)</f>
        <v>0.29624060150375942</v>
      </c>
      <c r="E13" s="81" t="s">
        <v>88</v>
      </c>
      <c r="F13" s="77" t="s">
        <v>41</v>
      </c>
      <c r="G13" s="64">
        <v>15</v>
      </c>
      <c r="H13" s="47">
        <f t="shared" si="0"/>
        <v>8.4269662921348312E-2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 t="shared" si="3"/>
        <v>0.55714285714285672</v>
      </c>
      <c r="P13" s="131">
        <v>3.8999999999999968</v>
      </c>
      <c r="Q13" s="55">
        <v>7</v>
      </c>
    </row>
    <row r="14" spans="1:17" x14ac:dyDescent="0.4">
      <c r="A14" s="72" t="s">
        <v>123</v>
      </c>
      <c r="B14" s="64">
        <v>113</v>
      </c>
      <c r="C14" s="47">
        <f>IF(B$26=0,0,B14/B$26)</f>
        <v>0.1699248120300752</v>
      </c>
      <c r="E14" s="81" t="s">
        <v>86</v>
      </c>
      <c r="F14" s="77" t="s">
        <v>39</v>
      </c>
      <c r="G14" s="64">
        <v>8</v>
      </c>
      <c r="H14" s="47">
        <f t="shared" si="0"/>
        <v>4.49438202247191E-2</v>
      </c>
      <c r="I14" s="117">
        <v>3</v>
      </c>
      <c r="K14" s="46">
        <v>12</v>
      </c>
      <c r="L14" s="123">
        <v>-12.000000000000002</v>
      </c>
      <c r="N14" s="46" t="s">
        <v>133</v>
      </c>
      <c r="O14" s="125">
        <f t="shared" si="3"/>
        <v>-7.8215686274509757</v>
      </c>
      <c r="P14" s="131">
        <v>-797.7999999999995</v>
      </c>
      <c r="Q14" s="55">
        <v>102</v>
      </c>
    </row>
    <row r="15" spans="1:17" x14ac:dyDescent="0.4">
      <c r="A15" s="71" t="s">
        <v>130</v>
      </c>
      <c r="B15" s="63">
        <v>113</v>
      </c>
      <c r="C15" s="45">
        <f>IF(B$13=0,0,B15/B$13)</f>
        <v>0.57360406091370564</v>
      </c>
      <c r="E15" s="81" t="s">
        <v>96</v>
      </c>
      <c r="F15" s="77" t="s">
        <v>49</v>
      </c>
      <c r="G15" s="64">
        <v>7</v>
      </c>
      <c r="H15" s="47">
        <f t="shared" si="0"/>
        <v>3.9325842696629212E-2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 t="shared" si="3"/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43</v>
      </c>
      <c r="C16" s="45">
        <f>IF(B$14=0,0,B16/B$14)</f>
        <v>0.38053097345132741</v>
      </c>
      <c r="E16" s="81" t="s">
        <v>75</v>
      </c>
      <c r="F16" s="77" t="s">
        <v>28</v>
      </c>
      <c r="G16" s="64">
        <v>5</v>
      </c>
      <c r="H16" s="47">
        <f t="shared" si="0"/>
        <v>2.8089887640449437E-2</v>
      </c>
      <c r="I16" s="117">
        <v>9</v>
      </c>
      <c r="K16" s="46">
        <v>14</v>
      </c>
      <c r="L16" s="123">
        <v>33</v>
      </c>
      <c r="N16" s="46" t="s">
        <v>135</v>
      </c>
      <c r="O16" s="125">
        <f t="shared" si="3"/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239</v>
      </c>
      <c r="C17" s="45">
        <f>IF(B$3=0,0,B17/B$3)</f>
        <v>0.25809935205183587</v>
      </c>
      <c r="E17" s="81" t="s">
        <v>82</v>
      </c>
      <c r="F17" s="77" t="s">
        <v>35</v>
      </c>
      <c r="G17" s="64">
        <v>4</v>
      </c>
      <c r="H17" s="47">
        <f t="shared" si="0"/>
        <v>2.247191011235955E-2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 t="shared" si="3"/>
        <v>-17.238709677419351</v>
      </c>
      <c r="P17" s="131">
        <v>-534.39999999999986</v>
      </c>
      <c r="Q17" s="55">
        <v>31</v>
      </c>
    </row>
    <row r="18" spans="1:17" x14ac:dyDescent="0.4">
      <c r="A18" s="72" t="s">
        <v>12</v>
      </c>
      <c r="B18" s="64">
        <v>102</v>
      </c>
      <c r="C18" s="47">
        <f>IF(B$17=0,0,B18/B$17)</f>
        <v>0.42677824267782427</v>
      </c>
      <c r="E18" s="81" t="s">
        <v>83</v>
      </c>
      <c r="F18" s="77" t="s">
        <v>36</v>
      </c>
      <c r="G18" s="64">
        <v>2</v>
      </c>
      <c r="H18" s="47">
        <f t="shared" si="0"/>
        <v>1.1235955056179775E-2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 t="shared" si="3"/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137</v>
      </c>
      <c r="C19" s="47">
        <f>IF(B$17=0,0,B19/B$17)</f>
        <v>0.57322175732217573</v>
      </c>
      <c r="E19" s="81" t="s">
        <v>90</v>
      </c>
      <c r="F19" s="77" t="s">
        <v>43</v>
      </c>
      <c r="G19" s="64">
        <v>2</v>
      </c>
      <c r="H19" s="47">
        <f t="shared" si="0"/>
        <v>1.1235955056179775E-2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176</v>
      </c>
      <c r="C20" s="47">
        <f>IF(B$3=0,0,B20/B$3)</f>
        <v>0.19006479481641469</v>
      </c>
      <c r="E20" s="81" t="s">
        <v>97</v>
      </c>
      <c r="F20" s="77" t="s">
        <v>50</v>
      </c>
      <c r="G20" s="64">
        <v>2</v>
      </c>
      <c r="H20" s="47">
        <f t="shared" si="0"/>
        <v>1.1235955056179775E-2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11142.259414225942</v>
      </c>
      <c r="C21" s="49">
        <v>2663000</v>
      </c>
      <c r="E21" s="81" t="s">
        <v>85</v>
      </c>
      <c r="F21" s="77" t="s">
        <v>38</v>
      </c>
      <c r="G21" s="64">
        <v>1</v>
      </c>
      <c r="H21" s="47">
        <f t="shared" si="0"/>
        <v>5.6179775280898875E-3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-9556.25</v>
      </c>
      <c r="C22" s="62">
        <v>-1681900</v>
      </c>
      <c r="E22" s="81" t="s">
        <v>89</v>
      </c>
      <c r="F22" s="77" t="s">
        <v>42</v>
      </c>
      <c r="G22" s="64">
        <v>1</v>
      </c>
      <c r="H22" s="47">
        <f t="shared" si="0"/>
        <v>5.6179775280898875E-3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1</v>
      </c>
      <c r="H23" s="47">
        <f t="shared" si="0"/>
        <v>5.6179775280898875E-3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47">
        <v>97700</v>
      </c>
      <c r="C24" s="148"/>
      <c r="E24" s="81" t="s">
        <v>93</v>
      </c>
      <c r="F24" s="77" t="s">
        <v>46</v>
      </c>
      <c r="G24" s="64">
        <v>1</v>
      </c>
      <c r="H24" s="47">
        <f t="shared" si="0"/>
        <v>5.6179775280898875E-3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4.3196544276457886E-3</v>
      </c>
      <c r="E25" s="81" t="s">
        <v>77</v>
      </c>
      <c r="F25" s="77" t="s">
        <v>30</v>
      </c>
      <c r="G25" s="64">
        <v>0</v>
      </c>
      <c r="H25" s="47">
        <f t="shared" si="0"/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39">
        <v>665</v>
      </c>
      <c r="C26" s="140"/>
      <c r="E26" s="81" t="s">
        <v>78</v>
      </c>
      <c r="F26" s="77" t="s">
        <v>31</v>
      </c>
      <c r="G26" s="64">
        <v>0</v>
      </c>
      <c r="H26" s="47">
        <f t="shared" si="0"/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53">
        <v>178</v>
      </c>
      <c r="C27" s="154"/>
      <c r="E27" s="81" t="s">
        <v>79</v>
      </c>
      <c r="F27" s="77" t="s">
        <v>32</v>
      </c>
      <c r="G27" s="64">
        <v>0</v>
      </c>
      <c r="H27" s="47">
        <f t="shared" si="0"/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 t="shared" si="0"/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 t="shared" si="0"/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 t="shared" si="0"/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 t="shared" si="0"/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 t="shared" si="0"/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  <row r="119" spans="11:12" x14ac:dyDescent="0.4">
      <c r="K119" s="46">
        <v>117</v>
      </c>
      <c r="L119" s="123">
        <v>-374.39999999999992</v>
      </c>
    </row>
    <row r="120" spans="11:12" x14ac:dyDescent="0.4">
      <c r="K120" s="46">
        <v>118</v>
      </c>
      <c r="L120" s="123">
        <v>-374.2999999999999</v>
      </c>
    </row>
    <row r="121" spans="11:12" x14ac:dyDescent="0.4">
      <c r="K121" s="46">
        <v>119</v>
      </c>
      <c r="L121" s="123">
        <v>-394.7999999999999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57</v>
      </c>
      <c r="C2" s="140"/>
      <c r="E2" s="80" t="s">
        <v>69</v>
      </c>
      <c r="F2" s="76" t="s">
        <v>23</v>
      </c>
      <c r="G2" s="63">
        <v>52</v>
      </c>
      <c r="H2" s="45">
        <f t="shared" ref="H2:H33" si="0"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1">
        <v>410</v>
      </c>
      <c r="C3" s="142"/>
      <c r="E3" s="81" t="s">
        <v>71</v>
      </c>
      <c r="F3" s="77" t="s">
        <v>25</v>
      </c>
      <c r="G3" s="64">
        <v>51</v>
      </c>
      <c r="H3" s="47">
        <f t="shared" si="0"/>
        <v>0.89473684210526316</v>
      </c>
      <c r="I3" s="117">
        <v>4</v>
      </c>
      <c r="K3" s="46">
        <v>1</v>
      </c>
      <c r="L3" s="123">
        <v>-39.9</v>
      </c>
      <c r="N3" s="46" t="s">
        <v>148</v>
      </c>
      <c r="O3" s="127">
        <f t="shared" si="1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43">
        <v>257.3</v>
      </c>
      <c r="C4" s="144"/>
      <c r="E4" s="81" t="s">
        <v>76</v>
      </c>
      <c r="F4" s="77" t="s">
        <v>29</v>
      </c>
      <c r="G4" s="64">
        <v>36</v>
      </c>
      <c r="H4" s="47">
        <f t="shared" si="0"/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1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45">
        <f>IF(B$2=0,0,B$4/B$2)</f>
        <v>4.5140350877192983</v>
      </c>
      <c r="C5" s="146"/>
      <c r="E5" s="81" t="s">
        <v>67</v>
      </c>
      <c r="F5" s="77" t="s">
        <v>21</v>
      </c>
      <c r="G5" s="64">
        <v>24</v>
      </c>
      <c r="H5" s="47">
        <f t="shared" si="0"/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1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51">
        <f>IF(B$2=0,0,(B$7*1+B$8*2+B$9*3)/B$2)</f>
        <v>1.8771929824561404</v>
      </c>
      <c r="C6" s="152"/>
      <c r="E6" s="81" t="s">
        <v>72</v>
      </c>
      <c r="F6" s="77" t="s">
        <v>12</v>
      </c>
      <c r="G6" s="64">
        <v>18</v>
      </c>
      <c r="H6" s="47">
        <f t="shared" si="0"/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1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 t="shared" si="0"/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1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 t="shared" si="0"/>
        <v>0.10526315789473684</v>
      </c>
      <c r="I8" s="117">
        <v>9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2">IF(B$2=0,0,B9/B$2)</f>
        <v>0.22807017543859648</v>
      </c>
      <c r="E9" s="81" t="s">
        <v>88</v>
      </c>
      <c r="F9" s="77" t="s">
        <v>41</v>
      </c>
      <c r="G9" s="64">
        <v>6</v>
      </c>
      <c r="H9" s="47">
        <f t="shared" si="0"/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 t="shared" si="0"/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 t="shared" ref="O10:O18" si="3"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 t="shared" si="0"/>
        <v>7.0175438596491224E-2</v>
      </c>
      <c r="I11" s="117">
        <v>9</v>
      </c>
      <c r="K11" s="46">
        <v>9</v>
      </c>
      <c r="L11" s="123">
        <v>-77.900000000000006</v>
      </c>
      <c r="N11" s="46" t="s">
        <v>167</v>
      </c>
      <c r="O11" s="125">
        <f t="shared" si="3"/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 t="shared" si="0"/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 t="shared" si="3"/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 t="shared" si="0"/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 t="shared" si="3"/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 t="shared" si="0"/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 t="shared" si="3"/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 t="shared" si="0"/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 t="shared" si="3"/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 t="shared" si="0"/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 t="shared" si="3"/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 t="shared" si="0"/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 t="shared" si="3"/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 t="shared" si="0"/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 t="shared" si="3"/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 t="shared" si="0"/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 t="shared" si="0"/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 t="shared" si="0"/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 t="shared" si="0"/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49">
        <v>7</v>
      </c>
      <c r="C23" s="150"/>
      <c r="E23" s="81" t="s">
        <v>83</v>
      </c>
      <c r="F23" s="77" t="s">
        <v>36</v>
      </c>
      <c r="G23" s="64">
        <v>0</v>
      </c>
      <c r="H23" s="47">
        <f t="shared" si="0"/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47">
        <v>118000</v>
      </c>
      <c r="C24" s="148"/>
      <c r="E24" s="81" t="s">
        <v>84</v>
      </c>
      <c r="F24" s="77" t="s">
        <v>37</v>
      </c>
      <c r="G24" s="64">
        <v>0</v>
      </c>
      <c r="H24" s="47">
        <f t="shared" si="0"/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 t="shared" si="0"/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39">
        <v>172</v>
      </c>
      <c r="C26" s="140"/>
      <c r="E26" s="81" t="s">
        <v>87</v>
      </c>
      <c r="F26" s="77" t="s">
        <v>40</v>
      </c>
      <c r="G26" s="64">
        <v>0</v>
      </c>
      <c r="H26" s="47">
        <f t="shared" si="0"/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53">
        <v>57</v>
      </c>
      <c r="C27" s="154"/>
      <c r="E27" s="81" t="s">
        <v>89</v>
      </c>
      <c r="F27" s="77" t="s">
        <v>42</v>
      </c>
      <c r="G27" s="64">
        <v>0</v>
      </c>
      <c r="H27" s="47">
        <f t="shared" si="0"/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 t="shared" si="0"/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 t="shared" si="0"/>
        <v>0</v>
      </c>
      <c r="I32" s="117">
        <v>9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 t="shared" si="0"/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</v>
      </c>
      <c r="C2" s="140"/>
      <c r="E2" s="80" t="s">
        <v>67</v>
      </c>
      <c r="F2" s="76" t="s">
        <v>21</v>
      </c>
      <c r="G2" s="63">
        <v>6</v>
      </c>
      <c r="H2" s="45">
        <f t="shared" ref="H2:H33" si="0">IF(B$27=0,0,G2/B$27)</f>
        <v>0.66666666666666663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1">
        <v>37</v>
      </c>
      <c r="C3" s="142"/>
      <c r="E3" s="81" t="s">
        <v>71</v>
      </c>
      <c r="F3" s="77" t="s">
        <v>25</v>
      </c>
      <c r="G3" s="64">
        <v>6</v>
      </c>
      <c r="H3" s="47">
        <f t="shared" si="0"/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1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43">
        <v>-86.4</v>
      </c>
      <c r="C4" s="144"/>
      <c r="E4" s="81" t="s">
        <v>68</v>
      </c>
      <c r="F4" s="77" t="s">
        <v>22</v>
      </c>
      <c r="G4" s="64">
        <v>4</v>
      </c>
      <c r="H4" s="47">
        <f t="shared" si="0"/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1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45">
        <f>IF(B$2=0,0,B$4/B$2)</f>
        <v>-17.28</v>
      </c>
      <c r="C5" s="146"/>
      <c r="E5" s="81" t="s">
        <v>76</v>
      </c>
      <c r="F5" s="77" t="s">
        <v>29</v>
      </c>
      <c r="G5" s="64">
        <v>4</v>
      </c>
      <c r="H5" s="47">
        <f t="shared" si="0"/>
        <v>0.44444444444444442</v>
      </c>
      <c r="I5" s="117">
        <v>11</v>
      </c>
      <c r="K5" s="46">
        <v>3</v>
      </c>
      <c r="L5" s="123">
        <v>-88.9</v>
      </c>
      <c r="N5" s="46" t="s">
        <v>150</v>
      </c>
      <c r="O5" s="127">
        <f t="shared" si="1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51">
        <f>IF(B$2=0,0,(B$7*1+B$8*2+B$9*3)/B$2)</f>
        <v>2.2000000000000002</v>
      </c>
      <c r="C6" s="152"/>
      <c r="E6" s="81" t="s">
        <v>72</v>
      </c>
      <c r="F6" s="77" t="s">
        <v>12</v>
      </c>
      <c r="G6" s="64">
        <v>3</v>
      </c>
      <c r="H6" s="47">
        <f t="shared" si="0"/>
        <v>0.33333333333333331</v>
      </c>
      <c r="I6" s="117">
        <v>3</v>
      </c>
      <c r="K6" s="46">
        <v>4</v>
      </c>
      <c r="L6" s="123">
        <v>-109.2</v>
      </c>
      <c r="N6" s="46" t="s">
        <v>151</v>
      </c>
      <c r="O6" s="127">
        <f t="shared" si="1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 t="shared" si="0"/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1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 t="shared" si="0"/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2">IF(B$2=0,0,B9/B$2)</f>
        <v>0.4</v>
      </c>
      <c r="E9" s="81" t="s">
        <v>69</v>
      </c>
      <c r="F9" s="77" t="s">
        <v>23</v>
      </c>
      <c r="G9" s="64">
        <v>1</v>
      </c>
      <c r="H9" s="47">
        <f t="shared" si="0"/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 t="shared" si="0"/>
        <v>0.1111111111111111</v>
      </c>
      <c r="I10" s="117">
        <v>8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 t="shared" si="0"/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 t="shared" si="0"/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 t="shared" si="0"/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 t="shared" si="0"/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 t="shared" si="0"/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 t="shared" si="0"/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 t="shared" si="0"/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 t="shared" si="0"/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 t="shared" si="0"/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 t="shared" si="0"/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 t="shared" si="0"/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 t="shared" si="0"/>
        <v>0</v>
      </c>
      <c r="I22" s="117">
        <v>9</v>
      </c>
    </row>
    <row r="23" spans="1:9" x14ac:dyDescent="0.4">
      <c r="A23" s="112" t="s">
        <v>159</v>
      </c>
      <c r="B23" s="149">
        <v>3</v>
      </c>
      <c r="C23" s="150"/>
      <c r="E23" s="81" t="s">
        <v>87</v>
      </c>
      <c r="F23" s="77" t="s">
        <v>40</v>
      </c>
      <c r="G23" s="64">
        <v>0</v>
      </c>
      <c r="H23" s="47">
        <f t="shared" si="0"/>
        <v>0</v>
      </c>
      <c r="I23" s="117">
        <v>1</v>
      </c>
    </row>
    <row r="24" spans="1:9" x14ac:dyDescent="0.4">
      <c r="A24" s="75" t="s">
        <v>200</v>
      </c>
      <c r="B24" s="147">
        <v>57800</v>
      </c>
      <c r="C24" s="148"/>
      <c r="E24" s="81" t="s">
        <v>88</v>
      </c>
      <c r="F24" s="77" t="s">
        <v>41</v>
      </c>
      <c r="G24" s="64">
        <v>0</v>
      </c>
      <c r="H24" s="47">
        <f t="shared" si="0"/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 t="shared" si="0"/>
        <v>0</v>
      </c>
      <c r="I25" s="117">
        <v>5</v>
      </c>
    </row>
    <row r="26" spans="1:9" x14ac:dyDescent="0.4">
      <c r="A26" s="71" t="s">
        <v>126</v>
      </c>
      <c r="B26" s="139">
        <v>31</v>
      </c>
      <c r="C26" s="140"/>
      <c r="E26" s="81" t="s">
        <v>90</v>
      </c>
      <c r="F26" s="77" t="s">
        <v>43</v>
      </c>
      <c r="G26" s="64">
        <v>0</v>
      </c>
      <c r="H26" s="47">
        <f t="shared" si="0"/>
        <v>0</v>
      </c>
      <c r="I26" s="117">
        <v>6</v>
      </c>
    </row>
    <row r="27" spans="1:9" x14ac:dyDescent="0.4">
      <c r="A27" s="74" t="s">
        <v>127</v>
      </c>
      <c r="B27" s="153">
        <v>9</v>
      </c>
      <c r="C27" s="154"/>
      <c r="E27" s="81" t="s">
        <v>92</v>
      </c>
      <c r="F27" s="77" t="s">
        <v>45</v>
      </c>
      <c r="G27" s="64">
        <v>0</v>
      </c>
      <c r="H27" s="47">
        <f t="shared" si="0"/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 t="shared" si="0"/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 t="shared" si="0"/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3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136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56</v>
      </c>
      <c r="C2" s="140"/>
      <c r="E2" s="80" t="s">
        <v>71</v>
      </c>
      <c r="F2" s="76" t="s">
        <v>25</v>
      </c>
      <c r="G2" s="63">
        <v>57</v>
      </c>
      <c r="H2" s="45">
        <f t="shared" ref="H2:H33" si="0">IF(B$27=0,0,G2/B$27)</f>
        <v>0.93442622950819676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-2546.4285714285716</v>
      </c>
      <c r="P2" s="59">
        <v>-142600</v>
      </c>
      <c r="Q2" s="57">
        <v>56</v>
      </c>
    </row>
    <row r="3" spans="1:17" x14ac:dyDescent="0.4">
      <c r="A3" s="72" t="s">
        <v>8</v>
      </c>
      <c r="B3" s="141">
        <v>437</v>
      </c>
      <c r="C3" s="142"/>
      <c r="E3" s="81" t="s">
        <v>69</v>
      </c>
      <c r="F3" s="77" t="s">
        <v>23</v>
      </c>
      <c r="G3" s="64">
        <v>40</v>
      </c>
      <c r="H3" s="47">
        <f t="shared" si="0"/>
        <v>0.65573770491803274</v>
      </c>
      <c r="I3" s="117">
        <v>8</v>
      </c>
      <c r="K3" s="46">
        <v>1</v>
      </c>
      <c r="L3" s="123">
        <v>68.2</v>
      </c>
      <c r="N3" s="46" t="s">
        <v>148</v>
      </c>
      <c r="O3" s="127">
        <f t="shared" si="1"/>
        <v>-3626.4150943396226</v>
      </c>
      <c r="P3" s="60">
        <v>-192200</v>
      </c>
      <c r="Q3" s="55">
        <v>53</v>
      </c>
    </row>
    <row r="4" spans="1:17" x14ac:dyDescent="0.4">
      <c r="A4" s="72" t="s">
        <v>6</v>
      </c>
      <c r="B4" s="143">
        <v>-502.59999999999991</v>
      </c>
      <c r="C4" s="144"/>
      <c r="E4" s="81" t="s">
        <v>76</v>
      </c>
      <c r="F4" s="77" t="s">
        <v>29</v>
      </c>
      <c r="G4" s="64">
        <v>40</v>
      </c>
      <c r="H4" s="47">
        <f t="shared" si="0"/>
        <v>0.65573770491803274</v>
      </c>
      <c r="I4" s="117">
        <v>2</v>
      </c>
      <c r="K4" s="46">
        <v>2</v>
      </c>
      <c r="L4" s="123">
        <v>58.5</v>
      </c>
      <c r="N4" s="46" t="s">
        <v>149</v>
      </c>
      <c r="O4" s="127">
        <f t="shared" si="1"/>
        <v>-1508.695652173913</v>
      </c>
      <c r="P4" s="60">
        <v>-69400</v>
      </c>
      <c r="Q4" s="55">
        <v>46</v>
      </c>
    </row>
    <row r="5" spans="1:17" x14ac:dyDescent="0.4">
      <c r="A5" s="72" t="s">
        <v>7</v>
      </c>
      <c r="B5" s="145">
        <f>IF(B$2=0,0,B$4/B$2)</f>
        <v>-8.9749999999999979</v>
      </c>
      <c r="C5" s="146"/>
      <c r="E5" s="81" t="s">
        <v>67</v>
      </c>
      <c r="F5" s="77" t="s">
        <v>21</v>
      </c>
      <c r="G5" s="64">
        <v>26</v>
      </c>
      <c r="H5" s="47">
        <f t="shared" si="0"/>
        <v>0.42622950819672129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1"/>
        <v>795.4545454545455</v>
      </c>
      <c r="P5" s="60">
        <v>35000</v>
      </c>
      <c r="Q5" s="55">
        <v>44</v>
      </c>
    </row>
    <row r="6" spans="1:17" x14ac:dyDescent="0.4">
      <c r="A6" s="72" t="s">
        <v>1</v>
      </c>
      <c r="B6" s="151">
        <f>IF(B$2=0,0,(B$7*1+B$8*2+B$9*3)/B$2)</f>
        <v>2.2678571428571428</v>
      </c>
      <c r="C6" s="152"/>
      <c r="E6" s="81" t="s">
        <v>72</v>
      </c>
      <c r="F6" s="77" t="s">
        <v>12</v>
      </c>
      <c r="G6" s="64">
        <v>16</v>
      </c>
      <c r="H6" s="47">
        <f t="shared" si="0"/>
        <v>0.26229508196721313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1"/>
        <v>-2982.3529411764707</v>
      </c>
      <c r="P6" s="60">
        <v>-101400</v>
      </c>
      <c r="Q6" s="55">
        <v>34</v>
      </c>
    </row>
    <row r="7" spans="1:17" x14ac:dyDescent="0.4">
      <c r="A7" s="72" t="s">
        <v>2</v>
      </c>
      <c r="B7" s="64">
        <v>10</v>
      </c>
      <c r="C7" s="47">
        <f>IF(B$2=0,0,B7/B$2)</f>
        <v>0.17857142857142858</v>
      </c>
      <c r="E7" s="81" t="s">
        <v>68</v>
      </c>
      <c r="F7" s="77" t="s">
        <v>22</v>
      </c>
      <c r="G7" s="64">
        <v>8</v>
      </c>
      <c r="H7" s="47">
        <f t="shared" si="0"/>
        <v>0.13114754098360656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1"/>
        <v>-1185.1851851851852</v>
      </c>
      <c r="P7" s="61">
        <v>-32000</v>
      </c>
      <c r="Q7" s="56">
        <v>27</v>
      </c>
    </row>
    <row r="8" spans="1:17" x14ac:dyDescent="0.4">
      <c r="A8" s="72" t="s">
        <v>3</v>
      </c>
      <c r="B8" s="64">
        <v>21</v>
      </c>
      <c r="C8" s="47">
        <f>IF(B$2=0,0,B8/B$2)</f>
        <v>0.375</v>
      </c>
      <c r="E8" s="81" t="s">
        <v>70</v>
      </c>
      <c r="F8" s="77" t="s">
        <v>24</v>
      </c>
      <c r="G8" s="64">
        <v>6</v>
      </c>
      <c r="H8" s="47">
        <f t="shared" si="0"/>
        <v>9.8360655737704916E-2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2">IF(B$2=0,0,B9/B$2)</f>
        <v>0.44642857142857145</v>
      </c>
      <c r="E9" s="81" t="s">
        <v>73</v>
      </c>
      <c r="F9" s="77" t="s">
        <v>26</v>
      </c>
      <c r="G9" s="64">
        <v>5</v>
      </c>
      <c r="H9" s="47">
        <f t="shared" si="0"/>
        <v>8.1967213114754092E-2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12</v>
      </c>
      <c r="C10" s="48">
        <f>IF(B$2=0,0,B10/B$2)</f>
        <v>0.21428571428571427</v>
      </c>
      <c r="E10" s="81" t="s">
        <v>94</v>
      </c>
      <c r="F10" s="77" t="s">
        <v>47</v>
      </c>
      <c r="G10" s="64">
        <v>4</v>
      </c>
      <c r="H10" s="47">
        <f t="shared" si="0"/>
        <v>6.5573770491803282E-2</v>
      </c>
      <c r="I10" s="117">
        <v>10</v>
      </c>
      <c r="K10" s="46">
        <v>8</v>
      </c>
      <c r="L10" s="123">
        <v>96.5</v>
      </c>
      <c r="N10" s="44" t="s">
        <v>158</v>
      </c>
      <c r="O10" s="124">
        <f t="shared" ref="O10:O16" si="3"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0.125</v>
      </c>
      <c r="E11" s="81" t="s">
        <v>74</v>
      </c>
      <c r="F11" s="77" t="s">
        <v>27</v>
      </c>
      <c r="G11" s="64">
        <v>3</v>
      </c>
      <c r="H11" s="47">
        <f t="shared" si="0"/>
        <v>4.9180327868852458E-2</v>
      </c>
      <c r="I11" s="117">
        <v>10</v>
      </c>
      <c r="K11" s="46">
        <v>9</v>
      </c>
      <c r="L11" s="123">
        <v>82.8</v>
      </c>
      <c r="N11" s="46" t="s">
        <v>139</v>
      </c>
      <c r="O11" s="125">
        <f t="shared" si="3"/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5.3571428571428568E-2</v>
      </c>
      <c r="E12" s="81" t="s">
        <v>75</v>
      </c>
      <c r="F12" s="77" t="s">
        <v>28</v>
      </c>
      <c r="G12" s="64">
        <v>3</v>
      </c>
      <c r="H12" s="47">
        <f t="shared" si="0"/>
        <v>4.9180327868852458E-2</v>
      </c>
      <c r="I12" s="117">
        <v>5</v>
      </c>
      <c r="K12" s="46">
        <v>10</v>
      </c>
      <c r="L12" s="123">
        <v>110.5</v>
      </c>
      <c r="N12" s="46" t="s">
        <v>137</v>
      </c>
      <c r="O12" s="125">
        <f t="shared" si="3"/>
        <v>3.4124999999999983</v>
      </c>
      <c r="P12" s="131">
        <v>81.899999999999963</v>
      </c>
      <c r="Q12" s="55">
        <v>24</v>
      </c>
    </row>
    <row r="13" spans="1:17" x14ac:dyDescent="0.4">
      <c r="A13" s="75" t="s">
        <v>128</v>
      </c>
      <c r="B13" s="67">
        <v>62</v>
      </c>
      <c r="C13" s="54">
        <f>IF(B$26=0,0,B13/B$26)</f>
        <v>0.24124513618677043</v>
      </c>
      <c r="E13" s="81" t="s">
        <v>82</v>
      </c>
      <c r="F13" s="77" t="s">
        <v>35</v>
      </c>
      <c r="G13" s="64">
        <v>3</v>
      </c>
      <c r="H13" s="47">
        <f t="shared" si="0"/>
        <v>4.9180327868852458E-2</v>
      </c>
      <c r="I13" s="117">
        <v>2</v>
      </c>
      <c r="K13" s="46">
        <v>11</v>
      </c>
      <c r="L13" s="123">
        <v>71.599999999999994</v>
      </c>
      <c r="N13" s="46" t="s">
        <v>135</v>
      </c>
      <c r="O13" s="125">
        <f t="shared" si="3"/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68</v>
      </c>
      <c r="C14" s="47">
        <f>IF(B$26=0,0,B14/B$26)</f>
        <v>0.26459143968871596</v>
      </c>
      <c r="E14" s="81" t="s">
        <v>91</v>
      </c>
      <c r="F14" s="77" t="s">
        <v>44</v>
      </c>
      <c r="G14" s="64">
        <v>3</v>
      </c>
      <c r="H14" s="47">
        <f t="shared" si="0"/>
        <v>4.9180327868852458E-2</v>
      </c>
      <c r="I14" s="117">
        <v>9</v>
      </c>
      <c r="K14" s="46">
        <v>12</v>
      </c>
      <c r="L14" s="123">
        <v>33.599999999999994</v>
      </c>
      <c r="N14" s="46" t="s">
        <v>133</v>
      </c>
      <c r="O14" s="125">
        <f t="shared" si="3"/>
        <v>-17.125000000000004</v>
      </c>
      <c r="P14" s="131">
        <v>-822.00000000000011</v>
      </c>
      <c r="Q14" s="55">
        <v>48</v>
      </c>
    </row>
    <row r="15" spans="1:17" x14ac:dyDescent="0.4">
      <c r="A15" s="71" t="s">
        <v>130</v>
      </c>
      <c r="B15" s="63">
        <v>27</v>
      </c>
      <c r="C15" s="45">
        <f>IF(B$13=0,0,B15/B$13)</f>
        <v>0.43548387096774194</v>
      </c>
      <c r="E15" s="81" t="s">
        <v>83</v>
      </c>
      <c r="F15" s="77" t="s">
        <v>36</v>
      </c>
      <c r="G15" s="64">
        <v>2</v>
      </c>
      <c r="H15" s="47">
        <f t="shared" si="0"/>
        <v>3.2786885245901641E-2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 t="shared" si="3"/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25</v>
      </c>
      <c r="C16" s="45">
        <f>IF(B$14=0,0,B16/B$14)</f>
        <v>0.36764705882352944</v>
      </c>
      <c r="E16" s="81" t="s">
        <v>79</v>
      </c>
      <c r="F16" s="77" t="s">
        <v>32</v>
      </c>
      <c r="G16" s="64">
        <v>1</v>
      </c>
      <c r="H16" s="47">
        <f t="shared" si="0"/>
        <v>1.6393442622950821E-2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 t="shared" si="3"/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112</v>
      </c>
      <c r="C17" s="45">
        <f>IF(B$3=0,0,B17/B$3)</f>
        <v>0.25629290617848971</v>
      </c>
      <c r="E17" s="81" t="s">
        <v>86</v>
      </c>
      <c r="F17" s="77" t="s">
        <v>39</v>
      </c>
      <c r="G17" s="64">
        <v>1</v>
      </c>
      <c r="H17" s="47">
        <f t="shared" si="0"/>
        <v>1.6393442622950821E-2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51</v>
      </c>
      <c r="C18" s="47">
        <f>IF(B$17=0,0,B18/B$17)</f>
        <v>0.45535714285714285</v>
      </c>
      <c r="E18" s="81" t="s">
        <v>88</v>
      </c>
      <c r="F18" s="77" t="s">
        <v>41</v>
      </c>
      <c r="G18" s="64">
        <v>1</v>
      </c>
      <c r="H18" s="47">
        <f t="shared" si="0"/>
        <v>1.6393442622950821E-2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61</v>
      </c>
      <c r="C19" s="47">
        <f>IF(B$17=0,0,B19/B$17)</f>
        <v>0.5446428571428571</v>
      </c>
      <c r="E19" s="81" t="s">
        <v>77</v>
      </c>
      <c r="F19" s="77" t="s">
        <v>30</v>
      </c>
      <c r="G19" s="64">
        <v>0</v>
      </c>
      <c r="H19" s="47">
        <f t="shared" si="0"/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86</v>
      </c>
      <c r="C20" s="47">
        <f>IF(B$3=0,0,B20/B$3)</f>
        <v>0.19679633867276888</v>
      </c>
      <c r="E20" s="81" t="s">
        <v>78</v>
      </c>
      <c r="F20" s="77" t="s">
        <v>31</v>
      </c>
      <c r="G20" s="64">
        <v>0</v>
      </c>
      <c r="H20" s="47">
        <f t="shared" si="0"/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9053.5714285714294</v>
      </c>
      <c r="C21" s="49">
        <v>1014000</v>
      </c>
      <c r="E21" s="81" t="s">
        <v>80</v>
      </c>
      <c r="F21" s="77" t="s">
        <v>33</v>
      </c>
      <c r="G21" s="64">
        <v>0</v>
      </c>
      <c r="H21" s="47">
        <f t="shared" si="0"/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-9515.1162790697672</v>
      </c>
      <c r="C22" s="62">
        <v>-818300</v>
      </c>
      <c r="E22" s="81" t="s">
        <v>81</v>
      </c>
      <c r="F22" s="77" t="s">
        <v>34</v>
      </c>
      <c r="G22" s="64">
        <v>0</v>
      </c>
      <c r="H22" s="47">
        <f t="shared" si="0"/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49">
        <v>5</v>
      </c>
      <c r="C23" s="150"/>
      <c r="E23" s="81" t="s">
        <v>84</v>
      </c>
      <c r="F23" s="77" t="s">
        <v>37</v>
      </c>
      <c r="G23" s="64">
        <v>0</v>
      </c>
      <c r="H23" s="47">
        <f t="shared" si="0"/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47">
        <v>103200</v>
      </c>
      <c r="C24" s="148"/>
      <c r="E24" s="81" t="s">
        <v>85</v>
      </c>
      <c r="F24" s="77" t="s">
        <v>38</v>
      </c>
      <c r="G24" s="64">
        <v>0</v>
      </c>
      <c r="H24" s="47">
        <f t="shared" si="0"/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4.5766590389016018E-3</v>
      </c>
      <c r="E25" s="81" t="s">
        <v>87</v>
      </c>
      <c r="F25" s="77" t="s">
        <v>40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39">
        <v>257</v>
      </c>
      <c r="C26" s="140"/>
      <c r="E26" s="81" t="s">
        <v>89</v>
      </c>
      <c r="F26" s="77" t="s">
        <v>42</v>
      </c>
      <c r="G26" s="64">
        <v>0</v>
      </c>
      <c r="H26" s="47">
        <f t="shared" si="0"/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53">
        <v>61</v>
      </c>
      <c r="C27" s="154"/>
      <c r="E27" s="81" t="s">
        <v>90</v>
      </c>
      <c r="F27" s="77" t="s">
        <v>43</v>
      </c>
      <c r="G27" s="64">
        <v>0</v>
      </c>
      <c r="H27" s="47">
        <f t="shared" si="0"/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 t="shared" si="0"/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 t="shared" si="0"/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9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9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95</v>
      </c>
      <c r="C2" s="140"/>
      <c r="E2" s="80" t="s">
        <v>71</v>
      </c>
      <c r="F2" s="76" t="s">
        <v>25</v>
      </c>
      <c r="G2" s="63">
        <v>158</v>
      </c>
      <c r="H2" s="45">
        <f t="shared" ref="H2:H33" si="0">IF(B$27=0,0,G2/B$27)</f>
        <v>0.84946236559139787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1">IF(Q2=0,0,P2/Q2)</f>
        <v>2611.8279569892475</v>
      </c>
      <c r="P2" s="59">
        <v>242900</v>
      </c>
      <c r="Q2" s="57">
        <v>93</v>
      </c>
    </row>
    <row r="3" spans="1:17" x14ac:dyDescent="0.4">
      <c r="A3" s="72" t="s">
        <v>8</v>
      </c>
      <c r="B3" s="141">
        <v>721</v>
      </c>
      <c r="C3" s="142"/>
      <c r="E3" s="81" t="s">
        <v>69</v>
      </c>
      <c r="F3" s="77" t="s">
        <v>23</v>
      </c>
      <c r="G3" s="64">
        <v>146</v>
      </c>
      <c r="H3" s="47">
        <f t="shared" si="0"/>
        <v>0.78494623655913975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1"/>
        <v>678.40909090909088</v>
      </c>
      <c r="P3" s="60">
        <v>59700</v>
      </c>
      <c r="Q3" s="55">
        <v>88</v>
      </c>
    </row>
    <row r="4" spans="1:17" x14ac:dyDescent="0.4">
      <c r="A4" s="72" t="s">
        <v>6</v>
      </c>
      <c r="B4" s="143">
        <v>222.49999999999989</v>
      </c>
      <c r="C4" s="144"/>
      <c r="E4" s="81" t="s">
        <v>67</v>
      </c>
      <c r="F4" s="77" t="s">
        <v>21</v>
      </c>
      <c r="G4" s="64">
        <v>107</v>
      </c>
      <c r="H4" s="47">
        <f t="shared" si="0"/>
        <v>0.57526881720430112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1"/>
        <v>-256.79012345679013</v>
      </c>
      <c r="P4" s="60">
        <v>-20800</v>
      </c>
      <c r="Q4" s="55">
        <v>81</v>
      </c>
    </row>
    <row r="5" spans="1:17" x14ac:dyDescent="0.4">
      <c r="A5" s="72" t="s">
        <v>7</v>
      </c>
      <c r="B5" s="145">
        <f>IF(B$2=0,0,B$4/B$2)</f>
        <v>2.3421052631578934</v>
      </c>
      <c r="C5" s="146"/>
      <c r="E5" s="81" t="s">
        <v>76</v>
      </c>
      <c r="F5" s="77" t="s">
        <v>29</v>
      </c>
      <c r="G5" s="64">
        <v>103</v>
      </c>
      <c r="H5" s="47">
        <f t="shared" si="0"/>
        <v>0.55376344086021501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1"/>
        <v>-1565.7894736842106</v>
      </c>
      <c r="P5" s="60">
        <v>-119000</v>
      </c>
      <c r="Q5" s="55">
        <v>76</v>
      </c>
    </row>
    <row r="6" spans="1:17" x14ac:dyDescent="0.4">
      <c r="A6" s="72" t="s">
        <v>1</v>
      </c>
      <c r="B6" s="151">
        <f>IF(B$2=0,0,(B$7*1+B$8*2+B$9*3)/B$2)</f>
        <v>1.9263157894736842</v>
      </c>
      <c r="C6" s="152"/>
      <c r="E6" s="81" t="s">
        <v>70</v>
      </c>
      <c r="F6" s="77" t="s">
        <v>24</v>
      </c>
      <c r="G6" s="64">
        <v>70</v>
      </c>
      <c r="H6" s="47">
        <f t="shared" si="0"/>
        <v>0.37634408602150538</v>
      </c>
      <c r="I6" s="117">
        <v>3</v>
      </c>
      <c r="K6" s="46">
        <v>4</v>
      </c>
      <c r="L6" s="123">
        <v>-114.30000000000001</v>
      </c>
      <c r="N6" s="46" t="s">
        <v>151</v>
      </c>
      <c r="O6" s="127">
        <f t="shared" si="1"/>
        <v>-85.9375</v>
      </c>
      <c r="P6" s="60">
        <v>-5500</v>
      </c>
      <c r="Q6" s="55">
        <v>64</v>
      </c>
    </row>
    <row r="7" spans="1:17" x14ac:dyDescent="0.4">
      <c r="A7" s="72" t="s">
        <v>2</v>
      </c>
      <c r="B7" s="64">
        <v>37</v>
      </c>
      <c r="C7" s="47">
        <f>IF(B$2=0,0,B7/B$2)</f>
        <v>0.38947368421052631</v>
      </c>
      <c r="E7" s="81" t="s">
        <v>72</v>
      </c>
      <c r="F7" s="77" t="s">
        <v>12</v>
      </c>
      <c r="G7" s="64">
        <v>62</v>
      </c>
      <c r="H7" s="47">
        <f t="shared" si="0"/>
        <v>0.33333333333333331</v>
      </c>
      <c r="I7" s="117">
        <v>3</v>
      </c>
      <c r="K7" s="46">
        <v>5</v>
      </c>
      <c r="L7" s="123">
        <v>-136.30000000000001</v>
      </c>
      <c r="N7" s="50" t="s">
        <v>152</v>
      </c>
      <c r="O7" s="128">
        <f t="shared" si="1"/>
        <v>445.45454545454544</v>
      </c>
      <c r="P7" s="61">
        <v>24500</v>
      </c>
      <c r="Q7" s="56">
        <v>55</v>
      </c>
    </row>
    <row r="8" spans="1:17" x14ac:dyDescent="0.4">
      <c r="A8" s="72" t="s">
        <v>3</v>
      </c>
      <c r="B8" s="64">
        <v>28</v>
      </c>
      <c r="C8" s="47">
        <f>IF(B$2=0,0,B8/B$2)</f>
        <v>0.29473684210526313</v>
      </c>
      <c r="E8" s="81" t="s">
        <v>73</v>
      </c>
      <c r="F8" s="77" t="s">
        <v>26</v>
      </c>
      <c r="G8" s="64">
        <v>38</v>
      </c>
      <c r="H8" s="47">
        <f t="shared" si="0"/>
        <v>0.20430107526881722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30</v>
      </c>
      <c r="C9" s="48">
        <f t="shared" ref="C9" si="2">IF(B$2=0,0,B9/B$2)</f>
        <v>0.31578947368421051</v>
      </c>
      <c r="E9" s="81" t="s">
        <v>94</v>
      </c>
      <c r="F9" s="77" t="s">
        <v>47</v>
      </c>
      <c r="G9" s="64">
        <v>31</v>
      </c>
      <c r="H9" s="47">
        <f t="shared" si="0"/>
        <v>0.16666666666666666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0.11578947368421053</v>
      </c>
      <c r="E10" s="81" t="s">
        <v>68</v>
      </c>
      <c r="F10" s="77" t="s">
        <v>22</v>
      </c>
      <c r="G10" s="64">
        <v>24</v>
      </c>
      <c r="H10" s="47">
        <f t="shared" si="0"/>
        <v>0.12903225806451613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 t="shared" ref="O10:O17" si="3">IF(Q10=0,0,P10/Q10)</f>
        <v>17.238709677419351</v>
      </c>
      <c r="P10" s="130">
        <v>534.39999999999986</v>
      </c>
      <c r="Q10" s="57">
        <v>31</v>
      </c>
    </row>
    <row r="11" spans="1:17" x14ac:dyDescent="0.4">
      <c r="A11" s="73" t="s">
        <v>155</v>
      </c>
      <c r="B11" s="65">
        <v>17</v>
      </c>
      <c r="C11" s="48">
        <f>IF(B$2=0,0,B11/B$2)</f>
        <v>0.17894736842105263</v>
      </c>
      <c r="E11" s="81" t="s">
        <v>74</v>
      </c>
      <c r="F11" s="77" t="s">
        <v>27</v>
      </c>
      <c r="G11" s="64">
        <v>14</v>
      </c>
      <c r="H11" s="47">
        <f t="shared" si="0"/>
        <v>7.5268817204301078E-2</v>
      </c>
      <c r="I11" s="117">
        <v>8</v>
      </c>
      <c r="K11" s="46">
        <v>9</v>
      </c>
      <c r="L11" s="123">
        <v>-53.500000000000021</v>
      </c>
      <c r="N11" s="46" t="s">
        <v>158</v>
      </c>
      <c r="O11" s="125">
        <f t="shared" si="3"/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0.11578947368421053</v>
      </c>
      <c r="E12" s="81" t="s">
        <v>75</v>
      </c>
      <c r="F12" s="77" t="s">
        <v>28</v>
      </c>
      <c r="G12" s="64">
        <v>12</v>
      </c>
      <c r="H12" s="47">
        <f t="shared" si="0"/>
        <v>6.4516129032258063E-2</v>
      </c>
      <c r="I12" s="117">
        <v>2</v>
      </c>
      <c r="K12" s="46">
        <v>10</v>
      </c>
      <c r="L12" s="123">
        <v>-72.800000000000026</v>
      </c>
      <c r="N12" s="46" t="s">
        <v>139</v>
      </c>
      <c r="O12" s="125">
        <f t="shared" si="3"/>
        <v>11.369444444444442</v>
      </c>
      <c r="P12" s="131">
        <v>409.2999999999999</v>
      </c>
      <c r="Q12" s="55">
        <v>36</v>
      </c>
    </row>
    <row r="13" spans="1:17" x14ac:dyDescent="0.4">
      <c r="A13" s="75" t="s">
        <v>128</v>
      </c>
      <c r="B13" s="67">
        <v>189</v>
      </c>
      <c r="C13" s="54">
        <f>IF(B$26=0,0,B13/B$26)</f>
        <v>0.31764705882352939</v>
      </c>
      <c r="E13" s="81" t="s">
        <v>82</v>
      </c>
      <c r="F13" s="77" t="s">
        <v>35</v>
      </c>
      <c r="G13" s="64">
        <v>11</v>
      </c>
      <c r="H13" s="47">
        <f t="shared" si="0"/>
        <v>5.9139784946236562E-2</v>
      </c>
      <c r="I13" s="117">
        <v>1</v>
      </c>
      <c r="K13" s="46">
        <v>11</v>
      </c>
      <c r="L13" s="123">
        <v>-69.800000000000026</v>
      </c>
      <c r="N13" s="46" t="s">
        <v>138</v>
      </c>
      <c r="O13" s="125">
        <f t="shared" si="3"/>
        <v>0.43333333333333357</v>
      </c>
      <c r="P13" s="131">
        <v>1.3000000000000007</v>
      </c>
      <c r="Q13" s="55">
        <v>3</v>
      </c>
    </row>
    <row r="14" spans="1:17" x14ac:dyDescent="0.4">
      <c r="A14" s="72" t="s">
        <v>123</v>
      </c>
      <c r="B14" s="64">
        <v>132</v>
      </c>
      <c r="C14" s="47">
        <f>IF(B$26=0,0,B14/B$26)</f>
        <v>0.22184873949579831</v>
      </c>
      <c r="E14" s="81" t="s">
        <v>91</v>
      </c>
      <c r="F14" s="77" t="s">
        <v>44</v>
      </c>
      <c r="G14" s="64">
        <v>7</v>
      </c>
      <c r="H14" s="47">
        <f t="shared" si="0"/>
        <v>3.7634408602150539E-2</v>
      </c>
      <c r="I14" s="117">
        <v>10</v>
      </c>
      <c r="K14" s="46">
        <v>12</v>
      </c>
      <c r="L14" s="123">
        <v>-54.300000000000026</v>
      </c>
      <c r="N14" s="46" t="s">
        <v>133</v>
      </c>
      <c r="O14" s="125">
        <f t="shared" si="3"/>
        <v>-2.1862500000000002</v>
      </c>
      <c r="P14" s="131">
        <v>-174.9</v>
      </c>
      <c r="Q14" s="55">
        <v>80</v>
      </c>
    </row>
    <row r="15" spans="1:17" x14ac:dyDescent="0.4">
      <c r="A15" s="71" t="s">
        <v>130</v>
      </c>
      <c r="B15" s="63">
        <v>109</v>
      </c>
      <c r="C15" s="45">
        <f>IF(B$13=0,0,B15/B$13)</f>
        <v>0.57671957671957674</v>
      </c>
      <c r="E15" s="81" t="s">
        <v>86</v>
      </c>
      <c r="F15" s="77" t="s">
        <v>39</v>
      </c>
      <c r="G15" s="64">
        <v>6</v>
      </c>
      <c r="H15" s="47">
        <f t="shared" si="0"/>
        <v>3.2258064516129031E-2</v>
      </c>
      <c r="I15" s="117">
        <v>4</v>
      </c>
      <c r="K15" s="46">
        <v>13</v>
      </c>
      <c r="L15" s="123">
        <v>-43.200000000000024</v>
      </c>
      <c r="N15" s="46" t="s">
        <v>136</v>
      </c>
      <c r="O15" s="125">
        <f t="shared" si="3"/>
        <v>-3.4125000000000019</v>
      </c>
      <c r="P15" s="131">
        <v>-81.900000000000048</v>
      </c>
      <c r="Q15" s="55">
        <v>24</v>
      </c>
    </row>
    <row r="16" spans="1:17" x14ac:dyDescent="0.4">
      <c r="A16" s="71" t="s">
        <v>131</v>
      </c>
      <c r="B16" s="63">
        <v>52</v>
      </c>
      <c r="C16" s="45">
        <f>IF(B$14=0,0,B16/B$14)</f>
        <v>0.39393939393939392</v>
      </c>
      <c r="E16" s="81" t="s">
        <v>88</v>
      </c>
      <c r="F16" s="77" t="s">
        <v>41</v>
      </c>
      <c r="G16" s="64">
        <v>6</v>
      </c>
      <c r="H16" s="47">
        <f t="shared" si="0"/>
        <v>3.2258064516129031E-2</v>
      </c>
      <c r="I16" s="117">
        <v>5</v>
      </c>
      <c r="K16" s="46">
        <v>14</v>
      </c>
      <c r="L16" s="123">
        <v>-50.400000000000027</v>
      </c>
      <c r="N16" s="46" t="s">
        <v>195</v>
      </c>
      <c r="O16" s="125">
        <f t="shared" si="3"/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223</v>
      </c>
      <c r="C17" s="45">
        <f>IF(B$3=0,0,B17/B$3)</f>
        <v>0.30929264909847431</v>
      </c>
      <c r="E17" s="81" t="s">
        <v>77</v>
      </c>
      <c r="F17" s="77" t="s">
        <v>30</v>
      </c>
      <c r="G17" s="64">
        <v>2</v>
      </c>
      <c r="H17" s="47">
        <f t="shared" si="0"/>
        <v>1.0752688172043012E-2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 t="shared" si="3"/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102</v>
      </c>
      <c r="C18" s="47">
        <f>IF(B$17=0,0,B18/B$17)</f>
        <v>0.45739910313901344</v>
      </c>
      <c r="E18" s="81" t="s">
        <v>81</v>
      </c>
      <c r="F18" s="77" t="s">
        <v>34</v>
      </c>
      <c r="G18" s="64">
        <v>2</v>
      </c>
      <c r="H18" s="47">
        <f t="shared" si="0"/>
        <v>1.0752688172043012E-2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121</v>
      </c>
      <c r="C19" s="47">
        <f>IF(B$17=0,0,B19/B$17)</f>
        <v>0.54260089686098656</v>
      </c>
      <c r="E19" s="81" t="s">
        <v>83</v>
      </c>
      <c r="F19" s="77" t="s">
        <v>36</v>
      </c>
      <c r="G19" s="64">
        <v>2</v>
      </c>
      <c r="H19" s="47">
        <f t="shared" si="0"/>
        <v>1.0752688172043012E-2</v>
      </c>
      <c r="I19" s="117">
        <v>6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116</v>
      </c>
      <c r="C20" s="47">
        <f>IF(B$3=0,0,B20/B$3)</f>
        <v>0.16088765603328711</v>
      </c>
      <c r="E20" s="81" t="s">
        <v>96</v>
      </c>
      <c r="F20" s="77" t="s">
        <v>49</v>
      </c>
      <c r="G20" s="64">
        <v>2</v>
      </c>
      <c r="H20" s="47">
        <f t="shared" si="0"/>
        <v>1.0752688172043012E-2</v>
      </c>
      <c r="I20" s="117">
        <v>8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10395.067264573991</v>
      </c>
      <c r="C21" s="49">
        <v>2318100</v>
      </c>
      <c r="E21" s="81" t="s">
        <v>78</v>
      </c>
      <c r="F21" s="77" t="s">
        <v>31</v>
      </c>
      <c r="G21" s="64">
        <v>1</v>
      </c>
      <c r="H21" s="47">
        <f t="shared" si="0"/>
        <v>5.3763440860215058E-3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-9154.310344827587</v>
      </c>
      <c r="C22" s="62">
        <v>-1061900</v>
      </c>
      <c r="E22" s="81" t="s">
        <v>79</v>
      </c>
      <c r="F22" s="77" t="s">
        <v>32</v>
      </c>
      <c r="G22" s="64">
        <v>1</v>
      </c>
      <c r="H22" s="47">
        <f t="shared" si="0"/>
        <v>5.3763440860215058E-3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49">
        <v>9</v>
      </c>
      <c r="C23" s="150"/>
      <c r="E23" s="81" t="s">
        <v>89</v>
      </c>
      <c r="F23" s="77" t="s">
        <v>42</v>
      </c>
      <c r="G23" s="64">
        <v>1</v>
      </c>
      <c r="H23" s="47">
        <f t="shared" si="0"/>
        <v>5.3763440860215058E-3</v>
      </c>
      <c r="I23" s="117">
        <v>2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47">
        <v>109300</v>
      </c>
      <c r="C24" s="148"/>
      <c r="E24" s="81" t="s">
        <v>98</v>
      </c>
      <c r="F24" s="77" t="s">
        <v>51</v>
      </c>
      <c r="G24" s="64">
        <v>1</v>
      </c>
      <c r="H24" s="47">
        <f t="shared" si="0"/>
        <v>5.3763440860215058E-3</v>
      </c>
      <c r="I24" s="117">
        <v>3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4.160887656033287E-3</v>
      </c>
      <c r="E25" s="81" t="s">
        <v>80</v>
      </c>
      <c r="F25" s="77" t="s">
        <v>33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39">
        <v>595</v>
      </c>
      <c r="C26" s="140"/>
      <c r="E26" s="81" t="s">
        <v>84</v>
      </c>
      <c r="F26" s="77" t="s">
        <v>37</v>
      </c>
      <c r="G26" s="64">
        <v>0</v>
      </c>
      <c r="H26" s="47">
        <f t="shared" si="0"/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53">
        <v>186</v>
      </c>
      <c r="C27" s="154"/>
      <c r="E27" s="81" t="s">
        <v>85</v>
      </c>
      <c r="F27" s="77" t="s">
        <v>38</v>
      </c>
      <c r="G27" s="64">
        <v>0</v>
      </c>
      <c r="H27" s="47">
        <f t="shared" si="0"/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 t="shared" si="0"/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 t="shared" si="0"/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 t="shared" si="0"/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 t="shared" si="0"/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 t="shared" si="0"/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 t="shared" si="0"/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  <row r="93" spans="11:12" x14ac:dyDescent="0.4">
      <c r="K93" s="46">
        <v>91</v>
      </c>
      <c r="L93" s="123">
        <v>252.39999999999992</v>
      </c>
    </row>
    <row r="94" spans="11:12" x14ac:dyDescent="0.4">
      <c r="K94" s="46">
        <v>92</v>
      </c>
      <c r="L94" s="123">
        <v>278.59999999999991</v>
      </c>
    </row>
    <row r="95" spans="11:12" x14ac:dyDescent="0.4">
      <c r="K95" s="46">
        <v>93</v>
      </c>
      <c r="L95" s="123">
        <v>264.7999999999999</v>
      </c>
    </row>
    <row r="96" spans="11:12" x14ac:dyDescent="0.4">
      <c r="K96" s="46">
        <v>94</v>
      </c>
      <c r="L96" s="123">
        <v>247.89999999999989</v>
      </c>
    </row>
    <row r="97" spans="11:12" x14ac:dyDescent="0.4">
      <c r="K97" s="46">
        <v>95</v>
      </c>
      <c r="L97" s="123">
        <v>222.49999999999989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26</v>
      </c>
      <c r="C2" s="140"/>
      <c r="E2" s="80" t="s">
        <v>71</v>
      </c>
      <c r="F2" s="76" t="s">
        <v>25</v>
      </c>
      <c r="G2" s="63">
        <v>27</v>
      </c>
      <c r="H2" s="45">
        <f t="shared" ref="H2:H33" si="0">IF(B$27=0,0,G2/B$27)</f>
        <v>0.84375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-253.84615384615384</v>
      </c>
      <c r="P2" s="59">
        <v>-6600</v>
      </c>
      <c r="Q2" s="57">
        <v>26</v>
      </c>
    </row>
    <row r="3" spans="1:17" x14ac:dyDescent="0.4">
      <c r="A3" s="72" t="s">
        <v>8</v>
      </c>
      <c r="B3" s="141">
        <v>215</v>
      </c>
      <c r="C3" s="142"/>
      <c r="E3" s="81" t="s">
        <v>67</v>
      </c>
      <c r="F3" s="77" t="s">
        <v>21</v>
      </c>
      <c r="G3" s="64">
        <v>21</v>
      </c>
      <c r="H3" s="47">
        <f t="shared" si="0"/>
        <v>0.65625</v>
      </c>
      <c r="I3" s="117">
        <v>3</v>
      </c>
      <c r="K3" s="46">
        <v>1</v>
      </c>
      <c r="L3" s="123">
        <v>-14.4</v>
      </c>
      <c r="N3" s="46" t="s">
        <v>148</v>
      </c>
      <c r="O3" s="127">
        <f t="shared" si="1"/>
        <v>4200</v>
      </c>
      <c r="P3" s="60">
        <v>100800</v>
      </c>
      <c r="Q3" s="55">
        <v>24</v>
      </c>
    </row>
    <row r="4" spans="1:17" x14ac:dyDescent="0.4">
      <c r="A4" s="72" t="s">
        <v>6</v>
      </c>
      <c r="B4" s="143">
        <v>51.10000000000003</v>
      </c>
      <c r="C4" s="144"/>
      <c r="E4" s="81" t="s">
        <v>70</v>
      </c>
      <c r="F4" s="77" t="s">
        <v>24</v>
      </c>
      <c r="G4" s="64">
        <v>21</v>
      </c>
      <c r="H4" s="47">
        <f t="shared" si="0"/>
        <v>0.65625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1"/>
        <v>-2409.5238095238096</v>
      </c>
      <c r="P4" s="60">
        <v>-50600</v>
      </c>
      <c r="Q4" s="55">
        <v>21</v>
      </c>
    </row>
    <row r="5" spans="1:17" x14ac:dyDescent="0.4">
      <c r="A5" s="72" t="s">
        <v>7</v>
      </c>
      <c r="B5" s="145">
        <f>IF(B$2=0,0,B$4/B$2)</f>
        <v>1.9653846153846166</v>
      </c>
      <c r="C5" s="146"/>
      <c r="E5" s="81" t="s">
        <v>69</v>
      </c>
      <c r="F5" s="77" t="s">
        <v>23</v>
      </c>
      <c r="G5" s="64">
        <v>18</v>
      </c>
      <c r="H5" s="47">
        <f t="shared" si="0"/>
        <v>0.5625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1"/>
        <v>2330</v>
      </c>
      <c r="P5" s="60">
        <v>46600</v>
      </c>
      <c r="Q5" s="55">
        <v>20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76</v>
      </c>
      <c r="F6" s="77" t="s">
        <v>29</v>
      </c>
      <c r="G6" s="64">
        <v>15</v>
      </c>
      <c r="H6" s="47">
        <f t="shared" si="0"/>
        <v>0.46875</v>
      </c>
      <c r="I6" s="117">
        <v>10</v>
      </c>
      <c r="K6" s="46">
        <v>4</v>
      </c>
      <c r="L6" s="123">
        <v>-44.3</v>
      </c>
      <c r="N6" s="46" t="s">
        <v>151</v>
      </c>
      <c r="O6" s="127">
        <f t="shared" si="1"/>
        <v>-582.35294117647061</v>
      </c>
      <c r="P6" s="60">
        <v>-9900</v>
      </c>
      <c r="Q6" s="55">
        <v>17</v>
      </c>
    </row>
    <row r="7" spans="1:17" x14ac:dyDescent="0.4">
      <c r="A7" s="72" t="s">
        <v>2</v>
      </c>
      <c r="B7" s="64">
        <v>9</v>
      </c>
      <c r="C7" s="47">
        <f>IF(B$2=0,0,B7/B$2)</f>
        <v>0.34615384615384615</v>
      </c>
      <c r="E7" s="81" t="s">
        <v>72</v>
      </c>
      <c r="F7" s="77" t="s">
        <v>12</v>
      </c>
      <c r="G7" s="64">
        <v>12</v>
      </c>
      <c r="H7" s="47">
        <f t="shared" si="0"/>
        <v>0.375</v>
      </c>
      <c r="I7" s="117">
        <v>1</v>
      </c>
      <c r="K7" s="46">
        <v>5</v>
      </c>
      <c r="L7" s="123">
        <v>8.2000000000000028</v>
      </c>
      <c r="N7" s="50" t="s">
        <v>152</v>
      </c>
      <c r="O7" s="128">
        <f t="shared" si="1"/>
        <v>-1946.6666666666667</v>
      </c>
      <c r="P7" s="61">
        <v>-29200</v>
      </c>
      <c r="Q7" s="56">
        <v>15</v>
      </c>
    </row>
    <row r="8" spans="1:17" x14ac:dyDescent="0.4">
      <c r="A8" s="72" t="s">
        <v>3</v>
      </c>
      <c r="B8" s="64">
        <v>8</v>
      </c>
      <c r="C8" s="47">
        <f>IF(B$2=0,0,B8/B$2)</f>
        <v>0.30769230769230771</v>
      </c>
      <c r="E8" s="81" t="s">
        <v>68</v>
      </c>
      <c r="F8" s="77" t="s">
        <v>22</v>
      </c>
      <c r="G8" s="64">
        <v>5</v>
      </c>
      <c r="H8" s="47">
        <f t="shared" si="0"/>
        <v>0.15625</v>
      </c>
      <c r="I8" s="117">
        <v>4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9</v>
      </c>
      <c r="C9" s="48">
        <f t="shared" ref="C9" si="2">IF(B$2=0,0,B9/B$2)</f>
        <v>0.34615384615384615</v>
      </c>
      <c r="E9" s="81" t="s">
        <v>94</v>
      </c>
      <c r="F9" s="77" t="s">
        <v>47</v>
      </c>
      <c r="G9" s="64">
        <v>4</v>
      </c>
      <c r="H9" s="47">
        <f t="shared" si="0"/>
        <v>0.125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0.19230769230769232</v>
      </c>
      <c r="E10" s="81" t="s">
        <v>73</v>
      </c>
      <c r="F10" s="77" t="s">
        <v>26</v>
      </c>
      <c r="G10" s="64">
        <v>3</v>
      </c>
      <c r="H10" s="47">
        <f t="shared" si="0"/>
        <v>9.375E-2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 t="shared" ref="O10:O15" si="3"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0.15384615384615385</v>
      </c>
      <c r="E11" s="81" t="s">
        <v>74</v>
      </c>
      <c r="F11" s="77" t="s">
        <v>27</v>
      </c>
      <c r="G11" s="64">
        <v>3</v>
      </c>
      <c r="H11" s="47">
        <f t="shared" si="0"/>
        <v>9.375E-2</v>
      </c>
      <c r="I11" s="117">
        <v>6</v>
      </c>
      <c r="K11" s="46">
        <v>9</v>
      </c>
      <c r="L11" s="123">
        <v>6.8000000000000025</v>
      </c>
      <c r="N11" s="46" t="s">
        <v>137</v>
      </c>
      <c r="O11" s="125">
        <f t="shared" si="3"/>
        <v>-0.43333333333333357</v>
      </c>
      <c r="P11" s="131">
        <v>-1.3000000000000007</v>
      </c>
      <c r="Q11" s="55">
        <v>3</v>
      </c>
    </row>
    <row r="12" spans="1:17" x14ac:dyDescent="0.4">
      <c r="A12" s="74" t="s">
        <v>240</v>
      </c>
      <c r="B12" s="66">
        <v>2</v>
      </c>
      <c r="C12" s="51">
        <f>IF(B$2=0,0,B12/B$2)</f>
        <v>7.6923076923076927E-2</v>
      </c>
      <c r="E12" s="81" t="s">
        <v>75</v>
      </c>
      <c r="F12" s="77" t="s">
        <v>28</v>
      </c>
      <c r="G12" s="64">
        <v>1</v>
      </c>
      <c r="H12" s="47">
        <f t="shared" si="0"/>
        <v>3.125E-2</v>
      </c>
      <c r="I12" s="117">
        <v>8</v>
      </c>
      <c r="K12" s="46">
        <v>10</v>
      </c>
      <c r="L12" s="123">
        <v>56.800000000000004</v>
      </c>
      <c r="N12" s="46" t="s">
        <v>134</v>
      </c>
      <c r="O12" s="125">
        <f t="shared" si="3"/>
        <v>-0.55714285714285672</v>
      </c>
      <c r="P12" s="131">
        <v>-3.8999999999999968</v>
      </c>
      <c r="Q12" s="55">
        <v>7</v>
      </c>
    </row>
    <row r="13" spans="1:17" x14ac:dyDescent="0.4">
      <c r="A13" s="75" t="s">
        <v>128</v>
      </c>
      <c r="B13" s="67">
        <v>41</v>
      </c>
      <c r="C13" s="54">
        <f>IF(B$26=0,0,B13/B$26)</f>
        <v>0.30827067669172931</v>
      </c>
      <c r="E13" s="81" t="s">
        <v>82</v>
      </c>
      <c r="F13" s="77" t="s">
        <v>35</v>
      </c>
      <c r="G13" s="64">
        <v>1</v>
      </c>
      <c r="H13" s="47">
        <f t="shared" si="0"/>
        <v>3.125E-2</v>
      </c>
      <c r="I13" s="117">
        <v>4</v>
      </c>
      <c r="K13" s="46">
        <v>11</v>
      </c>
      <c r="L13" s="123">
        <v>69.300000000000011</v>
      </c>
      <c r="N13" s="46" t="s">
        <v>133</v>
      </c>
      <c r="O13" s="125">
        <f t="shared" si="3"/>
        <v>-4.8826086956521744</v>
      </c>
      <c r="P13" s="131">
        <v>-112.30000000000001</v>
      </c>
      <c r="Q13" s="55">
        <v>23</v>
      </c>
    </row>
    <row r="14" spans="1:17" x14ac:dyDescent="0.4">
      <c r="A14" s="72" t="s">
        <v>123</v>
      </c>
      <c r="B14" s="64">
        <v>32</v>
      </c>
      <c r="C14" s="47">
        <f>IF(B$26=0,0,B14/B$26)</f>
        <v>0.24060150375939848</v>
      </c>
      <c r="E14" s="81" t="s">
        <v>91</v>
      </c>
      <c r="F14" s="77" t="s">
        <v>44</v>
      </c>
      <c r="G14" s="64">
        <v>1</v>
      </c>
      <c r="H14" s="47">
        <f t="shared" si="0"/>
        <v>3.125E-2</v>
      </c>
      <c r="I14" s="117">
        <v>11</v>
      </c>
      <c r="K14" s="46">
        <v>12</v>
      </c>
      <c r="L14" s="123">
        <v>80.800000000000011</v>
      </c>
      <c r="N14" s="46" t="s">
        <v>139</v>
      </c>
      <c r="O14" s="125">
        <f t="shared" si="3"/>
        <v>-23.366666666666671</v>
      </c>
      <c r="P14" s="131">
        <v>-70.100000000000009</v>
      </c>
      <c r="Q14" s="55">
        <v>3</v>
      </c>
    </row>
    <row r="15" spans="1:17" x14ac:dyDescent="0.4">
      <c r="A15" s="71" t="s">
        <v>130</v>
      </c>
      <c r="B15" s="63">
        <v>20</v>
      </c>
      <c r="C15" s="45">
        <f>IF(B$13=0,0,B15/B$13)</f>
        <v>0.48780487804878048</v>
      </c>
      <c r="E15" s="81" t="s">
        <v>96</v>
      </c>
      <c r="F15" s="77" t="s">
        <v>49</v>
      </c>
      <c r="G15" s="64">
        <v>1</v>
      </c>
      <c r="H15" s="47">
        <f t="shared" si="0"/>
        <v>3.125E-2</v>
      </c>
      <c r="I15" s="117">
        <v>3</v>
      </c>
      <c r="K15" s="46">
        <v>13</v>
      </c>
      <c r="L15" s="123">
        <v>155.10000000000002</v>
      </c>
      <c r="N15" s="46" t="s">
        <v>135</v>
      </c>
      <c r="O15" s="125">
        <f t="shared" si="3"/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5</v>
      </c>
      <c r="C16" s="45">
        <f>IF(B$14=0,0,B16/B$14)</f>
        <v>0.15625</v>
      </c>
      <c r="E16" s="81" t="s">
        <v>97</v>
      </c>
      <c r="F16" s="77" t="s">
        <v>50</v>
      </c>
      <c r="G16" s="64">
        <v>1</v>
      </c>
      <c r="H16" s="47">
        <f t="shared" si="0"/>
        <v>3.125E-2</v>
      </c>
      <c r="I16" s="117">
        <v>1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60</v>
      </c>
      <c r="C17" s="45">
        <f>IF(B$3=0,0,B17/B$3)</f>
        <v>0.27906976744186046</v>
      </c>
      <c r="E17" s="81" t="s">
        <v>77</v>
      </c>
      <c r="F17" s="77" t="s">
        <v>30</v>
      </c>
      <c r="G17" s="64">
        <v>0</v>
      </c>
      <c r="H17" s="47">
        <f t="shared" si="0"/>
        <v>0</v>
      </c>
      <c r="I17" s="117">
        <v>5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27</v>
      </c>
      <c r="C18" s="47">
        <f>IF(B$17=0,0,B18/B$17)</f>
        <v>0.45</v>
      </c>
      <c r="E18" s="81" t="s">
        <v>78</v>
      </c>
      <c r="F18" s="77" t="s">
        <v>31</v>
      </c>
      <c r="G18" s="64">
        <v>0</v>
      </c>
      <c r="H18" s="47">
        <f t="shared" si="0"/>
        <v>0</v>
      </c>
      <c r="I18" s="117">
        <v>4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33</v>
      </c>
      <c r="C19" s="47">
        <f>IF(B$17=0,0,B19/B$17)</f>
        <v>0.55000000000000004</v>
      </c>
      <c r="E19" s="81" t="s">
        <v>79</v>
      </c>
      <c r="F19" s="77" t="s">
        <v>32</v>
      </c>
      <c r="G19" s="64">
        <v>0</v>
      </c>
      <c r="H19" s="47">
        <f t="shared" si="0"/>
        <v>0</v>
      </c>
      <c r="I19" s="117">
        <v>6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35</v>
      </c>
      <c r="C20" s="47">
        <f>IF(B$3=0,0,B20/B$3)</f>
        <v>0.16279069767441862</v>
      </c>
      <c r="E20" s="81" t="s">
        <v>80</v>
      </c>
      <c r="F20" s="77" t="s">
        <v>33</v>
      </c>
      <c r="G20" s="64">
        <v>0</v>
      </c>
      <c r="H20" s="47">
        <f t="shared" si="0"/>
        <v>0</v>
      </c>
      <c r="I20" s="117">
        <v>1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11218.333333333334</v>
      </c>
      <c r="C21" s="49">
        <v>673100</v>
      </c>
      <c r="E21" s="81" t="s">
        <v>81</v>
      </c>
      <c r="F21" s="77" t="s">
        <v>34</v>
      </c>
      <c r="G21" s="64">
        <v>0</v>
      </c>
      <c r="H21" s="47">
        <f t="shared" si="0"/>
        <v>0</v>
      </c>
      <c r="I21" s="117">
        <v>6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-8805.7142857142862</v>
      </c>
      <c r="C22" s="62">
        <v>-308200</v>
      </c>
      <c r="E22" s="81" t="s">
        <v>83</v>
      </c>
      <c r="F22" s="77" t="s">
        <v>36</v>
      </c>
      <c r="G22" s="64">
        <v>0</v>
      </c>
      <c r="H22" s="47">
        <f t="shared" si="0"/>
        <v>0</v>
      </c>
      <c r="I22" s="117">
        <v>9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49">
        <v>7</v>
      </c>
      <c r="C23" s="150"/>
      <c r="E23" s="81" t="s">
        <v>84</v>
      </c>
      <c r="F23" s="77" t="s">
        <v>37</v>
      </c>
      <c r="G23" s="64">
        <v>0</v>
      </c>
      <c r="H23" s="47">
        <f t="shared" si="0"/>
        <v>0</v>
      </c>
      <c r="I23" s="117">
        <v>1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47">
        <v>109300</v>
      </c>
      <c r="C24" s="148"/>
      <c r="E24" s="81" t="s">
        <v>85</v>
      </c>
      <c r="F24" s="77" t="s">
        <v>38</v>
      </c>
      <c r="G24" s="64">
        <v>0</v>
      </c>
      <c r="H24" s="47">
        <f t="shared" si="0"/>
        <v>0</v>
      </c>
      <c r="I24" s="117">
        <v>3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86</v>
      </c>
      <c r="F25" s="77" t="s">
        <v>39</v>
      </c>
      <c r="G25" s="64">
        <v>0</v>
      </c>
      <c r="H25" s="47">
        <f t="shared" si="0"/>
        <v>0</v>
      </c>
      <c r="I25" s="117">
        <v>9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39">
        <v>133</v>
      </c>
      <c r="C26" s="140"/>
      <c r="E26" s="81" t="s">
        <v>87</v>
      </c>
      <c r="F26" s="77" t="s">
        <v>40</v>
      </c>
      <c r="G26" s="64">
        <v>0</v>
      </c>
      <c r="H26" s="47">
        <f t="shared" si="0"/>
        <v>0</v>
      </c>
      <c r="I26" s="117">
        <v>1</v>
      </c>
      <c r="K26" s="46">
        <v>24</v>
      </c>
      <c r="L26" s="123">
        <v>81.500000000000028</v>
      </c>
    </row>
    <row r="27" spans="1:12" x14ac:dyDescent="0.4">
      <c r="A27" s="74" t="s">
        <v>127</v>
      </c>
      <c r="B27" s="153">
        <v>32</v>
      </c>
      <c r="C27" s="154"/>
      <c r="E27" s="81" t="s">
        <v>88</v>
      </c>
      <c r="F27" s="77" t="s">
        <v>41</v>
      </c>
      <c r="G27" s="64">
        <v>0</v>
      </c>
      <c r="H27" s="47">
        <f t="shared" si="0"/>
        <v>0</v>
      </c>
      <c r="I27" s="117">
        <v>9</v>
      </c>
      <c r="K27" s="46">
        <v>25</v>
      </c>
      <c r="L27" s="123">
        <v>79.500000000000028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 t="shared" si="0"/>
        <v>0</v>
      </c>
      <c r="I28" s="117">
        <v>5</v>
      </c>
      <c r="K28" s="46">
        <v>26</v>
      </c>
      <c r="L28" s="123">
        <v>51.10000000000003</v>
      </c>
    </row>
    <row r="29" spans="1:12" x14ac:dyDescent="0.4">
      <c r="E29" s="81" t="s">
        <v>90</v>
      </c>
      <c r="F29" s="77" t="s">
        <v>43</v>
      </c>
      <c r="G29" s="64">
        <v>0</v>
      </c>
      <c r="H29" s="47">
        <f t="shared" si="0"/>
        <v>0</v>
      </c>
      <c r="I29" s="117">
        <v>6</v>
      </c>
    </row>
    <row r="30" spans="1:12" x14ac:dyDescent="0.4">
      <c r="E30" s="81" t="s">
        <v>92</v>
      </c>
      <c r="F30" s="77" t="s">
        <v>45</v>
      </c>
      <c r="G30" s="64">
        <v>0</v>
      </c>
      <c r="H30" s="47">
        <f t="shared" si="0"/>
        <v>0</v>
      </c>
      <c r="I30" s="117">
        <v>4</v>
      </c>
    </row>
    <row r="31" spans="1:12" x14ac:dyDescent="0.4">
      <c r="E31" s="81" t="s">
        <v>93</v>
      </c>
      <c r="F31" s="77" t="s">
        <v>46</v>
      </c>
      <c r="G31" s="64">
        <v>0</v>
      </c>
      <c r="H31" s="47">
        <f t="shared" si="0"/>
        <v>0</v>
      </c>
      <c r="I31" s="117">
        <v>3</v>
      </c>
    </row>
    <row r="32" spans="1:12" x14ac:dyDescent="0.4">
      <c r="E32" s="81" t="s">
        <v>95</v>
      </c>
      <c r="F32" s="77" t="s">
        <v>48</v>
      </c>
      <c r="G32" s="64">
        <v>0</v>
      </c>
      <c r="H32" s="47">
        <f t="shared" si="0"/>
        <v>0</v>
      </c>
      <c r="I32" s="117">
        <v>3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139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97</v>
      </c>
      <c r="C2" s="140"/>
      <c r="E2" s="80" t="s">
        <v>71</v>
      </c>
      <c r="F2" s="76" t="s">
        <v>25</v>
      </c>
      <c r="G2" s="63">
        <v>199</v>
      </c>
      <c r="H2" s="45">
        <f t="shared" ref="H2:H33" si="0">IF(B$27=0,0,G2/B$27)</f>
        <v>0.96135265700483097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-1726.8817204301076</v>
      </c>
      <c r="P2" s="59">
        <v>-160600</v>
      </c>
      <c r="Q2" s="57">
        <v>93</v>
      </c>
    </row>
    <row r="3" spans="1:17" x14ac:dyDescent="0.4">
      <c r="A3" s="72" t="s">
        <v>8</v>
      </c>
      <c r="B3" s="141">
        <v>755</v>
      </c>
      <c r="C3" s="142"/>
      <c r="E3" s="81" t="s">
        <v>69</v>
      </c>
      <c r="F3" s="77" t="s">
        <v>23</v>
      </c>
      <c r="G3" s="64">
        <v>170</v>
      </c>
      <c r="H3" s="47">
        <f t="shared" si="0"/>
        <v>0.82125603864734298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1"/>
        <v>-85.869565217391298</v>
      </c>
      <c r="P3" s="60">
        <v>-7900</v>
      </c>
      <c r="Q3" s="55">
        <v>92</v>
      </c>
    </row>
    <row r="4" spans="1:17" x14ac:dyDescent="0.4">
      <c r="A4" s="72" t="s">
        <v>6</v>
      </c>
      <c r="B4" s="143">
        <v>-449.89999999999992</v>
      </c>
      <c r="C4" s="144"/>
      <c r="E4" s="81" t="s">
        <v>76</v>
      </c>
      <c r="F4" s="77" t="s">
        <v>29</v>
      </c>
      <c r="G4" s="64">
        <v>133</v>
      </c>
      <c r="H4" s="47">
        <f t="shared" si="0"/>
        <v>0.64251207729468596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1"/>
        <v>-440.22988505747128</v>
      </c>
      <c r="P4" s="60">
        <v>-38300</v>
      </c>
      <c r="Q4" s="55">
        <v>87</v>
      </c>
    </row>
    <row r="5" spans="1:17" x14ac:dyDescent="0.4">
      <c r="A5" s="72" t="s">
        <v>7</v>
      </c>
      <c r="B5" s="145">
        <f>IF(B$2=0,0,B$4/B$2)</f>
        <v>-4.6381443298969067</v>
      </c>
      <c r="C5" s="146"/>
      <c r="E5" s="81" t="s">
        <v>67</v>
      </c>
      <c r="F5" s="77" t="s">
        <v>21</v>
      </c>
      <c r="G5" s="64">
        <v>125</v>
      </c>
      <c r="H5" s="47">
        <f t="shared" si="0"/>
        <v>0.60386473429951693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1"/>
        <v>-465.82278481012656</v>
      </c>
      <c r="P5" s="60">
        <v>-36800</v>
      </c>
      <c r="Q5" s="55">
        <v>79</v>
      </c>
    </row>
    <row r="6" spans="1:17" x14ac:dyDescent="0.4">
      <c r="A6" s="72" t="s">
        <v>1</v>
      </c>
      <c r="B6" s="151">
        <f>IF(B$2=0,0,(B$7*1+B$8*2+B$9*3)/B$2)</f>
        <v>2.1752577319587627</v>
      </c>
      <c r="C6" s="152"/>
      <c r="E6" s="81" t="s">
        <v>70</v>
      </c>
      <c r="F6" s="77" t="s">
        <v>24</v>
      </c>
      <c r="G6" s="64">
        <v>77</v>
      </c>
      <c r="H6" s="47">
        <f t="shared" si="0"/>
        <v>0.3719806763285024</v>
      </c>
      <c r="I6" s="117">
        <v>4</v>
      </c>
      <c r="K6" s="46">
        <v>4</v>
      </c>
      <c r="L6" s="123">
        <v>-35.099999999999994</v>
      </c>
      <c r="N6" s="46" t="s">
        <v>151</v>
      </c>
      <c r="O6" s="127">
        <f t="shared" si="1"/>
        <v>-2268.0555555555557</v>
      </c>
      <c r="P6" s="60">
        <v>-163300</v>
      </c>
      <c r="Q6" s="55">
        <v>72</v>
      </c>
    </row>
    <row r="7" spans="1:17" x14ac:dyDescent="0.4">
      <c r="A7" s="72" t="s">
        <v>2</v>
      </c>
      <c r="B7" s="64">
        <v>25</v>
      </c>
      <c r="C7" s="47">
        <f>IF(B$2=0,0,B7/B$2)</f>
        <v>0.25773195876288657</v>
      </c>
      <c r="E7" s="81" t="s">
        <v>72</v>
      </c>
      <c r="F7" s="77" t="s">
        <v>12</v>
      </c>
      <c r="G7" s="64">
        <v>69</v>
      </c>
      <c r="H7" s="47">
        <f t="shared" si="0"/>
        <v>0.33333333333333331</v>
      </c>
      <c r="I7" s="117">
        <v>3</v>
      </c>
      <c r="K7" s="46">
        <v>5</v>
      </c>
      <c r="L7" s="123">
        <v>-80.099999999999994</v>
      </c>
      <c r="N7" s="50" t="s">
        <v>152</v>
      </c>
      <c r="O7" s="128">
        <f t="shared" si="1"/>
        <v>1237.5</v>
      </c>
      <c r="P7" s="61">
        <v>69300</v>
      </c>
      <c r="Q7" s="56">
        <v>56</v>
      </c>
    </row>
    <row r="8" spans="1:17" x14ac:dyDescent="0.4">
      <c r="A8" s="72" t="s">
        <v>3</v>
      </c>
      <c r="B8" s="64">
        <v>30</v>
      </c>
      <c r="C8" s="47">
        <f>IF(B$2=0,0,B8/B$2)</f>
        <v>0.30927835051546393</v>
      </c>
      <c r="E8" s="81" t="s">
        <v>73</v>
      </c>
      <c r="F8" s="77" t="s">
        <v>26</v>
      </c>
      <c r="G8" s="64">
        <v>31</v>
      </c>
      <c r="H8" s="47">
        <f t="shared" si="0"/>
        <v>0.14975845410628019</v>
      </c>
      <c r="I8" s="117">
        <v>4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ref="C9" si="2">IF(B$2=0,0,B9/B$2)</f>
        <v>0.4329896907216495</v>
      </c>
      <c r="E9" s="81" t="s">
        <v>94</v>
      </c>
      <c r="F9" s="77" t="s">
        <v>47</v>
      </c>
      <c r="G9" s="64">
        <v>27</v>
      </c>
      <c r="H9" s="47">
        <f t="shared" si="0"/>
        <v>0.13043478260869565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0.22680412371134021</v>
      </c>
      <c r="E10" s="81" t="s">
        <v>74</v>
      </c>
      <c r="F10" s="77" t="s">
        <v>27</v>
      </c>
      <c r="G10" s="64">
        <v>25</v>
      </c>
      <c r="H10" s="47">
        <f t="shared" si="0"/>
        <v>0.12077294685990338</v>
      </c>
      <c r="I10" s="117">
        <v>4</v>
      </c>
      <c r="K10" s="46">
        <v>8</v>
      </c>
      <c r="L10" s="123">
        <v>-146</v>
      </c>
      <c r="N10" s="44" t="s">
        <v>195</v>
      </c>
      <c r="O10" s="124">
        <f t="shared" ref="O10:O19" si="3"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13</v>
      </c>
      <c r="C11" s="48">
        <f>IF(B$2=0,0,B11/B$2)</f>
        <v>0.13402061855670103</v>
      </c>
      <c r="E11" s="81" t="s">
        <v>68</v>
      </c>
      <c r="F11" s="77" t="s">
        <v>22</v>
      </c>
      <c r="G11" s="64">
        <v>17</v>
      </c>
      <c r="H11" s="47">
        <f t="shared" si="0"/>
        <v>8.2125603864734303E-2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 t="shared" si="3"/>
        <v>23.366666666666664</v>
      </c>
      <c r="P11" s="131">
        <v>70.099999999999994</v>
      </c>
      <c r="Q11" s="55">
        <v>3</v>
      </c>
    </row>
    <row r="12" spans="1:17" x14ac:dyDescent="0.4">
      <c r="A12" s="74" t="s">
        <v>240</v>
      </c>
      <c r="B12" s="66">
        <v>10</v>
      </c>
      <c r="C12" s="51">
        <f>IF(B$2=0,0,B12/B$2)</f>
        <v>0.10309278350515463</v>
      </c>
      <c r="E12" s="81" t="s">
        <v>91</v>
      </c>
      <c r="F12" s="77" t="s">
        <v>44</v>
      </c>
      <c r="G12" s="64">
        <v>15</v>
      </c>
      <c r="H12" s="47">
        <f t="shared" si="0"/>
        <v>7.2463768115942032E-2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 t="shared" si="3"/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218</v>
      </c>
      <c r="C13" s="54">
        <f>IF(B$26=0,0,B13/B$26)</f>
        <v>0.30362116991643456</v>
      </c>
      <c r="E13" s="81" t="s">
        <v>82</v>
      </c>
      <c r="F13" s="77" t="s">
        <v>35</v>
      </c>
      <c r="G13" s="64">
        <v>9</v>
      </c>
      <c r="H13" s="47">
        <f t="shared" si="0"/>
        <v>4.3478260869565216E-2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 t="shared" si="3"/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147</v>
      </c>
      <c r="C14" s="47">
        <f>IF(B$26=0,0,B14/B$26)</f>
        <v>0.20473537604456823</v>
      </c>
      <c r="E14" s="81" t="s">
        <v>88</v>
      </c>
      <c r="F14" s="77" t="s">
        <v>41</v>
      </c>
      <c r="G14" s="64">
        <v>6</v>
      </c>
      <c r="H14" s="47">
        <f t="shared" si="0"/>
        <v>2.8985507246376812E-2</v>
      </c>
      <c r="I14" s="117">
        <v>7</v>
      </c>
      <c r="K14" s="46">
        <v>12</v>
      </c>
      <c r="L14" s="123">
        <v>-197</v>
      </c>
      <c r="N14" s="46" t="s">
        <v>168</v>
      </c>
      <c r="O14" s="125">
        <f t="shared" si="3"/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129</v>
      </c>
      <c r="C15" s="45">
        <f>IF(B$13=0,0,B15/B$13)</f>
        <v>0.59174311926605505</v>
      </c>
      <c r="E15" s="81" t="s">
        <v>75</v>
      </c>
      <c r="F15" s="77" t="s">
        <v>28</v>
      </c>
      <c r="G15" s="64">
        <v>5</v>
      </c>
      <c r="H15" s="47">
        <f t="shared" si="0"/>
        <v>2.4154589371980676E-2</v>
      </c>
      <c r="I15" s="117">
        <v>10</v>
      </c>
      <c r="K15" s="46">
        <v>13</v>
      </c>
      <c r="L15" s="123">
        <v>-235</v>
      </c>
      <c r="N15" s="46" t="s">
        <v>134</v>
      </c>
      <c r="O15" s="125">
        <f t="shared" si="3"/>
        <v>-6.842105263157892</v>
      </c>
      <c r="P15" s="131">
        <v>-259.99999999999989</v>
      </c>
      <c r="Q15" s="55">
        <v>38</v>
      </c>
    </row>
    <row r="16" spans="1:17" x14ac:dyDescent="0.4">
      <c r="A16" s="71" t="s">
        <v>131</v>
      </c>
      <c r="B16" s="63">
        <v>55</v>
      </c>
      <c r="C16" s="45">
        <f>IF(B$14=0,0,B16/B$14)</f>
        <v>0.37414965986394561</v>
      </c>
      <c r="E16" s="81" t="s">
        <v>77</v>
      </c>
      <c r="F16" s="77" t="s">
        <v>30</v>
      </c>
      <c r="G16" s="64">
        <v>4</v>
      </c>
      <c r="H16" s="47">
        <f t="shared" si="0"/>
        <v>1.932367149758454E-2</v>
      </c>
      <c r="I16" s="117">
        <v>1</v>
      </c>
      <c r="K16" s="46">
        <v>14</v>
      </c>
      <c r="L16" s="123">
        <v>-231</v>
      </c>
      <c r="N16" s="46" t="s">
        <v>136</v>
      </c>
      <c r="O16" s="125">
        <f t="shared" si="3"/>
        <v>-9.06</v>
      </c>
      <c r="P16" s="131">
        <v>-45.300000000000004</v>
      </c>
      <c r="Q16" s="55">
        <v>5</v>
      </c>
    </row>
    <row r="17" spans="1:17" x14ac:dyDescent="0.4">
      <c r="A17" s="71" t="s">
        <v>10</v>
      </c>
      <c r="B17" s="63">
        <f>B19+B18</f>
        <v>217</v>
      </c>
      <c r="C17" s="45">
        <f>IF(B$3=0,0,B17/B$3)</f>
        <v>0.28741721854304636</v>
      </c>
      <c r="E17" s="81" t="s">
        <v>86</v>
      </c>
      <c r="F17" s="77" t="s">
        <v>39</v>
      </c>
      <c r="G17" s="64">
        <v>4</v>
      </c>
      <c r="H17" s="47">
        <f t="shared" si="0"/>
        <v>1.932367149758454E-2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 t="shared" si="3"/>
        <v>-11.369444444444444</v>
      </c>
      <c r="P17" s="131">
        <v>-409.29999999999995</v>
      </c>
      <c r="Q17" s="55">
        <v>36</v>
      </c>
    </row>
    <row r="18" spans="1:17" x14ac:dyDescent="0.4">
      <c r="A18" s="72" t="s">
        <v>12</v>
      </c>
      <c r="B18" s="64">
        <v>100</v>
      </c>
      <c r="C18" s="47">
        <f>IF(B$17=0,0,B18/B$17)</f>
        <v>0.46082949308755761</v>
      </c>
      <c r="E18" s="81" t="s">
        <v>79</v>
      </c>
      <c r="F18" s="77" t="s">
        <v>32</v>
      </c>
      <c r="G18" s="64">
        <v>3</v>
      </c>
      <c r="H18" s="47">
        <f t="shared" si="0"/>
        <v>1.4492753623188406E-2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 t="shared" si="3"/>
        <v>-12.691025641025639</v>
      </c>
      <c r="P18" s="131">
        <v>-989.89999999999986</v>
      </c>
      <c r="Q18" s="55">
        <v>78</v>
      </c>
    </row>
    <row r="19" spans="1:17" x14ac:dyDescent="0.4">
      <c r="A19" s="72" t="s">
        <v>11</v>
      </c>
      <c r="B19" s="64">
        <v>117</v>
      </c>
      <c r="C19" s="47">
        <f>IF(B$17=0,0,B19/B$17)</f>
        <v>0.53917050691244239</v>
      </c>
      <c r="E19" s="81" t="s">
        <v>96</v>
      </c>
      <c r="F19" s="77" t="s">
        <v>49</v>
      </c>
      <c r="G19" s="64">
        <v>3</v>
      </c>
      <c r="H19" s="47">
        <f t="shared" si="0"/>
        <v>1.4492753623188406E-2</v>
      </c>
      <c r="I19" s="117">
        <v>6</v>
      </c>
      <c r="K19" s="46">
        <v>17</v>
      </c>
      <c r="L19" s="123">
        <v>-268.7</v>
      </c>
      <c r="N19" s="46" t="s">
        <v>172</v>
      </c>
      <c r="O19" s="125">
        <f t="shared" si="3"/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162</v>
      </c>
      <c r="C20" s="47">
        <f>IF(B$3=0,0,B20/B$3)</f>
        <v>0.21456953642384105</v>
      </c>
      <c r="E20" s="81" t="s">
        <v>98</v>
      </c>
      <c r="F20" s="77" t="s">
        <v>51</v>
      </c>
      <c r="G20" s="64">
        <v>2</v>
      </c>
      <c r="H20" s="47">
        <f t="shared" si="0"/>
        <v>9.6618357487922701E-3</v>
      </c>
      <c r="I20" s="117">
        <v>2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10867.741935483871</v>
      </c>
      <c r="C21" s="49">
        <v>2358300</v>
      </c>
      <c r="E21" s="81" t="s">
        <v>81</v>
      </c>
      <c r="F21" s="77" t="s">
        <v>34</v>
      </c>
      <c r="G21" s="64">
        <v>1</v>
      </c>
      <c r="H21" s="47">
        <f t="shared" si="0"/>
        <v>4.830917874396135E-3</v>
      </c>
      <c r="I21" s="117">
        <v>5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-9706.1728395061727</v>
      </c>
      <c r="C22" s="62">
        <v>-1572400</v>
      </c>
      <c r="E22" s="81" t="s">
        <v>83</v>
      </c>
      <c r="F22" s="77" t="s">
        <v>36</v>
      </c>
      <c r="G22" s="64">
        <v>1</v>
      </c>
      <c r="H22" s="47">
        <f t="shared" si="0"/>
        <v>4.830917874396135E-3</v>
      </c>
      <c r="I22" s="117">
        <v>8</v>
      </c>
      <c r="K22" s="46">
        <v>20</v>
      </c>
      <c r="L22" s="123">
        <v>-270</v>
      </c>
    </row>
    <row r="23" spans="1:17" x14ac:dyDescent="0.4">
      <c r="A23" s="112" t="s">
        <v>159</v>
      </c>
      <c r="B23" s="149">
        <v>7</v>
      </c>
      <c r="C23" s="150"/>
      <c r="E23" s="81" t="s">
        <v>89</v>
      </c>
      <c r="F23" s="77" t="s">
        <v>42</v>
      </c>
      <c r="G23" s="64">
        <v>1</v>
      </c>
      <c r="H23" s="47">
        <f t="shared" si="0"/>
        <v>4.830917874396135E-3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47">
        <v>124700</v>
      </c>
      <c r="C24" s="148"/>
      <c r="E24" s="81" t="s">
        <v>90</v>
      </c>
      <c r="F24" s="77" t="s">
        <v>43</v>
      </c>
      <c r="G24" s="64">
        <v>1</v>
      </c>
      <c r="H24" s="47">
        <f t="shared" si="0"/>
        <v>4.830917874396135E-3</v>
      </c>
      <c r="I24" s="117">
        <v>3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9.2715231788079479E-3</v>
      </c>
      <c r="E25" s="81" t="s">
        <v>97</v>
      </c>
      <c r="F25" s="77" t="s">
        <v>50</v>
      </c>
      <c r="G25" s="64">
        <v>1</v>
      </c>
      <c r="H25" s="47">
        <f t="shared" si="0"/>
        <v>4.830917874396135E-3</v>
      </c>
      <c r="I25" s="117">
        <v>5</v>
      </c>
      <c r="K25" s="46">
        <v>23</v>
      </c>
      <c r="L25" s="123">
        <v>-200.9</v>
      </c>
    </row>
    <row r="26" spans="1:17" x14ac:dyDescent="0.4">
      <c r="A26" s="71" t="s">
        <v>126</v>
      </c>
      <c r="B26" s="139">
        <v>718</v>
      </c>
      <c r="C26" s="140"/>
      <c r="E26" s="81" t="s">
        <v>78</v>
      </c>
      <c r="F26" s="77" t="s">
        <v>31</v>
      </c>
      <c r="G26" s="64">
        <v>0</v>
      </c>
      <c r="H26" s="47">
        <f t="shared" si="0"/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53">
        <v>207</v>
      </c>
      <c r="C27" s="154"/>
      <c r="E27" s="81" t="s">
        <v>80</v>
      </c>
      <c r="F27" s="77" t="s">
        <v>33</v>
      </c>
      <c r="G27" s="64">
        <v>0</v>
      </c>
      <c r="H27" s="47">
        <f t="shared" si="0"/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 t="shared" si="0"/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 t="shared" si="0"/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 t="shared" si="0"/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 t="shared" si="0"/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 t="shared" si="0"/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 t="shared" si="0"/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  <row r="96" spans="11:12" x14ac:dyDescent="0.4">
      <c r="K96" s="46">
        <v>94</v>
      </c>
      <c r="L96" s="123">
        <v>-560.99999999999989</v>
      </c>
    </row>
    <row r="97" spans="11:12" x14ac:dyDescent="0.4">
      <c r="K97" s="46">
        <v>95</v>
      </c>
      <c r="L97" s="123">
        <v>-544.39999999999986</v>
      </c>
    </row>
    <row r="98" spans="11:12" x14ac:dyDescent="0.4">
      <c r="K98" s="46">
        <v>96</v>
      </c>
      <c r="L98" s="123">
        <v>-513.59999999999991</v>
      </c>
    </row>
    <row r="99" spans="11:12" x14ac:dyDescent="0.4">
      <c r="K99" s="46">
        <v>97</v>
      </c>
      <c r="L99" s="123">
        <v>-449.89999999999992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195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</v>
      </c>
      <c r="C2" s="140"/>
      <c r="E2" s="80" t="s">
        <v>67</v>
      </c>
      <c r="F2" s="76" t="s">
        <v>21</v>
      </c>
      <c r="G2" s="63">
        <v>12</v>
      </c>
      <c r="H2" s="45">
        <f t="shared" ref="H2:H33" si="0"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1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1">
        <v>50</v>
      </c>
      <c r="C3" s="142"/>
      <c r="E3" s="81" t="s">
        <v>69</v>
      </c>
      <c r="F3" s="77" t="s">
        <v>23</v>
      </c>
      <c r="G3" s="64">
        <v>12</v>
      </c>
      <c r="H3" s="47">
        <f t="shared" si="0"/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1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43">
        <v>47</v>
      </c>
      <c r="C4" s="144"/>
      <c r="E4" s="81" t="s">
        <v>71</v>
      </c>
      <c r="F4" s="77" t="s">
        <v>25</v>
      </c>
      <c r="G4" s="64">
        <v>12</v>
      </c>
      <c r="H4" s="47">
        <f t="shared" si="0"/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1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45">
        <f>IF(B$2=0,0,B$4/B$2)</f>
        <v>7.833333333333333</v>
      </c>
      <c r="C5" s="146"/>
      <c r="E5" s="81" t="s">
        <v>76</v>
      </c>
      <c r="F5" s="77" t="s">
        <v>29</v>
      </c>
      <c r="G5" s="64">
        <v>10</v>
      </c>
      <c r="H5" s="47">
        <f t="shared" si="0"/>
        <v>0.52631578947368418</v>
      </c>
      <c r="I5" s="117">
        <v>8</v>
      </c>
      <c r="K5" s="46">
        <v>3</v>
      </c>
      <c r="L5" s="123">
        <v>57.3</v>
      </c>
      <c r="N5" s="46" t="s">
        <v>150</v>
      </c>
      <c r="O5" s="127">
        <f t="shared" si="1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51">
        <f>IF(B$2=0,0,(B$7*1+B$8*2+B$9*3)/B$2)</f>
        <v>1.8333333333333333</v>
      </c>
      <c r="C6" s="152"/>
      <c r="E6" s="81" t="s">
        <v>70</v>
      </c>
      <c r="F6" s="77" t="s">
        <v>24</v>
      </c>
      <c r="G6" s="64">
        <v>7</v>
      </c>
      <c r="H6" s="47">
        <f t="shared" si="0"/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1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 t="shared" si="0"/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1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 t="shared" si="0"/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2">IF(B$2=0,0,B9/B$2)</f>
        <v>0.33333333333333331</v>
      </c>
      <c r="E9" s="81" t="s">
        <v>68</v>
      </c>
      <c r="F9" s="77" t="s">
        <v>22</v>
      </c>
      <c r="G9" s="64">
        <v>3</v>
      </c>
      <c r="H9" s="47">
        <f t="shared" si="0"/>
        <v>0.15789473684210525</v>
      </c>
      <c r="I9" s="117">
        <v>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 t="shared" si="0"/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 t="shared" si="0"/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 t="shared" si="0"/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 t="shared" si="0"/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 t="shared" si="0"/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 t="shared" si="0"/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 t="shared" si="0"/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 t="shared" si="0"/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 t="shared" si="0"/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 t="shared" si="0"/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 t="shared" si="0"/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 t="shared" si="0"/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 t="shared" si="0"/>
        <v>0</v>
      </c>
      <c r="I22" s="117">
        <v>1</v>
      </c>
    </row>
    <row r="23" spans="1:9" x14ac:dyDescent="0.4">
      <c r="A23" s="112" t="s">
        <v>159</v>
      </c>
      <c r="B23" s="149">
        <v>5</v>
      </c>
      <c r="C23" s="150"/>
      <c r="E23" s="81" t="s">
        <v>85</v>
      </c>
      <c r="F23" s="77" t="s">
        <v>38</v>
      </c>
      <c r="G23" s="64">
        <v>0</v>
      </c>
      <c r="H23" s="47">
        <f t="shared" si="0"/>
        <v>0</v>
      </c>
      <c r="I23" s="117">
        <v>3</v>
      </c>
    </row>
    <row r="24" spans="1:9" x14ac:dyDescent="0.4">
      <c r="A24" s="75" t="s">
        <v>200</v>
      </c>
      <c r="B24" s="147">
        <v>78000</v>
      </c>
      <c r="C24" s="148"/>
      <c r="E24" s="81" t="s">
        <v>86</v>
      </c>
      <c r="F24" s="77" t="s">
        <v>39</v>
      </c>
      <c r="G24" s="64">
        <v>0</v>
      </c>
      <c r="H24" s="47">
        <f t="shared" si="0"/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 t="shared" si="0"/>
        <v>0</v>
      </c>
      <c r="I25" s="117">
        <v>1</v>
      </c>
    </row>
    <row r="26" spans="1:9" x14ac:dyDescent="0.4">
      <c r="A26" s="71" t="s">
        <v>126</v>
      </c>
      <c r="B26" s="139">
        <v>50</v>
      </c>
      <c r="C26" s="140"/>
      <c r="E26" s="81" t="s">
        <v>88</v>
      </c>
      <c r="F26" s="77" t="s">
        <v>41</v>
      </c>
      <c r="G26" s="64">
        <v>0</v>
      </c>
      <c r="H26" s="47">
        <f t="shared" si="0"/>
        <v>0</v>
      </c>
      <c r="I26" s="117">
        <v>9</v>
      </c>
    </row>
    <row r="27" spans="1:9" x14ac:dyDescent="0.4">
      <c r="A27" s="74" t="s">
        <v>127</v>
      </c>
      <c r="B27" s="153">
        <v>19</v>
      </c>
      <c r="C27" s="154"/>
      <c r="E27" s="81" t="s">
        <v>89</v>
      </c>
      <c r="F27" s="77" t="s">
        <v>42</v>
      </c>
      <c r="G27" s="64">
        <v>0</v>
      </c>
      <c r="H27" s="47">
        <f t="shared" si="0"/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 t="shared" si="0"/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3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158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25</v>
      </c>
      <c r="C2" s="140"/>
      <c r="E2" s="80" t="s">
        <v>71</v>
      </c>
      <c r="F2" s="76" t="s">
        <v>25</v>
      </c>
      <c r="G2" s="63">
        <v>46</v>
      </c>
      <c r="H2" s="45">
        <f t="shared" ref="H2:H33" si="0"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1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1">
        <v>196</v>
      </c>
      <c r="C3" s="142"/>
      <c r="E3" s="81" t="s">
        <v>69</v>
      </c>
      <c r="F3" s="77" t="s">
        <v>23</v>
      </c>
      <c r="G3" s="64">
        <v>32</v>
      </c>
      <c r="H3" s="47">
        <f t="shared" si="0"/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1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43">
        <v>-240.00000000000003</v>
      </c>
      <c r="C4" s="144"/>
      <c r="E4" s="81" t="s">
        <v>76</v>
      </c>
      <c r="F4" s="77" t="s">
        <v>29</v>
      </c>
      <c r="G4" s="64">
        <v>32</v>
      </c>
      <c r="H4" s="47">
        <f t="shared" si="0"/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1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45">
        <f>IF(B$2=0,0,B$4/B$2)</f>
        <v>-9.6000000000000014</v>
      </c>
      <c r="C5" s="146"/>
      <c r="E5" s="81" t="s">
        <v>67</v>
      </c>
      <c r="F5" s="77" t="s">
        <v>21</v>
      </c>
      <c r="G5" s="64">
        <v>13</v>
      </c>
      <c r="H5" s="47">
        <f t="shared" si="0"/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1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51">
        <f>IF(B$2=0,0,(B$7*1+B$8*2+B$9*3)/B$2)</f>
        <v>2.3199999999999998</v>
      </c>
      <c r="C6" s="152"/>
      <c r="E6" s="81" t="s">
        <v>88</v>
      </c>
      <c r="F6" s="77" t="s">
        <v>41</v>
      </c>
      <c r="G6" s="64">
        <v>9</v>
      </c>
      <c r="H6" s="47">
        <f t="shared" si="0"/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1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 t="shared" si="0"/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1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 t="shared" si="0"/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2">IF(B$2=0,0,B9/B$2)</f>
        <v>0.52</v>
      </c>
      <c r="E9" s="81" t="s">
        <v>74</v>
      </c>
      <c r="F9" s="77" t="s">
        <v>27</v>
      </c>
      <c r="G9" s="64">
        <v>6</v>
      </c>
      <c r="H9" s="47">
        <f t="shared" si="0"/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 t="shared" si="0"/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 t="shared" ref="O10:O15" si="3"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 t="shared" si="0"/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 t="shared" si="3"/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 t="shared" si="0"/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 t="shared" si="3"/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 t="shared" si="0"/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 t="shared" si="3"/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 t="shared" si="0"/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 t="shared" si="3"/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 t="shared" si="0"/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 t="shared" si="3"/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 t="shared" si="0"/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 t="shared" si="0"/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 t="shared" si="0"/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 t="shared" si="0"/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 t="shared" si="0"/>
        <v>2.2727272727272728E-2</v>
      </c>
      <c r="I20" s="117">
        <v>4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 t="shared" si="0"/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 t="shared" si="0"/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49">
        <v>5</v>
      </c>
      <c r="C23" s="150"/>
      <c r="E23" s="81" t="s">
        <v>79</v>
      </c>
      <c r="F23" s="77" t="s">
        <v>32</v>
      </c>
      <c r="G23" s="64">
        <v>0</v>
      </c>
      <c r="H23" s="47">
        <f t="shared" si="0"/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47">
        <v>67700</v>
      </c>
      <c r="C24" s="148"/>
      <c r="E24" s="81" t="s">
        <v>80</v>
      </c>
      <c r="F24" s="77" t="s">
        <v>33</v>
      </c>
      <c r="G24" s="64">
        <v>0</v>
      </c>
      <c r="H24" s="47">
        <f t="shared" si="0"/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39">
        <v>196</v>
      </c>
      <c r="C26" s="140"/>
      <c r="E26" s="81" t="s">
        <v>85</v>
      </c>
      <c r="F26" s="77" t="s">
        <v>38</v>
      </c>
      <c r="G26" s="64">
        <v>0</v>
      </c>
      <c r="H26" s="47">
        <f t="shared" si="0"/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53">
        <v>44</v>
      </c>
      <c r="C27" s="154"/>
      <c r="E27" s="81" t="s">
        <v>87</v>
      </c>
      <c r="F27" s="77" t="s">
        <v>40</v>
      </c>
      <c r="G27" s="64">
        <v>0</v>
      </c>
      <c r="H27" s="47">
        <f t="shared" si="0"/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 t="shared" si="0"/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65" si="4"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10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  <row r="97" spans="1:17" x14ac:dyDescent="0.4">
      <c r="A97" s="87">
        <v>94</v>
      </c>
      <c r="B97" s="84">
        <v>-560.99999999999989</v>
      </c>
      <c r="C97" s="84">
        <v>-5.9680851063829774</v>
      </c>
      <c r="D97" s="89">
        <v>2.2127659574468086</v>
      </c>
      <c r="E97" s="85">
        <v>0.23404255319148937</v>
      </c>
      <c r="F97" s="85">
        <v>0.28219178082191781</v>
      </c>
      <c r="G97" s="85">
        <v>0.21643835616438356</v>
      </c>
      <c r="H97" s="86">
        <v>10687.378640776698</v>
      </c>
      <c r="I97" s="86">
        <v>-9739.2405063291135</v>
      </c>
      <c r="J97" s="85">
        <v>0.23404255319148937</v>
      </c>
      <c r="K97" s="85">
        <v>0.1276595744680851</v>
      </c>
      <c r="L97" s="85">
        <v>9.5744680851063829E-2</v>
      </c>
      <c r="M97" s="85">
        <v>0.30303030303030304</v>
      </c>
      <c r="N97" s="85">
        <v>0.20779220779220781</v>
      </c>
      <c r="O97" s="85">
        <v>0.57619047619047614</v>
      </c>
      <c r="P97" s="85">
        <v>0.375</v>
      </c>
      <c r="Q97" s="85">
        <v>0.4563106796116505</v>
      </c>
    </row>
    <row r="98" spans="1:17" x14ac:dyDescent="0.4">
      <c r="A98" s="87">
        <v>95</v>
      </c>
      <c r="B98" s="84">
        <v>-544.39999999999986</v>
      </c>
      <c r="C98" s="84">
        <v>-5.7305263157894721</v>
      </c>
      <c r="D98" s="89">
        <v>2.2000000000000002</v>
      </c>
      <c r="E98" s="85">
        <v>0.24210526315789474</v>
      </c>
      <c r="F98" s="85">
        <v>0.28416779431664413</v>
      </c>
      <c r="G98" s="85">
        <v>0.21650879566982409</v>
      </c>
      <c r="H98" s="86">
        <v>10653.809523809523</v>
      </c>
      <c r="I98" s="86">
        <v>-9746.25</v>
      </c>
      <c r="J98" s="85">
        <v>0.23157894736842105</v>
      </c>
      <c r="K98" s="85">
        <v>0.12631578947368421</v>
      </c>
      <c r="L98" s="85">
        <v>9.4736842105263161E-2</v>
      </c>
      <c r="M98" s="85">
        <v>0.30199430199430199</v>
      </c>
      <c r="N98" s="85">
        <v>0.20797720797720798</v>
      </c>
      <c r="O98" s="85">
        <v>0.58018867924528306</v>
      </c>
      <c r="P98" s="85">
        <v>0.37671232876712329</v>
      </c>
      <c r="Q98" s="85">
        <v>0.45238095238095238</v>
      </c>
    </row>
    <row r="99" spans="1:17" x14ac:dyDescent="0.4">
      <c r="A99" s="87">
        <v>96</v>
      </c>
      <c r="B99" s="84">
        <v>-513.59999999999991</v>
      </c>
      <c r="C99" s="84">
        <v>-5.3499999999999988</v>
      </c>
      <c r="D99" s="89">
        <v>2.1875</v>
      </c>
      <c r="E99" s="85">
        <v>0.25</v>
      </c>
      <c r="F99" s="85">
        <v>0.2857142857142857</v>
      </c>
      <c r="G99" s="85">
        <v>0.21628838451268359</v>
      </c>
      <c r="H99" s="86">
        <v>10696.728971962617</v>
      </c>
      <c r="I99" s="86">
        <v>-9706.1728395061727</v>
      </c>
      <c r="J99" s="85">
        <v>0.22916666666666666</v>
      </c>
      <c r="K99" s="85">
        <v>0.125</v>
      </c>
      <c r="L99" s="85">
        <v>9.375E-2</v>
      </c>
      <c r="M99" s="85">
        <v>0.30337078651685395</v>
      </c>
      <c r="N99" s="85">
        <v>0.20646067415730338</v>
      </c>
      <c r="O99" s="85">
        <v>0.58796296296296291</v>
      </c>
      <c r="P99" s="85">
        <v>0.37414965986394561</v>
      </c>
      <c r="Q99" s="85">
        <v>0.45794392523364486</v>
      </c>
    </row>
    <row r="100" spans="1:17" x14ac:dyDescent="0.4">
      <c r="A100" s="87">
        <v>97</v>
      </c>
      <c r="B100" s="84">
        <v>-449.89999999999992</v>
      </c>
      <c r="C100" s="84">
        <v>-4.6381443298969067</v>
      </c>
      <c r="D100" s="89">
        <v>2.1752577319587627</v>
      </c>
      <c r="E100" s="85">
        <v>0.25773195876288657</v>
      </c>
      <c r="F100" s="85">
        <v>0.28741721854304636</v>
      </c>
      <c r="G100" s="85">
        <v>0.21456953642384105</v>
      </c>
      <c r="H100" s="86">
        <v>10867.741935483871</v>
      </c>
      <c r="I100" s="86">
        <v>-9706.1728395061727</v>
      </c>
      <c r="J100" s="85">
        <v>0.22680412371134021</v>
      </c>
      <c r="K100" s="85">
        <v>0.13402061855670103</v>
      </c>
      <c r="L100" s="85">
        <v>0.10309278350515463</v>
      </c>
      <c r="M100" s="85">
        <v>0.30362116991643456</v>
      </c>
      <c r="N100" s="85">
        <v>0.20473537604456823</v>
      </c>
      <c r="O100" s="85">
        <v>0.59174311926605505</v>
      </c>
      <c r="P100" s="85">
        <v>0.37414965986394561</v>
      </c>
      <c r="Q100" s="85">
        <v>0.46082949308755761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  <row r="27" spans="1:17" x14ac:dyDescent="0.4">
      <c r="A27" s="87">
        <v>24</v>
      </c>
      <c r="B27" s="84">
        <v>81.500000000000028</v>
      </c>
      <c r="C27" s="84">
        <v>3.3958333333333344</v>
      </c>
      <c r="D27" s="89">
        <v>1.9583333333333333</v>
      </c>
      <c r="E27" s="85">
        <v>0.375</v>
      </c>
      <c r="F27" s="85">
        <v>0.29166666666666669</v>
      </c>
      <c r="G27" s="85">
        <v>0.16666666666666666</v>
      </c>
      <c r="H27" s="86">
        <v>11258.928571428571</v>
      </c>
      <c r="I27" s="86">
        <v>-9209.375</v>
      </c>
      <c r="J27" s="85">
        <v>0.20833333333333334</v>
      </c>
      <c r="K27" s="85">
        <v>0.16666666666666666</v>
      </c>
      <c r="L27" s="85">
        <v>8.3333333333333329E-2</v>
      </c>
      <c r="M27" s="85">
        <v>0.32727272727272727</v>
      </c>
      <c r="N27" s="85">
        <v>0.25454545454545452</v>
      </c>
      <c r="O27" s="85">
        <v>0.5</v>
      </c>
      <c r="P27" s="85">
        <v>0.17857142857142858</v>
      </c>
      <c r="Q27" s="85">
        <v>0.44642857142857145</v>
      </c>
    </row>
    <row r="28" spans="1:17" x14ac:dyDescent="0.4">
      <c r="A28" s="87">
        <v>25</v>
      </c>
      <c r="B28" s="84">
        <v>79.500000000000028</v>
      </c>
      <c r="C28" s="84">
        <v>3.180000000000001</v>
      </c>
      <c r="D28" s="89">
        <v>1.96</v>
      </c>
      <c r="E28" s="85">
        <v>0.36</v>
      </c>
      <c r="F28" s="85">
        <v>0.29064039408866993</v>
      </c>
      <c r="G28" s="85">
        <v>0.16748768472906403</v>
      </c>
      <c r="H28" s="86">
        <v>11137.28813559322</v>
      </c>
      <c r="I28" s="86">
        <v>-8979.4117647058829</v>
      </c>
      <c r="J28" s="85">
        <v>0.2</v>
      </c>
      <c r="K28" s="85">
        <v>0.16</v>
      </c>
      <c r="L28" s="85">
        <v>0.08</v>
      </c>
      <c r="M28" s="85">
        <v>0.32231404958677684</v>
      </c>
      <c r="N28" s="85">
        <v>0.24793388429752067</v>
      </c>
      <c r="O28" s="85">
        <v>0.48717948717948717</v>
      </c>
      <c r="P28" s="85">
        <v>0.16666666666666666</v>
      </c>
      <c r="Q28" s="85">
        <v>0.44067796610169491</v>
      </c>
    </row>
    <row r="29" spans="1:17" x14ac:dyDescent="0.4">
      <c r="A29" s="87">
        <v>26</v>
      </c>
      <c r="B29" s="84">
        <v>51.10000000000003</v>
      </c>
      <c r="C29" s="84">
        <v>1.9653846153846166</v>
      </c>
      <c r="D29" s="89">
        <v>2</v>
      </c>
      <c r="E29" s="85">
        <v>0.34615384615384615</v>
      </c>
      <c r="F29" s="85">
        <v>0.27906976744186046</v>
      </c>
      <c r="G29" s="85">
        <v>0.16279069767441862</v>
      </c>
      <c r="H29" s="86">
        <v>11218.333333333334</v>
      </c>
      <c r="I29" s="86">
        <v>-8805.7142857142862</v>
      </c>
      <c r="J29" s="85">
        <v>0.19230769230769232</v>
      </c>
      <c r="K29" s="85">
        <v>0.15384615384615385</v>
      </c>
      <c r="L29" s="85">
        <v>7.6923076923076927E-2</v>
      </c>
      <c r="M29" s="85">
        <v>0.30827067669172931</v>
      </c>
      <c r="N29" s="85">
        <v>0.24060150375939848</v>
      </c>
      <c r="O29" s="85">
        <v>0.48780487804878048</v>
      </c>
      <c r="P29" s="85">
        <v>0.15625</v>
      </c>
      <c r="Q29" s="85">
        <v>0.45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9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  <row r="94" spans="1:17" x14ac:dyDescent="0.4">
      <c r="A94" s="87">
        <v>91</v>
      </c>
      <c r="B94" s="84">
        <v>252.39999999999992</v>
      </c>
      <c r="C94" s="84">
        <v>2.7736263736263727</v>
      </c>
      <c r="D94" s="89">
        <v>1.901098901098901</v>
      </c>
      <c r="E94" s="85">
        <v>0.39560439560439559</v>
      </c>
      <c r="F94" s="85">
        <v>0.31075110456553756</v>
      </c>
      <c r="G94" s="85">
        <v>0.16200294550810015</v>
      </c>
      <c r="H94" s="86">
        <v>10525.592417061611</v>
      </c>
      <c r="I94" s="86">
        <v>-9109.0909090909099</v>
      </c>
      <c r="J94" s="85">
        <v>0.12087912087912088</v>
      </c>
      <c r="K94" s="85">
        <v>0.18681318681318682</v>
      </c>
      <c r="L94" s="85">
        <v>0.12087912087912088</v>
      </c>
      <c r="M94" s="85">
        <v>0.32549728752260398</v>
      </c>
      <c r="N94" s="85">
        <v>0.22965641952983726</v>
      </c>
      <c r="O94" s="85">
        <v>0.57777777777777772</v>
      </c>
      <c r="P94" s="85">
        <v>0.38582677165354329</v>
      </c>
      <c r="Q94" s="85">
        <v>0.45023696682464454</v>
      </c>
    </row>
    <row r="95" spans="1:17" x14ac:dyDescent="0.4">
      <c r="A95" s="87">
        <v>92</v>
      </c>
      <c r="B95" s="84">
        <v>278.59999999999991</v>
      </c>
      <c r="C95" s="84">
        <v>3.0282608695652162</v>
      </c>
      <c r="D95" s="89">
        <v>1.8913043478260869</v>
      </c>
      <c r="E95" s="85">
        <v>0.40217391304347827</v>
      </c>
      <c r="F95" s="85">
        <v>0.31259044862518087</v>
      </c>
      <c r="G95" s="85">
        <v>0.15918958031837915</v>
      </c>
      <c r="H95" s="86">
        <v>10476.851851851852</v>
      </c>
      <c r="I95" s="86">
        <v>-9109.0909090909099</v>
      </c>
      <c r="J95" s="85">
        <v>0.11956521739130435</v>
      </c>
      <c r="K95" s="85">
        <v>0.18478260869565216</v>
      </c>
      <c r="L95" s="85">
        <v>0.11956521739130435</v>
      </c>
      <c r="M95" s="85">
        <v>0.32035398230088497</v>
      </c>
      <c r="N95" s="85">
        <v>0.23185840707964603</v>
      </c>
      <c r="O95" s="85">
        <v>0.58011049723756902</v>
      </c>
      <c r="P95" s="85">
        <v>0.39694656488549618</v>
      </c>
      <c r="Q95" s="85">
        <v>0.45833333333333331</v>
      </c>
    </row>
    <row r="96" spans="1:17" x14ac:dyDescent="0.4">
      <c r="A96" s="87">
        <v>93</v>
      </c>
      <c r="B96" s="84">
        <v>264.7999999999999</v>
      </c>
      <c r="C96" s="84">
        <v>2.8473118279569882</v>
      </c>
      <c r="D96" s="89">
        <v>1.903225806451613</v>
      </c>
      <c r="E96" s="85">
        <v>0.39784946236559138</v>
      </c>
      <c r="F96" s="85">
        <v>0.31196581196581197</v>
      </c>
      <c r="G96" s="85">
        <v>0.15954415954415954</v>
      </c>
      <c r="H96" s="86">
        <v>10417.808219178081</v>
      </c>
      <c r="I96" s="86">
        <v>-9088.3928571428569</v>
      </c>
      <c r="J96" s="85">
        <v>0.11827956989247312</v>
      </c>
      <c r="K96" s="85">
        <v>0.18279569892473119</v>
      </c>
      <c r="L96" s="85">
        <v>0.11827956989247312</v>
      </c>
      <c r="M96" s="85">
        <v>0.32291666666666669</v>
      </c>
      <c r="N96" s="85">
        <v>0.22916666666666666</v>
      </c>
      <c r="O96" s="85">
        <v>0.57526881720430112</v>
      </c>
      <c r="P96" s="85">
        <v>0.39393939393939392</v>
      </c>
      <c r="Q96" s="85">
        <v>0.45662100456621002</v>
      </c>
    </row>
    <row r="97" spans="1:17" x14ac:dyDescent="0.4">
      <c r="A97" s="87">
        <v>94</v>
      </c>
      <c r="B97" s="84">
        <v>247.89999999999989</v>
      </c>
      <c r="C97" s="84">
        <v>2.6372340425531902</v>
      </c>
      <c r="D97" s="89">
        <v>1.9148936170212767</v>
      </c>
      <c r="E97" s="85">
        <v>0.39361702127659576</v>
      </c>
      <c r="F97" s="85">
        <v>0.3108298171589311</v>
      </c>
      <c r="G97" s="85">
        <v>0.16033755274261605</v>
      </c>
      <c r="H97" s="86">
        <v>10416.742081447965</v>
      </c>
      <c r="I97" s="86">
        <v>-9139.4736842105267</v>
      </c>
      <c r="J97" s="85">
        <v>0.11702127659574468</v>
      </c>
      <c r="K97" s="85">
        <v>0.18085106382978725</v>
      </c>
      <c r="L97" s="85">
        <v>0.11702127659574468</v>
      </c>
      <c r="M97" s="85">
        <v>0.31965811965811963</v>
      </c>
      <c r="N97" s="85">
        <v>0.22564102564102564</v>
      </c>
      <c r="O97" s="85">
        <v>0.57754010695187163</v>
      </c>
      <c r="P97" s="85">
        <v>0.39393939393939392</v>
      </c>
      <c r="Q97" s="85">
        <v>0.45248868778280543</v>
      </c>
    </row>
    <row r="98" spans="1:17" x14ac:dyDescent="0.4">
      <c r="A98" s="87">
        <v>95</v>
      </c>
      <c r="B98" s="84">
        <v>222.49999999999989</v>
      </c>
      <c r="C98" s="84">
        <v>2.3421052631578934</v>
      </c>
      <c r="D98" s="89">
        <v>1.9263157894736842</v>
      </c>
      <c r="E98" s="85">
        <v>0.38947368421052631</v>
      </c>
      <c r="F98" s="85">
        <v>0.30929264909847431</v>
      </c>
      <c r="G98" s="85">
        <v>0.16088765603328711</v>
      </c>
      <c r="H98" s="86">
        <v>10395.067264573991</v>
      </c>
      <c r="I98" s="86">
        <v>-9154.310344827587</v>
      </c>
      <c r="J98" s="85">
        <v>0.11578947368421053</v>
      </c>
      <c r="K98" s="85">
        <v>0.17894736842105263</v>
      </c>
      <c r="L98" s="85">
        <v>0.11578947368421053</v>
      </c>
      <c r="M98" s="85">
        <v>0.31764705882352939</v>
      </c>
      <c r="N98" s="85">
        <v>0.22184873949579831</v>
      </c>
      <c r="O98" s="85">
        <v>0.57671957671957674</v>
      </c>
      <c r="P98" s="85">
        <v>0.39393939393939392</v>
      </c>
      <c r="Q98" s="85">
        <v>0.45739910313901344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2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  <row r="120" spans="1:17" x14ac:dyDescent="0.4">
      <c r="A120" s="87">
        <v>117</v>
      </c>
      <c r="B120" s="84">
        <v>-374.39999999999992</v>
      </c>
      <c r="C120" s="84">
        <v>-3.1999999999999993</v>
      </c>
      <c r="D120" s="89">
        <v>2.0854700854700856</v>
      </c>
      <c r="E120" s="85">
        <v>0.30769230769230771</v>
      </c>
      <c r="F120" s="85">
        <v>0.25962596259625964</v>
      </c>
      <c r="G120" s="85">
        <v>0.19361936193619361</v>
      </c>
      <c r="H120" s="86">
        <v>11156.77966101695</v>
      </c>
      <c r="I120" s="86">
        <v>-9556.25</v>
      </c>
      <c r="J120" s="85">
        <v>0.19658119658119658</v>
      </c>
      <c r="K120" s="85">
        <v>0.13675213675213677</v>
      </c>
      <c r="L120" s="85">
        <v>7.6923076923076927E-2</v>
      </c>
      <c r="M120" s="85">
        <v>0.29475308641975306</v>
      </c>
      <c r="N120" s="85">
        <v>0.17129629629629631</v>
      </c>
      <c r="O120" s="85">
        <v>0.5759162303664922</v>
      </c>
      <c r="P120" s="85">
        <v>0.38738738738738737</v>
      </c>
      <c r="Q120" s="85">
        <v>0.42372881355932202</v>
      </c>
    </row>
    <row r="121" spans="1:17" x14ac:dyDescent="0.4">
      <c r="A121" s="87">
        <v>118</v>
      </c>
      <c r="B121" s="84">
        <v>-374.2999999999999</v>
      </c>
      <c r="C121" s="84">
        <v>-3.172033898305084</v>
      </c>
      <c r="D121" s="89">
        <v>2.0847457627118646</v>
      </c>
      <c r="E121" s="85">
        <v>0.30508474576271188</v>
      </c>
      <c r="F121" s="85">
        <v>0.25760869565217392</v>
      </c>
      <c r="G121" s="85">
        <v>0.19130434782608696</v>
      </c>
      <c r="H121" s="86">
        <v>11160.337552742616</v>
      </c>
      <c r="I121" s="86">
        <v>-9556.25</v>
      </c>
      <c r="J121" s="85">
        <v>0.19491525423728814</v>
      </c>
      <c r="K121" s="85">
        <v>0.13559322033898305</v>
      </c>
      <c r="L121" s="85">
        <v>7.6271186440677971E-2</v>
      </c>
      <c r="M121" s="85">
        <v>0.29590288315629742</v>
      </c>
      <c r="N121" s="85">
        <v>0.16995447647951442</v>
      </c>
      <c r="O121" s="85">
        <v>0.56923076923076921</v>
      </c>
      <c r="P121" s="85">
        <v>0.38392857142857145</v>
      </c>
      <c r="Q121" s="85">
        <v>0.42616033755274263</v>
      </c>
    </row>
    <row r="122" spans="1:17" x14ac:dyDescent="0.4">
      <c r="A122" s="87">
        <v>119</v>
      </c>
      <c r="B122" s="84">
        <v>-394.7999999999999</v>
      </c>
      <c r="C122" s="84">
        <v>-3.3176470588235287</v>
      </c>
      <c r="D122" s="89">
        <v>2.0840336134453783</v>
      </c>
      <c r="E122" s="85">
        <v>0.30252100840336132</v>
      </c>
      <c r="F122" s="85">
        <v>0.25809935205183587</v>
      </c>
      <c r="G122" s="85">
        <v>0.19006479481641469</v>
      </c>
      <c r="H122" s="86">
        <v>11142.259414225942</v>
      </c>
      <c r="I122" s="86">
        <v>-9556.25</v>
      </c>
      <c r="J122" s="85">
        <v>0.19327731092436976</v>
      </c>
      <c r="K122" s="85">
        <v>0.13445378151260504</v>
      </c>
      <c r="L122" s="85">
        <v>7.5630252100840331E-2</v>
      </c>
      <c r="M122" s="85">
        <v>0.29624060150375942</v>
      </c>
      <c r="N122" s="85">
        <v>0.1699248120300752</v>
      </c>
      <c r="O122" s="85">
        <v>0.57360406091370564</v>
      </c>
      <c r="P122" s="85">
        <v>0.38053097345132741</v>
      </c>
      <c r="Q122" s="85">
        <v>0.42677824267782427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20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  <row r="201" spans="1:17" x14ac:dyDescent="0.4">
      <c r="A201" s="87">
        <v>198</v>
      </c>
      <c r="B201" s="84">
        <v>1291.6000000000001</v>
      </c>
      <c r="C201" s="84">
        <v>6.5232323232323237</v>
      </c>
      <c r="D201" s="89">
        <v>1.7878787878787878</v>
      </c>
      <c r="E201" s="85">
        <v>0.42929292929292928</v>
      </c>
      <c r="F201" s="85">
        <v>0.35313977042538824</v>
      </c>
      <c r="G201" s="85">
        <v>0.14112086428089129</v>
      </c>
      <c r="H201" s="86">
        <v>10006.692160611854</v>
      </c>
      <c r="I201" s="86">
        <v>-9451.1961722488031</v>
      </c>
      <c r="J201" s="85">
        <v>0.10101010101010101</v>
      </c>
      <c r="K201" s="85">
        <v>0.20707070707070707</v>
      </c>
      <c r="L201" s="85">
        <v>9.5959595959595953E-2</v>
      </c>
      <c r="M201" s="85">
        <v>0.30341463414634146</v>
      </c>
      <c r="N201" s="85">
        <v>0.20585365853658535</v>
      </c>
      <c r="O201" s="85">
        <v>0.65594855305466238</v>
      </c>
      <c r="P201" s="85">
        <v>0.47393364928909953</v>
      </c>
      <c r="Q201" s="85">
        <v>0.38049713193116635</v>
      </c>
    </row>
    <row r="202" spans="1:17" x14ac:dyDescent="0.4">
      <c r="A202" s="87">
        <v>199</v>
      </c>
      <c r="B202" s="84">
        <v>1284.0000000000002</v>
      </c>
      <c r="C202" s="84">
        <v>6.4522613065326642</v>
      </c>
      <c r="D202" s="89">
        <v>1.7939698492462313</v>
      </c>
      <c r="E202" s="85">
        <v>0.42713567839195982</v>
      </c>
      <c r="F202" s="85">
        <v>0.35388739946380698</v>
      </c>
      <c r="G202" s="85">
        <v>0.14209115281501342</v>
      </c>
      <c r="H202" s="86">
        <v>9969.69696969697</v>
      </c>
      <c r="I202" s="86">
        <v>-9442.9245283018863</v>
      </c>
      <c r="J202" s="85">
        <v>0.10050251256281408</v>
      </c>
      <c r="K202" s="85">
        <v>0.20603015075376885</v>
      </c>
      <c r="L202" s="85">
        <v>9.5477386934673364E-2</v>
      </c>
      <c r="M202" s="85">
        <v>0.30598455598455598</v>
      </c>
      <c r="N202" s="85">
        <v>0.2055984555984556</v>
      </c>
      <c r="O202" s="85">
        <v>0.65615141955835965</v>
      </c>
      <c r="P202" s="85">
        <v>0.47417840375586856</v>
      </c>
      <c r="Q202" s="85">
        <v>0.37878787878787878</v>
      </c>
    </row>
    <row r="203" spans="1:17" x14ac:dyDescent="0.4">
      <c r="A203" s="87">
        <v>200</v>
      </c>
      <c r="B203" s="84">
        <v>1297.7000000000003</v>
      </c>
      <c r="C203" s="84">
        <v>6.488500000000001</v>
      </c>
      <c r="D203" s="89">
        <v>1.79</v>
      </c>
      <c r="E203" s="85">
        <v>0.43</v>
      </c>
      <c r="F203" s="85">
        <v>0.35395874916833003</v>
      </c>
      <c r="G203" s="85">
        <v>0.14238190286094476</v>
      </c>
      <c r="H203" s="86">
        <v>9961.8421052631584</v>
      </c>
      <c r="I203" s="86">
        <v>-9416.3551401869154</v>
      </c>
      <c r="J203" s="85">
        <v>0.1</v>
      </c>
      <c r="K203" s="85">
        <v>0.20499999999999999</v>
      </c>
      <c r="L203" s="85">
        <v>0.1</v>
      </c>
      <c r="M203" s="85">
        <v>0.30468003820439349</v>
      </c>
      <c r="N203" s="85">
        <v>0.2072588347659981</v>
      </c>
      <c r="O203" s="85">
        <v>0.65830721003134796</v>
      </c>
      <c r="P203" s="85">
        <v>0.47004608294930877</v>
      </c>
      <c r="Q203" s="85">
        <v>0.37969924812030076</v>
      </c>
    </row>
    <row r="204" spans="1:17" x14ac:dyDescent="0.4">
      <c r="A204" s="87">
        <v>201</v>
      </c>
      <c r="B204" s="84">
        <v>1298.0000000000002</v>
      </c>
      <c r="C204" s="84">
        <v>6.4577114427860707</v>
      </c>
      <c r="D204" s="89">
        <v>1.791044776119403</v>
      </c>
      <c r="E204" s="85">
        <v>0.42786069651741293</v>
      </c>
      <c r="F204" s="85">
        <v>0.3531746031746032</v>
      </c>
      <c r="G204" s="85">
        <v>0.14351851851851852</v>
      </c>
      <c r="H204" s="86">
        <v>9969.4756554307114</v>
      </c>
      <c r="I204" s="86">
        <v>-9367.7419354838712</v>
      </c>
      <c r="J204" s="85">
        <v>9.950248756218906E-2</v>
      </c>
      <c r="K204" s="85">
        <v>0.20398009950248755</v>
      </c>
      <c r="L204" s="85">
        <v>9.950248756218906E-2</v>
      </c>
      <c r="M204" s="85">
        <v>0.30492424242424243</v>
      </c>
      <c r="N204" s="85">
        <v>0.20738636363636365</v>
      </c>
      <c r="O204" s="85">
        <v>0.65527950310559002</v>
      </c>
      <c r="P204" s="85">
        <v>0.47031963470319632</v>
      </c>
      <c r="Q204" s="85">
        <v>0.37827715355805241</v>
      </c>
    </row>
    <row r="205" spans="1:17" x14ac:dyDescent="0.4">
      <c r="A205" s="87">
        <v>202</v>
      </c>
      <c r="B205" s="84">
        <v>1292.6000000000001</v>
      </c>
      <c r="C205" s="84">
        <v>6.3990099009900998</v>
      </c>
      <c r="D205" s="89">
        <v>1.7920792079207921</v>
      </c>
      <c r="E205" s="85">
        <v>0.42574257425742573</v>
      </c>
      <c r="F205" s="85">
        <v>0.35282522996057819</v>
      </c>
      <c r="G205" s="85">
        <v>0.1425755584756899</v>
      </c>
      <c r="H205" s="86">
        <v>9952.8864059590323</v>
      </c>
      <c r="I205" s="86">
        <v>-9367.7419354838712</v>
      </c>
      <c r="J205" s="85">
        <v>9.9009900990099015E-2</v>
      </c>
      <c r="K205" s="85">
        <v>0.20297029702970298</v>
      </c>
      <c r="L205" s="85">
        <v>9.9009900990099015E-2</v>
      </c>
      <c r="M205" s="85">
        <v>0.30393996247654786</v>
      </c>
      <c r="N205" s="85">
        <v>0.20637898686679174</v>
      </c>
      <c r="O205" s="85">
        <v>0.65740740740740744</v>
      </c>
      <c r="P205" s="85">
        <v>0.47272727272727272</v>
      </c>
      <c r="Q205" s="85">
        <v>0.37616387337057727</v>
      </c>
    </row>
    <row r="206" spans="1:17" x14ac:dyDescent="0.4">
      <c r="A206" s="87">
        <v>203</v>
      </c>
      <c r="B206" s="84">
        <v>1249.4000000000001</v>
      </c>
      <c r="C206" s="84">
        <v>6.1546798029556653</v>
      </c>
      <c r="D206" s="89">
        <v>1.7980295566502462</v>
      </c>
      <c r="E206" s="85">
        <v>0.42364532019704432</v>
      </c>
      <c r="F206" s="85">
        <v>0.35209424083769636</v>
      </c>
      <c r="G206" s="85">
        <v>0.14332460732984292</v>
      </c>
      <c r="H206" s="86">
        <v>9949.2565055762079</v>
      </c>
      <c r="I206" s="86">
        <v>-9351.5981735159821</v>
      </c>
      <c r="J206" s="85">
        <v>0.10344827586206896</v>
      </c>
      <c r="K206" s="85">
        <v>0.2019704433497537</v>
      </c>
      <c r="L206" s="85">
        <v>9.8522167487684734E-2</v>
      </c>
      <c r="M206" s="85">
        <v>0.30410447761194032</v>
      </c>
      <c r="N206" s="85">
        <v>0.20522388059701493</v>
      </c>
      <c r="O206" s="85">
        <v>0.65644171779141103</v>
      </c>
      <c r="P206" s="85">
        <v>0.47272727272727272</v>
      </c>
      <c r="Q206" s="85">
        <v>0.37732342007434944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3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  <row r="229" spans="1:17" x14ac:dyDescent="0.4">
      <c r="A229" s="87">
        <v>226</v>
      </c>
      <c r="B229" s="84">
        <v>-4.9999999999999503</v>
      </c>
      <c r="C229" s="84">
        <v>-7.3746312684365052E-3</v>
      </c>
      <c r="D229" s="89">
        <v>2</v>
      </c>
      <c r="E229" s="85">
        <v>0.33333333333333331</v>
      </c>
      <c r="F229" s="85">
        <v>0.30336641369916328</v>
      </c>
      <c r="G229" s="85">
        <v>0.17318544463903482</v>
      </c>
      <c r="H229" s="86">
        <v>10247.402180885183</v>
      </c>
      <c r="I229" s="86">
        <v>-9443.9325842696635</v>
      </c>
      <c r="J229" s="85">
        <v>0.16371681415929204</v>
      </c>
      <c r="K229" s="85">
        <v>0.16371681415929204</v>
      </c>
      <c r="L229" s="85">
        <v>8.4070796460176997E-2</v>
      </c>
      <c r="M229" s="85">
        <v>0.29196884233145315</v>
      </c>
      <c r="N229" s="85">
        <v>0.22186408810099381</v>
      </c>
      <c r="O229" s="85">
        <v>0.58785648574057037</v>
      </c>
      <c r="P229" s="85">
        <v>0.38983050847457629</v>
      </c>
      <c r="Q229" s="85">
        <v>0.41693393200769724</v>
      </c>
    </row>
    <row r="230" spans="1:17" x14ac:dyDescent="0.4">
      <c r="A230" s="87">
        <v>227</v>
      </c>
      <c r="B230" s="84">
        <v>-4.9999999999999503</v>
      </c>
      <c r="C230" s="84">
        <v>-7.342143906020485E-3</v>
      </c>
      <c r="D230" s="89">
        <v>2</v>
      </c>
      <c r="E230" s="85">
        <v>0.33333333333333331</v>
      </c>
      <c r="F230" s="85">
        <v>0.30336426914153131</v>
      </c>
      <c r="G230" s="85">
        <v>0.17343387470997679</v>
      </c>
      <c r="H230" s="86">
        <v>10237.603569152327</v>
      </c>
      <c r="I230" s="86">
        <v>-9424.9721293199545</v>
      </c>
      <c r="J230" s="85">
        <v>0.16299559471365638</v>
      </c>
      <c r="K230" s="85">
        <v>0.16299559471365638</v>
      </c>
      <c r="L230" s="85">
        <v>8.3700440528634359E-2</v>
      </c>
      <c r="M230" s="85">
        <v>0.29259850905218315</v>
      </c>
      <c r="N230" s="85">
        <v>0.22177848775292866</v>
      </c>
      <c r="O230" s="85">
        <v>0.5868971792538672</v>
      </c>
      <c r="P230" s="85">
        <v>0.38895558223289317</v>
      </c>
      <c r="Q230" s="85">
        <v>0.41618865519439135</v>
      </c>
    </row>
    <row r="231" spans="1:17" x14ac:dyDescent="0.4">
      <c r="A231" s="87">
        <v>228</v>
      </c>
      <c r="B231" s="84">
        <v>-4.9999999999999494</v>
      </c>
      <c r="C231" s="84">
        <v>-7.3099415204677621E-3</v>
      </c>
      <c r="D231" s="89">
        <v>2</v>
      </c>
      <c r="E231" s="85">
        <v>0.33333333333333331</v>
      </c>
      <c r="F231" s="85">
        <v>0.30318740399385563</v>
      </c>
      <c r="G231" s="85">
        <v>0.17261904761904762</v>
      </c>
      <c r="H231" s="86">
        <v>10229.005699810006</v>
      </c>
      <c r="I231" s="86">
        <v>-9411.5684093437158</v>
      </c>
      <c r="J231" s="85">
        <v>0.16228070175438597</v>
      </c>
      <c r="K231" s="85">
        <v>0.16228070175438597</v>
      </c>
      <c r="L231" s="85">
        <v>8.3333333333333329E-2</v>
      </c>
      <c r="M231" s="85">
        <v>0.29140295358649787</v>
      </c>
      <c r="N231" s="85">
        <v>0.22178270042194093</v>
      </c>
      <c r="O231" s="85">
        <v>0.58733031674208147</v>
      </c>
      <c r="P231" s="85">
        <v>0.39120095124851367</v>
      </c>
      <c r="Q231" s="85">
        <v>0.41861937935402155</v>
      </c>
    </row>
    <row r="232" spans="1:17" x14ac:dyDescent="0.4">
      <c r="A232" s="87">
        <v>229</v>
      </c>
      <c r="B232" s="84">
        <v>-4.999999999999952</v>
      </c>
      <c r="C232" s="84">
        <v>-7.2780203784569902E-3</v>
      </c>
      <c r="D232" s="89">
        <v>2</v>
      </c>
      <c r="E232" s="85">
        <v>0.33333333333333331</v>
      </c>
      <c r="F232" s="85">
        <v>0.30280480824270178</v>
      </c>
      <c r="G232" s="85">
        <v>0.17229536348025187</v>
      </c>
      <c r="H232" s="86">
        <v>10219.155639571518</v>
      </c>
      <c r="I232" s="86">
        <v>-9402.1040974529351</v>
      </c>
      <c r="J232" s="85">
        <v>0.16157205240174671</v>
      </c>
      <c r="K232" s="85">
        <v>0.16157205240174671</v>
      </c>
      <c r="L232" s="85">
        <v>8.442503639010189E-2</v>
      </c>
      <c r="M232" s="85">
        <v>0.29176470588235293</v>
      </c>
      <c r="N232" s="85">
        <v>0.22143790849673203</v>
      </c>
      <c r="O232" s="85">
        <v>0.58602150537634412</v>
      </c>
      <c r="P232" s="85">
        <v>0.38961038961038963</v>
      </c>
      <c r="Q232" s="85">
        <v>0.41902961562696911</v>
      </c>
    </row>
    <row r="233" spans="1:17" x14ac:dyDescent="0.4">
      <c r="A233" s="87">
        <v>230</v>
      </c>
      <c r="B233" s="84">
        <v>-4.9999999999999503</v>
      </c>
      <c r="C233" s="84">
        <v>-7.246376811594131E-3</v>
      </c>
      <c r="D233" s="89">
        <v>2</v>
      </c>
      <c r="E233" s="85">
        <v>0.33333333333333331</v>
      </c>
      <c r="F233" s="85">
        <v>0.30277145026575553</v>
      </c>
      <c r="G233" s="85">
        <v>0.1727410782080486</v>
      </c>
      <c r="H233" s="86">
        <v>10218.244514106584</v>
      </c>
      <c r="I233" s="86">
        <v>-9398.2417582417584</v>
      </c>
      <c r="J233" s="85">
        <v>0.16086956521739129</v>
      </c>
      <c r="K233" s="85">
        <v>0.16086956521739129</v>
      </c>
      <c r="L233" s="85">
        <v>8.4057971014492749E-2</v>
      </c>
      <c r="M233" s="85">
        <v>0.29127725856697817</v>
      </c>
      <c r="N233" s="85">
        <v>0.22092419522326065</v>
      </c>
      <c r="O233" s="85">
        <v>0.58645276292335113</v>
      </c>
      <c r="P233" s="85">
        <v>0.39012925969447709</v>
      </c>
      <c r="Q233" s="85">
        <v>0.41755485893416927</v>
      </c>
    </row>
    <row r="234" spans="1:17" x14ac:dyDescent="0.4">
      <c r="A234" s="87">
        <v>231</v>
      </c>
      <c r="B234" s="84">
        <v>-4.9999999999999467</v>
      </c>
      <c r="C234" s="84">
        <v>-7.2150072150071378E-3</v>
      </c>
      <c r="D234" s="89">
        <v>2</v>
      </c>
      <c r="E234" s="85">
        <v>0.33333333333333331</v>
      </c>
      <c r="F234" s="85">
        <v>0.30275575688939221</v>
      </c>
      <c r="G234" s="85">
        <v>0.17251793129482823</v>
      </c>
      <c r="H234" s="86">
        <v>10216.271820448877</v>
      </c>
      <c r="I234" s="86">
        <v>-9393.2166301969373</v>
      </c>
      <c r="J234" s="85">
        <v>0.16017316017316016</v>
      </c>
      <c r="K234" s="85">
        <v>0.16017316017316016</v>
      </c>
      <c r="L234" s="85">
        <v>8.3694083694083696E-2</v>
      </c>
      <c r="M234" s="85">
        <v>0.29108706852138072</v>
      </c>
      <c r="N234" s="85">
        <v>0.21973209685729006</v>
      </c>
      <c r="O234" s="85">
        <v>0.58849557522123896</v>
      </c>
      <c r="P234" s="85">
        <v>0.39038686987104337</v>
      </c>
      <c r="Q234" s="85">
        <v>0.41832917705735662</v>
      </c>
    </row>
    <row r="235" spans="1:17" x14ac:dyDescent="0.4">
      <c r="A235" s="87">
        <v>232</v>
      </c>
      <c r="B235" s="84">
        <v>-4.9999999999999432</v>
      </c>
      <c r="C235" s="84">
        <v>-7.1839080459769299E-3</v>
      </c>
      <c r="D235" s="89">
        <v>2</v>
      </c>
      <c r="E235" s="85">
        <v>0.33333333333333331</v>
      </c>
      <c r="F235" s="85">
        <v>0.30285929270127915</v>
      </c>
      <c r="G235" s="85">
        <v>0.17231000752445447</v>
      </c>
      <c r="H235" s="86">
        <v>10237.329192546584</v>
      </c>
      <c r="I235" s="86">
        <v>-9389.3013100436674</v>
      </c>
      <c r="J235" s="85">
        <v>0.16091954022988506</v>
      </c>
      <c r="K235" s="85">
        <v>0.16091954022988506</v>
      </c>
      <c r="L235" s="85">
        <v>8.4770114942528729E-2</v>
      </c>
      <c r="M235" s="85">
        <v>0.29128205128205126</v>
      </c>
      <c r="N235" s="85">
        <v>0.21897435897435896</v>
      </c>
      <c r="O235" s="85">
        <v>0.58978873239436624</v>
      </c>
      <c r="P235" s="85">
        <v>0.38992974238875877</v>
      </c>
      <c r="Q235" s="85">
        <v>0.41925465838509318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2019-02-13T14:02:45Z</dcterms:modified>
</cp:coreProperties>
</file>