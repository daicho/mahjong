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F0258947-6B27-4BAD-8BFE-76FD08E6467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70" r:id="rId6"/>
    <sheet name="だいち" sheetId="4372" r:id="rId7"/>
    <sheet name="りくと" sheetId="4374" r:id="rId8"/>
    <sheet name="ただ" sheetId="4376" r:id="rId9"/>
    <sheet name="れんたろう" sheetId="4378" r:id="rId10"/>
    <sheet name="たかの" sheetId="4380" r:id="rId11"/>
    <sheet name="ぱぱ" sheetId="4382" r:id="rId12"/>
    <sheet name="まっつん" sheetId="4384" r:id="rId13"/>
    <sheet name="まっつん2" sheetId="4385" state="hidden" r:id="rId14"/>
    <sheet name="ぱぱ2" sheetId="4383" state="hidden" r:id="rId15"/>
    <sheet name="たかの2" sheetId="4381" state="hidden" r:id="rId16"/>
    <sheet name="れんたろう2" sheetId="4379" state="hidden" r:id="rId17"/>
    <sheet name="ただ2" sheetId="4377" state="hidden" r:id="rId18"/>
    <sheet name="りくと2" sheetId="4375" state="hidden" r:id="rId19"/>
    <sheet name="だいち2" sheetId="4373" state="hidden" r:id="rId20"/>
    <sheet name="全体2" sheetId="4371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80" l="1"/>
  <c r="O15" i="4378"/>
  <c r="O18" i="4376"/>
  <c r="O19" i="4376"/>
  <c r="O16" i="4384"/>
  <c r="O15" i="4384"/>
  <c r="H51" i="4384"/>
  <c r="H50" i="4384"/>
  <c r="H49" i="4384"/>
  <c r="H48" i="4384"/>
  <c r="H47" i="4384"/>
  <c r="H46" i="4384"/>
  <c r="H45" i="4384"/>
  <c r="H44" i="4384"/>
  <c r="H43" i="4384"/>
  <c r="H42" i="4384"/>
  <c r="H41" i="4384"/>
  <c r="H40" i="4384"/>
  <c r="H39" i="4384"/>
  <c r="H38" i="4384"/>
  <c r="H37" i="4384"/>
  <c r="H36" i="4384"/>
  <c r="H35" i="4384"/>
  <c r="H34" i="4384"/>
  <c r="H33" i="4384"/>
  <c r="H32" i="4384"/>
  <c r="H3" i="4384"/>
  <c r="H31" i="4384"/>
  <c r="H30" i="4384"/>
  <c r="H29" i="4384"/>
  <c r="H28" i="4384"/>
  <c r="H27" i="4384"/>
  <c r="H26" i="4384"/>
  <c r="C25" i="4384"/>
  <c r="H25" i="4384"/>
  <c r="H24" i="4384"/>
  <c r="H23" i="4384"/>
  <c r="B22" i="4384"/>
  <c r="H22" i="4384"/>
  <c r="H21" i="4384"/>
  <c r="C20" i="4384"/>
  <c r="H20" i="4384"/>
  <c r="H19" i="4384"/>
  <c r="H18" i="4384"/>
  <c r="B17" i="4384"/>
  <c r="B21" i="4384" s="1"/>
  <c r="H17" i="4384"/>
  <c r="C16" i="4384"/>
  <c r="H16" i="4384"/>
  <c r="C15" i="4384"/>
  <c r="H15" i="4384"/>
  <c r="C14" i="4384"/>
  <c r="H14" i="4384"/>
  <c r="C13" i="4384"/>
  <c r="O12" i="4384"/>
  <c r="H13" i="4384"/>
  <c r="C12" i="4384"/>
  <c r="O11" i="4384"/>
  <c r="H12" i="4384"/>
  <c r="C11" i="4384"/>
  <c r="O10" i="4384"/>
  <c r="H11" i="4384"/>
  <c r="C10" i="4384"/>
  <c r="H10" i="4384"/>
  <c r="C9" i="4384"/>
  <c r="H9" i="4384"/>
  <c r="C8" i="4384"/>
  <c r="O7" i="4384"/>
  <c r="H2" i="4384"/>
  <c r="C7" i="4384"/>
  <c r="O6" i="4384"/>
  <c r="H8" i="4384"/>
  <c r="B6" i="4384"/>
  <c r="O5" i="4384"/>
  <c r="H7" i="4384"/>
  <c r="B5" i="4384"/>
  <c r="O4" i="4384"/>
  <c r="H6" i="4384"/>
  <c r="O3" i="4384"/>
  <c r="H5" i="4384"/>
  <c r="O2" i="4384"/>
  <c r="H4" i="4384"/>
  <c r="O16" i="4378"/>
  <c r="O18" i="4374"/>
  <c r="O19" i="4370"/>
  <c r="C18" i="4384" l="1"/>
  <c r="C19" i="4384"/>
  <c r="C17" i="4384"/>
  <c r="O15" i="4376"/>
  <c r="O16" i="4382"/>
  <c r="O15" i="4382"/>
  <c r="H51" i="4382"/>
  <c r="H50" i="4382"/>
  <c r="H49" i="4382"/>
  <c r="H48" i="4382"/>
  <c r="H47" i="4382"/>
  <c r="H46" i="4382"/>
  <c r="H45" i="4382"/>
  <c r="H44" i="4382"/>
  <c r="H43" i="4382"/>
  <c r="H42" i="4382"/>
  <c r="H41" i="4382"/>
  <c r="H40" i="4382"/>
  <c r="H39" i="4382"/>
  <c r="H38" i="4382"/>
  <c r="H37" i="4382"/>
  <c r="H36" i="4382"/>
  <c r="H35" i="4382"/>
  <c r="H34" i="4382"/>
  <c r="H33" i="4382"/>
  <c r="H32" i="4382"/>
  <c r="H31" i="4382"/>
  <c r="H30" i="4382"/>
  <c r="H29" i="4382"/>
  <c r="H28" i="4382"/>
  <c r="H27" i="4382"/>
  <c r="H26" i="4382"/>
  <c r="H25" i="4382"/>
  <c r="C25" i="4382"/>
  <c r="H24" i="4382"/>
  <c r="H23" i="4382"/>
  <c r="H22" i="4382"/>
  <c r="B22" i="4382"/>
  <c r="H21" i="4382"/>
  <c r="H20" i="4382"/>
  <c r="C20" i="4382"/>
  <c r="H19" i="4382"/>
  <c r="C19" i="4382"/>
  <c r="H18" i="4382"/>
  <c r="C18" i="4382"/>
  <c r="H17" i="4382"/>
  <c r="C17" i="4382"/>
  <c r="B17" i="4382"/>
  <c r="B21" i="4382" s="1"/>
  <c r="H16" i="4382"/>
  <c r="C16" i="4382"/>
  <c r="H15" i="4382"/>
  <c r="C15" i="4382"/>
  <c r="H14" i="4382"/>
  <c r="C14" i="4382"/>
  <c r="H13" i="4382"/>
  <c r="C13" i="4382"/>
  <c r="O12" i="4382"/>
  <c r="H12" i="4382"/>
  <c r="C12" i="4382"/>
  <c r="O11" i="4382"/>
  <c r="H11" i="4382"/>
  <c r="C11" i="4382"/>
  <c r="O10" i="4382"/>
  <c r="H10" i="4382"/>
  <c r="C10" i="4382"/>
  <c r="H4" i="4382"/>
  <c r="C9" i="4382"/>
  <c r="H9" i="4382"/>
  <c r="C8" i="4382"/>
  <c r="O7" i="4382"/>
  <c r="H3" i="4382"/>
  <c r="C7" i="4382"/>
  <c r="O6" i="4382"/>
  <c r="H8" i="4382"/>
  <c r="B6" i="4382"/>
  <c r="O5" i="4382"/>
  <c r="H7" i="4382"/>
  <c r="B5" i="4382"/>
  <c r="O4" i="4382"/>
  <c r="H2" i="4382"/>
  <c r="O3" i="4382"/>
  <c r="H6" i="4382"/>
  <c r="O2" i="4382"/>
  <c r="H5" i="4382"/>
  <c r="O15" i="4372"/>
  <c r="O15" i="4370"/>
  <c r="O18" i="4380" l="1"/>
  <c r="O16" i="4374"/>
  <c r="O15" i="4374"/>
  <c r="O18" i="4378"/>
  <c r="O16" i="4380"/>
  <c r="O17" i="4380"/>
  <c r="H51" i="4380"/>
  <c r="H50" i="4380"/>
  <c r="H49" i="4380"/>
  <c r="H48" i="4380"/>
  <c r="H47" i="4380"/>
  <c r="H46" i="4380"/>
  <c r="H45" i="4380"/>
  <c r="H44" i="4380"/>
  <c r="H43" i="4380"/>
  <c r="H42" i="4380"/>
  <c r="H41" i="4380"/>
  <c r="H40" i="4380"/>
  <c r="H39" i="4380"/>
  <c r="H38" i="4380"/>
  <c r="H37" i="4380"/>
  <c r="H36" i="4380"/>
  <c r="H35" i="4380"/>
  <c r="H34" i="4380"/>
  <c r="H33" i="4380"/>
  <c r="H32" i="4380"/>
  <c r="H31" i="4380"/>
  <c r="H30" i="4380"/>
  <c r="H4" i="4380"/>
  <c r="H29" i="4380"/>
  <c r="H28" i="4380"/>
  <c r="H27" i="4380"/>
  <c r="H26" i="4380"/>
  <c r="C25" i="4380"/>
  <c r="H25" i="4380"/>
  <c r="H24" i="4380"/>
  <c r="H23" i="4380"/>
  <c r="B22" i="4380"/>
  <c r="H22" i="4380"/>
  <c r="H21" i="4380"/>
  <c r="C20" i="4380"/>
  <c r="H20" i="4380"/>
  <c r="H19" i="4380"/>
  <c r="H18" i="4380"/>
  <c r="B17" i="4380"/>
  <c r="B21" i="4380" s="1"/>
  <c r="H17" i="4380"/>
  <c r="C16" i="4380"/>
  <c r="H16" i="4380"/>
  <c r="C15" i="4380"/>
  <c r="H15" i="4380"/>
  <c r="C14" i="4380"/>
  <c r="H14" i="4380"/>
  <c r="C13" i="4380"/>
  <c r="O12" i="4380"/>
  <c r="H13" i="4380"/>
  <c r="C12" i="4380"/>
  <c r="O11" i="4380"/>
  <c r="H2" i="4380"/>
  <c r="C11" i="4380"/>
  <c r="O10" i="4380"/>
  <c r="H12" i="4380"/>
  <c r="C10" i="4380"/>
  <c r="H11" i="4380"/>
  <c r="C9" i="4380"/>
  <c r="H10" i="4380"/>
  <c r="C8" i="4380"/>
  <c r="O7" i="4380"/>
  <c r="H9" i="4380"/>
  <c r="C7" i="4380"/>
  <c r="O6" i="4380"/>
  <c r="H8" i="4380"/>
  <c r="B6" i="4380"/>
  <c r="O5" i="4380"/>
  <c r="H7" i="4380"/>
  <c r="B5" i="4380"/>
  <c r="O4" i="4380"/>
  <c r="H6" i="4380"/>
  <c r="O3" i="4380"/>
  <c r="H5" i="4380"/>
  <c r="O2" i="4380"/>
  <c r="H3" i="4380"/>
  <c r="O19" i="4378"/>
  <c r="O17" i="4378"/>
  <c r="H51" i="4378"/>
  <c r="H50" i="4378"/>
  <c r="H49" i="4378"/>
  <c r="H48" i="4378"/>
  <c r="H47" i="4378"/>
  <c r="H46" i="4378"/>
  <c r="H45" i="4378"/>
  <c r="H44" i="4378"/>
  <c r="H43" i="4378"/>
  <c r="H42" i="4378"/>
  <c r="H41" i="4378"/>
  <c r="H40" i="4378"/>
  <c r="H39" i="4378"/>
  <c r="H38" i="4378"/>
  <c r="H37" i="4378"/>
  <c r="H36" i="4378"/>
  <c r="H35" i="4378"/>
  <c r="H34" i="4378"/>
  <c r="H33" i="4378"/>
  <c r="H9" i="4378"/>
  <c r="H32" i="4378"/>
  <c r="H31" i="4378"/>
  <c r="H8" i="4378"/>
  <c r="H30" i="4378"/>
  <c r="H29" i="4378"/>
  <c r="H28" i="4378"/>
  <c r="H27" i="4378"/>
  <c r="C25" i="4378"/>
  <c r="H26" i="4378"/>
  <c r="H25" i="4378"/>
  <c r="H24" i="4378"/>
  <c r="B22" i="4378"/>
  <c r="H23" i="4378"/>
  <c r="H22" i="4378"/>
  <c r="C20" i="4378"/>
  <c r="H21" i="4378"/>
  <c r="C19" i="4378"/>
  <c r="H20" i="4378"/>
  <c r="H19" i="4378"/>
  <c r="B17" i="4378"/>
  <c r="C17" i="4378" s="1"/>
  <c r="H18" i="4378"/>
  <c r="C16" i="4378"/>
  <c r="H17" i="4378"/>
  <c r="C15" i="4378"/>
  <c r="H16" i="4378"/>
  <c r="C14" i="4378"/>
  <c r="H15" i="4378"/>
  <c r="C13" i="4378"/>
  <c r="O12" i="4378"/>
  <c r="H14" i="4378"/>
  <c r="C12" i="4378"/>
  <c r="O11" i="4378"/>
  <c r="H3" i="4378"/>
  <c r="C11" i="4378"/>
  <c r="O10" i="4378"/>
  <c r="H13" i="4378"/>
  <c r="C10" i="4378"/>
  <c r="H7" i="4378"/>
  <c r="C9" i="4378"/>
  <c r="H5" i="4378"/>
  <c r="C8" i="4378"/>
  <c r="O7" i="4378"/>
  <c r="H6" i="4378"/>
  <c r="C7" i="4378"/>
  <c r="O6" i="4378"/>
  <c r="H12" i="4378"/>
  <c r="B6" i="4378"/>
  <c r="O5" i="4378"/>
  <c r="H11" i="4378"/>
  <c r="B5" i="4378"/>
  <c r="O4" i="4378"/>
  <c r="H2" i="4378"/>
  <c r="O3" i="4378"/>
  <c r="H10" i="4378"/>
  <c r="O2" i="4378"/>
  <c r="H4" i="4378"/>
  <c r="O19" i="4372"/>
  <c r="O16" i="4372"/>
  <c r="O20" i="4370"/>
  <c r="O17" i="4370"/>
  <c r="O16" i="4376"/>
  <c r="O17" i="4376"/>
  <c r="H51" i="4376"/>
  <c r="H50" i="4376"/>
  <c r="H49" i="4376"/>
  <c r="H48" i="4376"/>
  <c r="H47" i="4376"/>
  <c r="H46" i="4376"/>
  <c r="H45" i="4376"/>
  <c r="H44" i="4376"/>
  <c r="H43" i="4376"/>
  <c r="H42" i="4376"/>
  <c r="H41" i="4376"/>
  <c r="H40" i="4376"/>
  <c r="H39" i="4376"/>
  <c r="H38" i="4376"/>
  <c r="H37" i="4376"/>
  <c r="H36" i="4376"/>
  <c r="H35" i="4376"/>
  <c r="H34" i="4376"/>
  <c r="H33" i="4376"/>
  <c r="H32" i="4376"/>
  <c r="H31" i="4376"/>
  <c r="H30" i="4376"/>
  <c r="H8" i="4376"/>
  <c r="H29" i="4376"/>
  <c r="H28" i="4376"/>
  <c r="H9" i="4376"/>
  <c r="H27" i="4376"/>
  <c r="C25" i="4376"/>
  <c r="H26" i="4376"/>
  <c r="H25" i="4376"/>
  <c r="H24" i="4376"/>
  <c r="B22" i="4376"/>
  <c r="H23" i="4376"/>
  <c r="H22" i="4376"/>
  <c r="C20" i="4376"/>
  <c r="H21" i="4376"/>
  <c r="H20" i="4376"/>
  <c r="H12" i="4376"/>
  <c r="B17" i="4376"/>
  <c r="B21" i="4376" s="1"/>
  <c r="H19" i="4376"/>
  <c r="C16" i="4376"/>
  <c r="H18" i="4376"/>
  <c r="C15" i="4376"/>
  <c r="H17" i="4376"/>
  <c r="C14" i="4376"/>
  <c r="H16" i="4376"/>
  <c r="C13" i="4376"/>
  <c r="O12" i="4376"/>
  <c r="H15" i="4376"/>
  <c r="C12" i="4376"/>
  <c r="O11" i="4376"/>
  <c r="H5" i="4376"/>
  <c r="C11" i="4376"/>
  <c r="O10" i="4376"/>
  <c r="H7" i="4376"/>
  <c r="C10" i="4376"/>
  <c r="H14" i="4376"/>
  <c r="C9" i="4376"/>
  <c r="H11" i="4376"/>
  <c r="C8" i="4376"/>
  <c r="O7" i="4376"/>
  <c r="H6" i="4376"/>
  <c r="C7" i="4376"/>
  <c r="O6" i="4376"/>
  <c r="H13" i="4376"/>
  <c r="B6" i="4376"/>
  <c r="O5" i="4376"/>
  <c r="H4" i="4376"/>
  <c r="B5" i="4376"/>
  <c r="O4" i="4376"/>
  <c r="H2" i="4376"/>
  <c r="O3" i="4376"/>
  <c r="H10" i="4376"/>
  <c r="O2" i="4376"/>
  <c r="H3" i="4376"/>
  <c r="O19" i="4374"/>
  <c r="O17" i="4374"/>
  <c r="H51" i="4374"/>
  <c r="H50" i="4374"/>
  <c r="H49" i="4374"/>
  <c r="H48" i="4374"/>
  <c r="H47" i="4374"/>
  <c r="H46" i="4374"/>
  <c r="H45" i="4374"/>
  <c r="H44" i="4374"/>
  <c r="H43" i="4374"/>
  <c r="H42" i="4374"/>
  <c r="H41" i="4374"/>
  <c r="H40" i="4374"/>
  <c r="H39" i="4374"/>
  <c r="H38" i="4374"/>
  <c r="H37" i="4374"/>
  <c r="H36" i="4374"/>
  <c r="H35" i="4374"/>
  <c r="H34" i="4374"/>
  <c r="H33" i="4374"/>
  <c r="H32" i="4374"/>
  <c r="H12" i="4374"/>
  <c r="H31" i="4374"/>
  <c r="H11" i="4374"/>
  <c r="H30" i="4374"/>
  <c r="H29" i="4374"/>
  <c r="H10" i="4374"/>
  <c r="H28" i="4374"/>
  <c r="C25" i="4374"/>
  <c r="H27" i="4374"/>
  <c r="H26" i="4374"/>
  <c r="H25" i="4374"/>
  <c r="B22" i="4374"/>
  <c r="H24" i="4374"/>
  <c r="H23" i="4374"/>
  <c r="C20" i="4374"/>
  <c r="H22" i="4374"/>
  <c r="H21" i="4374"/>
  <c r="H20" i="4374"/>
  <c r="B17" i="4374"/>
  <c r="B21" i="4374" s="1"/>
  <c r="H19" i="4374"/>
  <c r="C16" i="4374"/>
  <c r="H18" i="4374"/>
  <c r="C15" i="4374"/>
  <c r="H17" i="4374"/>
  <c r="C14" i="4374"/>
  <c r="H16" i="4374"/>
  <c r="C13" i="4374"/>
  <c r="O12" i="4374"/>
  <c r="H15" i="4374"/>
  <c r="C12" i="4374"/>
  <c r="O11" i="4374"/>
  <c r="H7" i="4374"/>
  <c r="C11" i="4374"/>
  <c r="O10" i="4374"/>
  <c r="H14" i="4374"/>
  <c r="C10" i="4374"/>
  <c r="H9" i="4374"/>
  <c r="C9" i="4374"/>
  <c r="H6" i="4374"/>
  <c r="C8" i="4374"/>
  <c r="O7" i="4374"/>
  <c r="H5" i="4374"/>
  <c r="C7" i="4374"/>
  <c r="O6" i="4374"/>
  <c r="H13" i="4374"/>
  <c r="B6" i="4374"/>
  <c r="O5" i="4374"/>
  <c r="H4" i="4374"/>
  <c r="B5" i="4374"/>
  <c r="O4" i="4374"/>
  <c r="H3" i="4374"/>
  <c r="O3" i="4374"/>
  <c r="H8" i="4374"/>
  <c r="O2" i="4374"/>
  <c r="H2" i="4374"/>
  <c r="O21" i="4370"/>
  <c r="O17" i="4372"/>
  <c r="O18" i="4372"/>
  <c r="H51" i="4372"/>
  <c r="H50" i="4372"/>
  <c r="H49" i="4372"/>
  <c r="H48" i="4372"/>
  <c r="H47" i="4372"/>
  <c r="H46" i="4372"/>
  <c r="H45" i="4372"/>
  <c r="H44" i="4372"/>
  <c r="H43" i="4372"/>
  <c r="H42" i="4372"/>
  <c r="H41" i="4372"/>
  <c r="H40" i="4372"/>
  <c r="H39" i="4372"/>
  <c r="H38" i="4372"/>
  <c r="H37" i="4372"/>
  <c r="H36" i="4372"/>
  <c r="H35" i="4372"/>
  <c r="H34" i="4372"/>
  <c r="H33" i="4372"/>
  <c r="H32" i="4372"/>
  <c r="H31" i="4372"/>
  <c r="H30" i="4372"/>
  <c r="H5" i="4372"/>
  <c r="H29" i="4372"/>
  <c r="H28" i="4372"/>
  <c r="H10" i="4372"/>
  <c r="H27" i="4372"/>
  <c r="C25" i="4372"/>
  <c r="H26" i="4372"/>
  <c r="H25" i="4372"/>
  <c r="H24" i="4372"/>
  <c r="B22" i="4372"/>
  <c r="H23" i="4372"/>
  <c r="H22" i="4372"/>
  <c r="C20" i="4372"/>
  <c r="H21" i="4372"/>
  <c r="H20" i="4372"/>
  <c r="H12" i="4372"/>
  <c r="B17" i="4372"/>
  <c r="B21" i="4372" s="1"/>
  <c r="H19" i="4372"/>
  <c r="C16" i="4372"/>
  <c r="H18" i="4372"/>
  <c r="C15" i="4372"/>
  <c r="H17" i="4372"/>
  <c r="C14" i="4372"/>
  <c r="H16" i="4372"/>
  <c r="C13" i="4372"/>
  <c r="O12" i="4372"/>
  <c r="H15" i="4372"/>
  <c r="C12" i="4372"/>
  <c r="O11" i="4372"/>
  <c r="H2" i="4372"/>
  <c r="C11" i="4372"/>
  <c r="O10" i="4372"/>
  <c r="H14" i="4372"/>
  <c r="C10" i="4372"/>
  <c r="H11" i="4372"/>
  <c r="C9" i="4372"/>
  <c r="H8" i="4372"/>
  <c r="C8" i="4372"/>
  <c r="O7" i="4372"/>
  <c r="H7" i="4372"/>
  <c r="C7" i="4372"/>
  <c r="O6" i="4372"/>
  <c r="H13" i="4372"/>
  <c r="B6" i="4372"/>
  <c r="O5" i="4372"/>
  <c r="H6" i="4372"/>
  <c r="B5" i="4372"/>
  <c r="O4" i="4372"/>
  <c r="H3" i="4372"/>
  <c r="O3" i="4372"/>
  <c r="H9" i="4372"/>
  <c r="O2" i="4372"/>
  <c r="H4" i="4372"/>
  <c r="O16" i="4370"/>
  <c r="O18" i="4370"/>
  <c r="H51" i="4370"/>
  <c r="H50" i="4370"/>
  <c r="H49" i="4370"/>
  <c r="H48" i="4370"/>
  <c r="H47" i="4370"/>
  <c r="H46" i="4370"/>
  <c r="H45" i="4370"/>
  <c r="H44" i="4370"/>
  <c r="H43" i="4370"/>
  <c r="H42" i="4370"/>
  <c r="H41" i="4370"/>
  <c r="H40" i="4370"/>
  <c r="H39" i="4370"/>
  <c r="H38" i="4370"/>
  <c r="H37" i="4370"/>
  <c r="H36" i="4370"/>
  <c r="H35" i="4370"/>
  <c r="H34" i="4370"/>
  <c r="H33" i="4370"/>
  <c r="H15" i="4370"/>
  <c r="H14" i="4370"/>
  <c r="H32" i="4370"/>
  <c r="H8" i="4370"/>
  <c r="H31" i="4370"/>
  <c r="H30" i="4370"/>
  <c r="H10" i="4370"/>
  <c r="H29" i="4370"/>
  <c r="C25" i="4370"/>
  <c r="H28" i="4370"/>
  <c r="H27" i="4370"/>
  <c r="H26" i="4370"/>
  <c r="B22" i="4370"/>
  <c r="H25" i="4370"/>
  <c r="H24" i="4370"/>
  <c r="C20" i="4370"/>
  <c r="H23" i="4370"/>
  <c r="H22" i="4370"/>
  <c r="H13" i="4370"/>
  <c r="B17" i="4370"/>
  <c r="B21" i="4370" s="1"/>
  <c r="H21" i="4370"/>
  <c r="C16" i="4370"/>
  <c r="H20" i="4370"/>
  <c r="C15" i="4370"/>
  <c r="H19" i="4370"/>
  <c r="C14" i="4370"/>
  <c r="H18" i="4370"/>
  <c r="C13" i="4370"/>
  <c r="O12" i="4370"/>
  <c r="H17" i="4370"/>
  <c r="C12" i="4370"/>
  <c r="O11" i="4370"/>
  <c r="H3" i="4370"/>
  <c r="C11" i="4370"/>
  <c r="O10" i="4370"/>
  <c r="H12" i="4370"/>
  <c r="C10" i="4370"/>
  <c r="H11" i="4370"/>
  <c r="C9" i="4370"/>
  <c r="H7" i="4370"/>
  <c r="C8" i="4370"/>
  <c r="O7" i="4370"/>
  <c r="H6" i="4370"/>
  <c r="C7" i="4370"/>
  <c r="O6" i="4370"/>
  <c r="H16" i="4370"/>
  <c r="B6" i="4370"/>
  <c r="O5" i="4370"/>
  <c r="H5" i="4370"/>
  <c r="B5" i="4370"/>
  <c r="O4" i="4370"/>
  <c r="H2" i="4370"/>
  <c r="O3" i="4370"/>
  <c r="H9" i="4370"/>
  <c r="O2" i="4370"/>
  <c r="H4" i="4370"/>
  <c r="C19" i="4376" l="1"/>
  <c r="C17" i="4380"/>
  <c r="C18" i="4380"/>
  <c r="C19" i="4380"/>
  <c r="C18" i="4378"/>
  <c r="B21" i="4378"/>
  <c r="C18" i="4376"/>
  <c r="C18" i="4372"/>
  <c r="C19" i="4372"/>
  <c r="C17" i="4376"/>
  <c r="C18" i="4370"/>
  <c r="C19" i="4370"/>
  <c r="C18" i="4374"/>
  <c r="C19" i="4374"/>
  <c r="C17" i="4374"/>
  <c r="C17" i="4372"/>
  <c r="C17" i="437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<sst xmlns="http://schemas.openxmlformats.org/spreadsheetml/2006/main" count="1930" uniqueCount="188">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</sst>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全体!$L$2:$L$35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D-4531-BC2A-EDAFDB9F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-90.909090909090907</c:v>
                </c:pt>
                <c:pt idx="1">
                  <c:v>-60.606060606060609</c:v>
                </c:pt>
                <c:pt idx="2">
                  <c:v>185.18518518518519</c:v>
                </c:pt>
                <c:pt idx="3">
                  <c:v>0</c:v>
                </c:pt>
                <c:pt idx="4">
                  <c:v>-37.037037037037038</c:v>
                </c:pt>
                <c:pt idx="5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D-4413-AA60-1428D95C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だいち!$L$2:$L$10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B-4305-B282-9F5C313F0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-362.5</c:v>
                </c:pt>
                <c:pt idx="1">
                  <c:v>8712.5</c:v>
                </c:pt>
                <c:pt idx="2">
                  <c:v>7771.4285714285716</c:v>
                </c:pt>
                <c:pt idx="3">
                  <c:v>4028.5714285714284</c:v>
                </c:pt>
                <c:pt idx="4">
                  <c:v>542.85714285714289</c:v>
                </c:pt>
                <c:pt idx="5">
                  <c:v>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6-42CD-B87C-91E7874D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2E-4C4E-960A-1508DD06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-1512.5</c:v>
                </c:pt>
                <c:pt idx="1">
                  <c:v>-1562.5</c:v>
                </c:pt>
                <c:pt idx="2">
                  <c:v>-5525</c:v>
                </c:pt>
                <c:pt idx="3">
                  <c:v>2062.5</c:v>
                </c:pt>
                <c:pt idx="4">
                  <c:v>4337.5</c:v>
                </c:pt>
                <c:pt idx="5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9-41E9-B780-A4E0DA1C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D-442C-A5AB-62C9905C5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828.57142857142856</c:v>
                </c:pt>
                <c:pt idx="1">
                  <c:v>-4557.1428571428569</c:v>
                </c:pt>
                <c:pt idx="2">
                  <c:v>-540</c:v>
                </c:pt>
                <c:pt idx="3">
                  <c:v>-7140</c:v>
                </c:pt>
                <c:pt idx="4">
                  <c:v>-1860</c:v>
                </c:pt>
                <c:pt idx="5">
                  <c:v>-600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A-44E8-B2FB-27C3A62BB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れんたろう!$L$2:$L$7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C-4A55-9779-547DD7CBA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-2620</c:v>
                </c:pt>
                <c:pt idx="1">
                  <c:v>8320</c:v>
                </c:pt>
                <c:pt idx="2">
                  <c:v>475</c:v>
                </c:pt>
                <c:pt idx="3">
                  <c:v>-375</c:v>
                </c:pt>
                <c:pt idx="4">
                  <c:v>-3500</c:v>
                </c:pt>
                <c:pt idx="5">
                  <c:v>-7666.666666666667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E-4DCC-8E97-FDE2806B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たかの!$L$2:$L$5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5-4445-8241-24CBDCCD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5666.666666666667</c:v>
                </c:pt>
                <c:pt idx="1">
                  <c:v>866.66666666666663</c:v>
                </c:pt>
                <c:pt idx="2">
                  <c:v>-3750</c:v>
                </c:pt>
                <c:pt idx="3">
                  <c:v>0</c:v>
                </c:pt>
                <c:pt idx="4">
                  <c:v>-6650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2C8-84FC-2AEA2070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5-4692-970F-31237FD5D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4000</c:v>
                </c:pt>
                <c:pt idx="1">
                  <c:v>-66600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C-44EE-B70B-0A27FC8F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91-4EC6-9711-FF613BBFD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-1700</c:v>
                </c:pt>
                <c:pt idx="1">
                  <c:v>-4900</c:v>
                </c:pt>
                <c:pt idx="2">
                  <c:v>3100</c:v>
                </c:pt>
                <c:pt idx="3">
                  <c:v>-7500</c:v>
                </c:pt>
                <c:pt idx="4">
                  <c:v>-2900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C-4DF0-9403-858D07256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まっつん2!$C$3:$C$4</c:f>
              <c:numCache>
                <c:formatCode>\+0.0;\-0.0;\±0</c:formatCode>
                <c:ptCount val="2"/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まっつん2!$F$3:$F$4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まっつん2!$G$3:$G$4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まっつん2!$H$3:$H$4</c:f>
              <c:numCache>
                <c:formatCode>0</c:formatCode>
                <c:ptCount val="2"/>
                <c:pt idx="1">
                  <c:v>7050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まっつん2!$I$3:$I$4</c:f>
              <c:numCache>
                <c:formatCode>0</c:formatCode>
                <c:ptCount val="2"/>
                <c:pt idx="1">
                  <c:v>-3900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まっつん2!$J$3:$J$4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まっつん2!$M$3:$M$4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まっつん2!$N$3:$N$4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448D45-35CE-4C9A-8AF7-94BA3E42A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ED7E41-6F3D-46C2-926C-4A4CB3C3A7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7"/>
      <c r="C1" s="148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1">
        <v>0</v>
      </c>
      <c r="C3" s="152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3">
        <v>0</v>
      </c>
      <c r="C4" s="154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5">
        <f>IF(B$2=0,0,B$4/B$2)</f>
        <v>0</v>
      </c>
      <c r="C5" s="156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61">
        <f>IF(B$2=0,0,(B$7*1+B$8*2+B$9*3)/B$2)</f>
        <v>0</v>
      </c>
      <c r="C6" s="162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59">
        <v>0</v>
      </c>
      <c r="C23" s="160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57">
        <v>0</v>
      </c>
      <c r="C24" s="158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63">
        <v>0</v>
      </c>
      <c r="C27" s="164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4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7" x14ac:dyDescent="0.4">
      <c r="A1" s="31">
        <v>32874</v>
      </c>
      <c r="B1" s="31">
        <v>2958465</v>
      </c>
    </row>
    <row r="2" spans="1:7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  <row r="3" spans="1:7" x14ac:dyDescent="0.4">
      <c r="A3" s="32" t="s">
        <v>180</v>
      </c>
      <c r="B3" s="33">
        <v>43557.861886574072</v>
      </c>
      <c r="C3" s="32" t="s">
        <v>136</v>
      </c>
      <c r="D3" s="32" t="s">
        <v>137</v>
      </c>
      <c r="E3" s="32" t="s">
        <v>179</v>
      </c>
      <c r="F3" s="32" t="s">
        <v>184</v>
      </c>
      <c r="G3" s="32" t="s">
        <v>185</v>
      </c>
    </row>
    <row r="4" spans="1:7" x14ac:dyDescent="0.4">
      <c r="A4" s="32" t="s">
        <v>186</v>
      </c>
      <c r="B4" s="33">
        <v>43559.023252314815</v>
      </c>
      <c r="C4" s="32" t="s">
        <v>136</v>
      </c>
      <c r="D4" s="32" t="s">
        <v>137</v>
      </c>
      <c r="E4" s="32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  <row r="5" spans="1:1" x14ac:dyDescent="0.4">
      <c r="A5" t="s">
        <v>181</v>
      </c>
    </row>
    <row r="6" spans="1:1" x14ac:dyDescent="0.4">
      <c r="A6" t="s">
        <v>182</v>
      </c>
    </row>
    <row r="7" spans="1:1" x14ac:dyDescent="0.4">
      <c r="A7" t="s">
        <v>183</v>
      </c>
    </row>
    <row r="8" spans="1:1" x14ac:dyDescent="0.4">
      <c r="A8" t="s">
        <v>187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9" t="s">
        <v>6</v>
      </c>
      <c r="C1" s="170"/>
      <c r="D1" s="169" t="s">
        <v>7</v>
      </c>
      <c r="E1" s="170"/>
      <c r="F1" s="169" t="s">
        <v>16</v>
      </c>
      <c r="G1" s="170"/>
      <c r="H1" s="169" t="s">
        <v>15</v>
      </c>
      <c r="I1" s="170"/>
      <c r="J1" s="169" t="s">
        <v>171</v>
      </c>
      <c r="K1" s="170"/>
      <c r="L1" s="169" t="s">
        <v>155</v>
      </c>
      <c r="M1" s="170"/>
      <c r="N1" s="169" t="s">
        <v>156</v>
      </c>
      <c r="O1" s="170"/>
      <c r="P1" s="169" t="s">
        <v>5</v>
      </c>
      <c r="Q1" s="170"/>
      <c r="R1" s="169" t="s">
        <v>17</v>
      </c>
      <c r="S1" s="170"/>
      <c r="T1" s="169" t="s">
        <v>18</v>
      </c>
      <c r="U1" s="170"/>
      <c r="V1" s="169" t="s">
        <v>147</v>
      </c>
      <c r="W1" s="170"/>
      <c r="X1" s="169" t="s">
        <v>169</v>
      </c>
      <c r="Y1" s="170"/>
      <c r="Z1" s="169" t="s">
        <v>129</v>
      </c>
      <c r="AA1" s="170"/>
      <c r="AB1" s="169" t="s">
        <v>124</v>
      </c>
      <c r="AC1" s="170"/>
      <c r="AD1" s="169" t="s">
        <v>132</v>
      </c>
      <c r="AE1" s="170"/>
      <c r="AF1" s="169" t="s">
        <v>157</v>
      </c>
      <c r="AG1" s="170"/>
      <c r="AH1" s="169" t="s">
        <v>150</v>
      </c>
      <c r="AI1" s="170"/>
      <c r="AJ1" s="169" t="s">
        <v>158</v>
      </c>
      <c r="AK1" s="170"/>
      <c r="AL1" s="169" t="s">
        <v>160</v>
      </c>
      <c r="AM1" s="170"/>
      <c r="AN1" s="169" t="s">
        <v>172</v>
      </c>
      <c r="AO1" s="170"/>
    </row>
    <row r="2" spans="1:41" x14ac:dyDescent="0.4">
      <c r="A2" s="74" t="s">
        <v>170</v>
      </c>
      <c r="B2" s="167"/>
      <c r="C2" s="168"/>
      <c r="D2" s="167"/>
      <c r="E2" s="168"/>
      <c r="F2" s="165" t="e">
        <v>#DIV/0!</v>
      </c>
      <c r="G2" s="166"/>
      <c r="H2" s="165" t="e">
        <v>#DIV/0!</v>
      </c>
      <c r="I2" s="166"/>
      <c r="J2" s="165" t="e">
        <v>#DIV/0!</v>
      </c>
      <c r="K2" s="166"/>
      <c r="L2" s="165" t="e">
        <v>#DIV/0!</v>
      </c>
      <c r="M2" s="166"/>
      <c r="N2" s="165" t="e">
        <v>#DIV/0!</v>
      </c>
      <c r="O2" s="166"/>
      <c r="P2" s="165" t="e">
        <v>#DIV/0!</v>
      </c>
      <c r="Q2" s="166"/>
      <c r="R2" s="165" t="e">
        <v>#DIV/0!</v>
      </c>
      <c r="S2" s="166"/>
      <c r="T2" s="165" t="e">
        <v>#DIV/0!</v>
      </c>
      <c r="U2" s="166"/>
      <c r="V2" s="165" t="e">
        <v>#DIV/0!</v>
      </c>
      <c r="W2" s="166"/>
      <c r="X2" s="165" t="e">
        <v>#DIV/0!</v>
      </c>
      <c r="Y2" s="166"/>
      <c r="Z2" s="165" t="e">
        <v>#DIV/0!</v>
      </c>
      <c r="AA2" s="166"/>
      <c r="AB2" s="165" t="e">
        <v>#DIV/0!</v>
      </c>
      <c r="AC2" s="166"/>
      <c r="AD2" s="165" t="e">
        <v>#DIV/0!</v>
      </c>
      <c r="AE2" s="166"/>
      <c r="AF2" s="165" t="e">
        <v>#DIV/0!</v>
      </c>
      <c r="AG2" s="166"/>
      <c r="AH2" s="165" t="e">
        <v>#DIV/0!</v>
      </c>
      <c r="AI2" s="166"/>
      <c r="AJ2" s="165" t="e">
        <v>#DIV/0!</v>
      </c>
      <c r="AK2" s="166"/>
      <c r="AL2" s="165" t="e">
        <v>#DIV/0!</v>
      </c>
      <c r="AM2" s="166"/>
      <c r="AN2" s="165" t="e">
        <v>#DIV/0!</v>
      </c>
      <c r="AO2" s="166"/>
    </row>
    <row r="3" spans="1:41" x14ac:dyDescent="0.4">
      <c r="A3" s="76">
        <v>1</v>
      </c>
      <c r="B3" s="77" t="s">
        <v>133</v>
      </c>
      <c r="C3" s="78">
        <v>285.20000000000005</v>
      </c>
      <c r="D3" s="79" t="s">
        <v>133</v>
      </c>
      <c r="E3" s="102">
        <v>35.650000000000006</v>
      </c>
      <c r="F3" s="79" t="s">
        <v>133</v>
      </c>
      <c r="G3" s="80">
        <v>1.25</v>
      </c>
      <c r="H3" s="79" t="s">
        <v>133</v>
      </c>
      <c r="I3" s="81">
        <v>0.75</v>
      </c>
      <c r="J3" s="79" t="s">
        <v>133</v>
      </c>
      <c r="K3" s="81">
        <v>0</v>
      </c>
      <c r="L3" s="79" t="s">
        <v>133</v>
      </c>
      <c r="M3" s="82">
        <v>0.43478260869565216</v>
      </c>
      <c r="N3" s="79" t="s">
        <v>182</v>
      </c>
      <c r="O3" s="82">
        <v>0.1</v>
      </c>
      <c r="P3" s="79" t="s">
        <v>181</v>
      </c>
      <c r="Q3" s="83">
        <v>9266.6666666666661</v>
      </c>
      <c r="R3" s="79" t="s">
        <v>187</v>
      </c>
      <c r="S3" s="83">
        <v>-3900</v>
      </c>
      <c r="T3" s="79" t="s">
        <v>133</v>
      </c>
      <c r="U3" s="81">
        <v>0</v>
      </c>
      <c r="V3" s="79" t="s">
        <v>181</v>
      </c>
      <c r="W3" s="81">
        <v>0.2</v>
      </c>
      <c r="X3" s="79" t="s">
        <v>133</v>
      </c>
      <c r="Y3" s="81">
        <v>0.5</v>
      </c>
      <c r="Z3" s="79" t="s">
        <v>133</v>
      </c>
      <c r="AA3" s="82">
        <v>0.34782608695652173</v>
      </c>
      <c r="AB3" s="79" t="s">
        <v>182</v>
      </c>
      <c r="AC3" s="82">
        <v>0.4</v>
      </c>
      <c r="AD3" s="79" t="s">
        <v>135</v>
      </c>
      <c r="AE3" s="82">
        <v>0.58333333333333337</v>
      </c>
      <c r="AF3" s="79" t="s">
        <v>133</v>
      </c>
      <c r="AG3" s="82">
        <v>0.61111111111111116</v>
      </c>
      <c r="AH3" s="79" t="s">
        <v>183</v>
      </c>
      <c r="AI3" s="82">
        <v>1</v>
      </c>
      <c r="AJ3" s="79" t="s">
        <v>151</v>
      </c>
      <c r="AK3" s="84">
        <v>7</v>
      </c>
      <c r="AL3" s="79" t="s">
        <v>151</v>
      </c>
      <c r="AM3" s="97">
        <v>105900</v>
      </c>
      <c r="AN3" s="79" t="s">
        <v>151</v>
      </c>
      <c r="AO3" s="85">
        <v>2</v>
      </c>
    </row>
    <row r="4" spans="1:41" x14ac:dyDescent="0.4">
      <c r="A4" s="86">
        <v>2</v>
      </c>
      <c r="B4" s="87" t="s">
        <v>182</v>
      </c>
      <c r="C4" s="88">
        <v>1.7999999999999989</v>
      </c>
      <c r="D4" s="89" t="s">
        <v>182</v>
      </c>
      <c r="E4" s="103">
        <v>0.59999999999999964</v>
      </c>
      <c r="F4" s="89" t="s">
        <v>151</v>
      </c>
      <c r="G4" s="90">
        <v>2</v>
      </c>
      <c r="H4" s="89" t="s">
        <v>181</v>
      </c>
      <c r="I4" s="91">
        <v>0.4</v>
      </c>
      <c r="J4" s="89" t="s">
        <v>182</v>
      </c>
      <c r="K4" s="91">
        <v>0</v>
      </c>
      <c r="L4" s="89" t="s">
        <v>151</v>
      </c>
      <c r="M4" s="92">
        <v>0.30337078651685395</v>
      </c>
      <c r="N4" s="89" t="s">
        <v>134</v>
      </c>
      <c r="O4" s="92">
        <v>0.14084507042253522</v>
      </c>
      <c r="P4" s="89" t="s">
        <v>133</v>
      </c>
      <c r="Q4" s="93">
        <v>8296.6666666666661</v>
      </c>
      <c r="R4" s="89" t="s">
        <v>181</v>
      </c>
      <c r="S4" s="93">
        <v>-5333.333333333333</v>
      </c>
      <c r="T4" s="89" t="s">
        <v>134</v>
      </c>
      <c r="U4" s="91">
        <v>0</v>
      </c>
      <c r="V4" s="89" t="s">
        <v>133</v>
      </c>
      <c r="W4" s="91">
        <v>0.125</v>
      </c>
      <c r="X4" s="89" t="s">
        <v>151</v>
      </c>
      <c r="Y4" s="91">
        <v>0.21212121212121213</v>
      </c>
      <c r="Z4" s="89" t="s">
        <v>134</v>
      </c>
      <c r="AA4" s="92">
        <v>0.323943661971831</v>
      </c>
      <c r="AB4" s="89" t="s">
        <v>133</v>
      </c>
      <c r="AC4" s="92">
        <v>0.2608695652173913</v>
      </c>
      <c r="AD4" s="89" t="s">
        <v>181</v>
      </c>
      <c r="AE4" s="92">
        <v>0.5714285714285714</v>
      </c>
      <c r="AF4" s="89" t="s">
        <v>151</v>
      </c>
      <c r="AG4" s="92">
        <v>0.40677966101694918</v>
      </c>
      <c r="AH4" s="89" t="s">
        <v>187</v>
      </c>
      <c r="AI4" s="92">
        <v>0.5</v>
      </c>
      <c r="AJ4" s="89" t="s">
        <v>135</v>
      </c>
      <c r="AK4" s="94">
        <v>7</v>
      </c>
      <c r="AL4" s="89" t="s">
        <v>133</v>
      </c>
      <c r="AM4" s="98">
        <v>105900</v>
      </c>
      <c r="AN4" s="89" t="s">
        <v>134</v>
      </c>
      <c r="AO4" s="95">
        <v>1</v>
      </c>
    </row>
    <row r="5" spans="1:41" x14ac:dyDescent="0.4">
      <c r="A5" s="86">
        <v>3</v>
      </c>
      <c r="B5" s="87" t="s">
        <v>151</v>
      </c>
      <c r="C5" s="88">
        <v>8.8817841970012523E-16</v>
      </c>
      <c r="D5" s="89" t="s">
        <v>151</v>
      </c>
      <c r="E5" s="103">
        <v>2.6914497566670462E-17</v>
      </c>
      <c r="F5" s="89" t="s">
        <v>182</v>
      </c>
      <c r="G5" s="90">
        <v>2</v>
      </c>
      <c r="H5" s="89" t="s">
        <v>151</v>
      </c>
      <c r="I5" s="91">
        <v>0.33333333333333331</v>
      </c>
      <c r="J5" s="89" t="s">
        <v>187</v>
      </c>
      <c r="K5" s="91">
        <v>0</v>
      </c>
      <c r="L5" s="89" t="s">
        <v>187</v>
      </c>
      <c r="M5" s="92">
        <v>0.2857142857142857</v>
      </c>
      <c r="N5" s="89" t="s">
        <v>187</v>
      </c>
      <c r="O5" s="92">
        <v>0.14285714285714285</v>
      </c>
      <c r="P5" s="89" t="s">
        <v>134</v>
      </c>
      <c r="Q5" s="93">
        <v>8115.7894736842109</v>
      </c>
      <c r="R5" s="89" t="s">
        <v>182</v>
      </c>
      <c r="S5" s="93">
        <v>-6750</v>
      </c>
      <c r="T5" s="89" t="s">
        <v>181</v>
      </c>
      <c r="U5" s="91">
        <v>0</v>
      </c>
      <c r="V5" s="89" t="s">
        <v>151</v>
      </c>
      <c r="W5" s="91">
        <v>6.0606060606060608E-2</v>
      </c>
      <c r="X5" s="89" t="s">
        <v>181</v>
      </c>
      <c r="Y5" s="91">
        <v>0.2</v>
      </c>
      <c r="Z5" s="89" t="s">
        <v>151</v>
      </c>
      <c r="AA5" s="92">
        <v>0.26217228464419473</v>
      </c>
      <c r="AB5" s="89" t="s">
        <v>151</v>
      </c>
      <c r="AC5" s="92">
        <v>0.22097378277153559</v>
      </c>
      <c r="AD5" s="89" t="s">
        <v>134</v>
      </c>
      <c r="AE5" s="92">
        <v>0.56521739130434778</v>
      </c>
      <c r="AF5" s="89" t="s">
        <v>135</v>
      </c>
      <c r="AG5" s="92">
        <v>0.375</v>
      </c>
      <c r="AH5" s="89" t="s">
        <v>182</v>
      </c>
      <c r="AI5" s="92">
        <v>0.4</v>
      </c>
      <c r="AJ5" s="89" t="s">
        <v>133</v>
      </c>
      <c r="AK5" s="94">
        <v>4</v>
      </c>
      <c r="AL5" s="89" t="s">
        <v>134</v>
      </c>
      <c r="AM5" s="98">
        <v>75900</v>
      </c>
      <c r="AN5" s="89" t="s">
        <v>181</v>
      </c>
      <c r="AO5" s="95">
        <v>1</v>
      </c>
    </row>
    <row r="6" spans="1:41" x14ac:dyDescent="0.4">
      <c r="A6" s="86">
        <v>4</v>
      </c>
      <c r="B6" s="87" t="s">
        <v>187</v>
      </c>
      <c r="C6" s="88">
        <v>-1.9</v>
      </c>
      <c r="D6" s="89" t="s">
        <v>187</v>
      </c>
      <c r="E6" s="103">
        <v>-1.9</v>
      </c>
      <c r="F6" s="89" t="s">
        <v>187</v>
      </c>
      <c r="G6" s="90">
        <v>2</v>
      </c>
      <c r="H6" s="89" t="s">
        <v>134</v>
      </c>
      <c r="I6" s="91">
        <v>0.25</v>
      </c>
      <c r="J6" s="89" t="s">
        <v>151</v>
      </c>
      <c r="K6" s="91">
        <v>0.33333333333333331</v>
      </c>
      <c r="L6" s="89" t="s">
        <v>135</v>
      </c>
      <c r="M6" s="92">
        <v>0.26785714285714285</v>
      </c>
      <c r="N6" s="89" t="s">
        <v>133</v>
      </c>
      <c r="O6" s="92">
        <v>0.15942028985507245</v>
      </c>
      <c r="P6" s="89" t="s">
        <v>135</v>
      </c>
      <c r="Q6" s="93">
        <v>7973.333333333333</v>
      </c>
      <c r="R6" s="89" t="s">
        <v>133</v>
      </c>
      <c r="S6" s="93">
        <v>-7409.090909090909</v>
      </c>
      <c r="T6" s="89" t="s">
        <v>182</v>
      </c>
      <c r="U6" s="91">
        <v>0</v>
      </c>
      <c r="V6" s="89" t="s">
        <v>134</v>
      </c>
      <c r="W6" s="91">
        <v>0</v>
      </c>
      <c r="X6" s="89" t="s">
        <v>135</v>
      </c>
      <c r="Y6" s="91">
        <v>0.14285714285714285</v>
      </c>
      <c r="Z6" s="89" t="s">
        <v>135</v>
      </c>
      <c r="AA6" s="92">
        <v>0.21428571428571427</v>
      </c>
      <c r="AB6" s="89" t="s">
        <v>181</v>
      </c>
      <c r="AC6" s="92">
        <v>0.21621621621621623</v>
      </c>
      <c r="AD6" s="89" t="s">
        <v>151</v>
      </c>
      <c r="AE6" s="92">
        <v>0.51428571428571423</v>
      </c>
      <c r="AF6" s="89" t="s">
        <v>181</v>
      </c>
      <c r="AG6" s="92">
        <v>0.375</v>
      </c>
      <c r="AH6" s="89" t="s">
        <v>135</v>
      </c>
      <c r="AI6" s="92">
        <v>0.33333333333333331</v>
      </c>
      <c r="AJ6" s="89" t="s">
        <v>134</v>
      </c>
      <c r="AK6" s="94">
        <v>4</v>
      </c>
      <c r="AL6" s="89" t="s">
        <v>181</v>
      </c>
      <c r="AM6" s="98">
        <v>63800</v>
      </c>
      <c r="AN6" s="89" t="s">
        <v>133</v>
      </c>
      <c r="AO6" s="95">
        <v>0</v>
      </c>
    </row>
    <row r="7" spans="1:41" x14ac:dyDescent="0.4">
      <c r="A7" s="86">
        <v>5</v>
      </c>
      <c r="B7" s="87" t="s">
        <v>181</v>
      </c>
      <c r="C7" s="88">
        <v>-36.100000000000009</v>
      </c>
      <c r="D7" s="89" t="s">
        <v>134</v>
      </c>
      <c r="E7" s="103">
        <v>-6.2</v>
      </c>
      <c r="F7" s="89" t="s">
        <v>181</v>
      </c>
      <c r="G7" s="90">
        <v>2.2000000000000002</v>
      </c>
      <c r="H7" s="89" t="s">
        <v>135</v>
      </c>
      <c r="I7" s="91">
        <v>0.14285714285714285</v>
      </c>
      <c r="J7" s="89" t="s">
        <v>135</v>
      </c>
      <c r="K7" s="91">
        <v>0.42857142857142855</v>
      </c>
      <c r="L7" s="89" t="s">
        <v>134</v>
      </c>
      <c r="M7" s="92">
        <v>0.26760563380281688</v>
      </c>
      <c r="N7" s="89" t="s">
        <v>151</v>
      </c>
      <c r="O7" s="92">
        <v>0.20224719101123595</v>
      </c>
      <c r="P7" s="89" t="s">
        <v>151</v>
      </c>
      <c r="Q7" s="93">
        <v>7923.4567901234568</v>
      </c>
      <c r="R7" s="89" t="s">
        <v>134</v>
      </c>
      <c r="S7" s="93">
        <v>-7880</v>
      </c>
      <c r="T7" s="89" t="s">
        <v>187</v>
      </c>
      <c r="U7" s="91">
        <v>0</v>
      </c>
      <c r="V7" s="89" t="s">
        <v>135</v>
      </c>
      <c r="W7" s="91">
        <v>0</v>
      </c>
      <c r="X7" s="89" t="s">
        <v>134</v>
      </c>
      <c r="Y7" s="91">
        <v>0.125</v>
      </c>
      <c r="Z7" s="89" t="s">
        <v>181</v>
      </c>
      <c r="AA7" s="92">
        <v>0.1891891891891892</v>
      </c>
      <c r="AB7" s="89" t="s">
        <v>134</v>
      </c>
      <c r="AC7" s="92">
        <v>0.21126760563380281</v>
      </c>
      <c r="AD7" s="89" t="s">
        <v>133</v>
      </c>
      <c r="AE7" s="92">
        <v>0.45833333333333331</v>
      </c>
      <c r="AF7" s="89" t="s">
        <v>182</v>
      </c>
      <c r="AG7" s="92">
        <v>0.375</v>
      </c>
      <c r="AH7" s="89" t="s">
        <v>151</v>
      </c>
      <c r="AI7" s="92">
        <v>0.32098765432098764</v>
      </c>
      <c r="AJ7" s="89" t="s">
        <v>181</v>
      </c>
      <c r="AK7" s="94">
        <v>4</v>
      </c>
      <c r="AL7" s="89" t="s">
        <v>135</v>
      </c>
      <c r="AM7" s="98">
        <v>52000</v>
      </c>
      <c r="AN7" s="89" t="s">
        <v>135</v>
      </c>
      <c r="AO7" s="95">
        <v>0</v>
      </c>
    </row>
    <row r="8" spans="1:41" x14ac:dyDescent="0.4">
      <c r="A8" s="86">
        <v>6</v>
      </c>
      <c r="B8" s="87" t="s">
        <v>134</v>
      </c>
      <c r="C8" s="88">
        <v>-49.6</v>
      </c>
      <c r="D8" s="89" t="s">
        <v>181</v>
      </c>
      <c r="E8" s="103">
        <v>-7.2200000000000015</v>
      </c>
      <c r="F8" s="89" t="s">
        <v>134</v>
      </c>
      <c r="G8" s="90">
        <v>2.25</v>
      </c>
      <c r="H8" s="89" t="s">
        <v>182</v>
      </c>
      <c r="I8" s="91">
        <v>0</v>
      </c>
      <c r="J8" s="89" t="s">
        <v>134</v>
      </c>
      <c r="K8" s="91">
        <v>0.5</v>
      </c>
      <c r="L8" s="89" t="s">
        <v>182</v>
      </c>
      <c r="M8" s="92">
        <v>0.25</v>
      </c>
      <c r="N8" s="89" t="s">
        <v>135</v>
      </c>
      <c r="O8" s="92">
        <v>0.2857142857142857</v>
      </c>
      <c r="P8" s="89" t="s">
        <v>187</v>
      </c>
      <c r="Q8" s="93">
        <v>7050</v>
      </c>
      <c r="R8" s="89" t="s">
        <v>151</v>
      </c>
      <c r="S8" s="93">
        <v>-8040.7407407407409</v>
      </c>
      <c r="T8" s="89" t="s">
        <v>151</v>
      </c>
      <c r="U8" s="91">
        <v>6.0606060606060608E-2</v>
      </c>
      <c r="V8" s="89" t="s">
        <v>182</v>
      </c>
      <c r="W8" s="91">
        <v>0</v>
      </c>
      <c r="X8" s="89" t="s">
        <v>182</v>
      </c>
      <c r="Y8" s="91">
        <v>0</v>
      </c>
      <c r="Z8" s="89" t="s">
        <v>182</v>
      </c>
      <c r="AA8" s="92">
        <v>0.15</v>
      </c>
      <c r="AB8" s="89" t="s">
        <v>135</v>
      </c>
      <c r="AC8" s="92">
        <v>0.14285714285714285</v>
      </c>
      <c r="AD8" s="89" t="s">
        <v>182</v>
      </c>
      <c r="AE8" s="92">
        <v>0.33333333333333331</v>
      </c>
      <c r="AF8" s="89" t="s">
        <v>134</v>
      </c>
      <c r="AG8" s="92">
        <v>0.26666666666666666</v>
      </c>
      <c r="AH8" s="89" t="s">
        <v>134</v>
      </c>
      <c r="AI8" s="92">
        <v>0.31578947368421051</v>
      </c>
      <c r="AJ8" s="89" t="s">
        <v>182</v>
      </c>
      <c r="AK8" s="94">
        <v>1</v>
      </c>
      <c r="AL8" s="89" t="s">
        <v>182</v>
      </c>
      <c r="AM8" s="98">
        <v>46100</v>
      </c>
      <c r="AN8" s="89" t="s">
        <v>182</v>
      </c>
      <c r="AO8" s="95">
        <v>0</v>
      </c>
    </row>
    <row r="9" spans="1:41" x14ac:dyDescent="0.4">
      <c r="A9" s="86">
        <v>7</v>
      </c>
      <c r="B9" s="87" t="s">
        <v>183</v>
      </c>
      <c r="C9" s="88">
        <v>-82.6</v>
      </c>
      <c r="D9" s="89" t="s">
        <v>135</v>
      </c>
      <c r="E9" s="103">
        <v>-16.685714285714287</v>
      </c>
      <c r="F9" s="89" t="s">
        <v>135</v>
      </c>
      <c r="G9" s="90">
        <v>2.2857142857142856</v>
      </c>
      <c r="H9" s="89" t="s">
        <v>183</v>
      </c>
      <c r="I9" s="91">
        <v>0</v>
      </c>
      <c r="J9" s="89" t="s">
        <v>181</v>
      </c>
      <c r="K9" s="91">
        <v>0.6</v>
      </c>
      <c r="L9" s="89" t="s">
        <v>181</v>
      </c>
      <c r="M9" s="92">
        <v>0.24324324324324326</v>
      </c>
      <c r="N9" s="89" t="s">
        <v>183</v>
      </c>
      <c r="O9" s="92">
        <v>0.2857142857142857</v>
      </c>
      <c r="P9" s="89" t="s">
        <v>183</v>
      </c>
      <c r="Q9" s="93">
        <v>4000</v>
      </c>
      <c r="R9" s="89" t="s">
        <v>135</v>
      </c>
      <c r="S9" s="93">
        <v>-9431.25</v>
      </c>
      <c r="T9" s="89" t="s">
        <v>135</v>
      </c>
      <c r="U9" s="91">
        <v>0.14285714285714285</v>
      </c>
      <c r="V9" s="89" t="s">
        <v>183</v>
      </c>
      <c r="W9" s="91">
        <v>0</v>
      </c>
      <c r="X9" s="89" t="s">
        <v>183</v>
      </c>
      <c r="Y9" s="91">
        <v>0</v>
      </c>
      <c r="Z9" s="89" t="s">
        <v>183</v>
      </c>
      <c r="AA9" s="92">
        <v>0.14285714285714285</v>
      </c>
      <c r="AB9" s="89" t="s">
        <v>183</v>
      </c>
      <c r="AC9" s="92">
        <v>0.14285714285714285</v>
      </c>
      <c r="AD9" s="89" t="s">
        <v>183</v>
      </c>
      <c r="AE9" s="92">
        <v>0</v>
      </c>
      <c r="AF9" s="89" t="s">
        <v>183</v>
      </c>
      <c r="AG9" s="92">
        <v>0</v>
      </c>
      <c r="AH9" s="89" t="s">
        <v>133</v>
      </c>
      <c r="AI9" s="92">
        <v>0.3</v>
      </c>
      <c r="AJ9" s="89" t="s">
        <v>183</v>
      </c>
      <c r="AK9" s="94">
        <v>1</v>
      </c>
      <c r="AL9" s="89" t="s">
        <v>187</v>
      </c>
      <c r="AM9" s="98">
        <v>33100</v>
      </c>
      <c r="AN9" s="89" t="s">
        <v>183</v>
      </c>
      <c r="AO9" s="95">
        <v>0</v>
      </c>
    </row>
    <row r="10" spans="1:41" x14ac:dyDescent="0.4">
      <c r="A10" s="86">
        <v>8</v>
      </c>
      <c r="B10" s="87" t="s">
        <v>135</v>
      </c>
      <c r="C10" s="88">
        <v>-116.8</v>
      </c>
      <c r="D10" s="89" t="s">
        <v>183</v>
      </c>
      <c r="E10" s="103">
        <v>-82.6</v>
      </c>
      <c r="F10" s="89" t="s">
        <v>183</v>
      </c>
      <c r="G10" s="90">
        <v>3</v>
      </c>
      <c r="H10" s="89" t="s">
        <v>187</v>
      </c>
      <c r="I10" s="91">
        <v>0</v>
      </c>
      <c r="J10" s="89" t="s">
        <v>183</v>
      </c>
      <c r="K10" s="91">
        <v>1</v>
      </c>
      <c r="L10" s="89" t="s">
        <v>183</v>
      </c>
      <c r="M10" s="92">
        <v>0.14285714285714285</v>
      </c>
      <c r="N10" s="89" t="s">
        <v>181</v>
      </c>
      <c r="O10" s="92">
        <v>0.32432432432432434</v>
      </c>
      <c r="P10" s="89" t="s">
        <v>182</v>
      </c>
      <c r="Q10" s="93">
        <v>3520</v>
      </c>
      <c r="R10" s="89" t="s">
        <v>183</v>
      </c>
      <c r="S10" s="93">
        <v>-20800</v>
      </c>
      <c r="T10" s="89" t="s">
        <v>183</v>
      </c>
      <c r="U10" s="91">
        <v>1</v>
      </c>
      <c r="V10" s="89" t="s">
        <v>187</v>
      </c>
      <c r="W10" s="91">
        <v>0</v>
      </c>
      <c r="X10" s="89" t="s">
        <v>187</v>
      </c>
      <c r="Y10" s="91">
        <v>0</v>
      </c>
      <c r="Z10" s="89" t="s">
        <v>187</v>
      </c>
      <c r="AA10" s="92">
        <v>0</v>
      </c>
      <c r="AB10" s="89" t="s">
        <v>187</v>
      </c>
      <c r="AC10" s="92">
        <v>0.14285714285714285</v>
      </c>
      <c r="AD10" s="89" t="s">
        <v>187</v>
      </c>
      <c r="AE10" s="92">
        <v>0</v>
      </c>
      <c r="AF10" s="89" t="s">
        <v>187</v>
      </c>
      <c r="AG10" s="92">
        <v>0</v>
      </c>
      <c r="AH10" s="89" t="s">
        <v>181</v>
      </c>
      <c r="AI10" s="92">
        <v>0.22222222222222221</v>
      </c>
      <c r="AJ10" s="89" t="s">
        <v>187</v>
      </c>
      <c r="AK10" s="94">
        <v>1</v>
      </c>
      <c r="AL10" s="89" t="s">
        <v>183</v>
      </c>
      <c r="AM10" s="98">
        <v>0</v>
      </c>
      <c r="AN10" s="89" t="s">
        <v>187</v>
      </c>
      <c r="AO10" s="95">
        <v>0</v>
      </c>
    </row>
  </sheetData>
  <sortState ref="AN3:AO3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34D8-668A-45C6-986F-EAD8697F9EB3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151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33</v>
      </c>
      <c r="C2" s="150"/>
      <c r="E2" s="64" t="s">
        <v>69</v>
      </c>
      <c r="F2" s="61" t="s">
        <v>23</v>
      </c>
      <c r="G2" s="48">
        <v>53</v>
      </c>
      <c r="H2" s="138">
        <f>IF(B$27=0,0,G2/B$27)</f>
        <v>0.65432098765432101</v>
      </c>
      <c r="I2" s="99">
        <v>4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-90.909090909090907</v>
      </c>
      <c r="P2" s="124">
        <v>33</v>
      </c>
      <c r="Q2" s="108">
        <v>-3000</v>
      </c>
    </row>
    <row r="3" spans="1:17" x14ac:dyDescent="0.4">
      <c r="A3" s="57" t="s">
        <v>8</v>
      </c>
      <c r="B3" s="151">
        <v>267</v>
      </c>
      <c r="C3" s="152"/>
      <c r="E3" s="65" t="s">
        <v>76</v>
      </c>
      <c r="F3" s="62" t="s">
        <v>29</v>
      </c>
      <c r="G3" s="49">
        <v>45</v>
      </c>
      <c r="H3" s="139">
        <f>IF(B$27=0,0,G3/B$27)</f>
        <v>0.55555555555555558</v>
      </c>
      <c r="I3" s="100">
        <v>4</v>
      </c>
      <c r="K3" s="40">
        <v>1</v>
      </c>
      <c r="L3" s="105">
        <v>-5.0999999999999996</v>
      </c>
      <c r="N3" s="121" t="s">
        <v>139</v>
      </c>
      <c r="O3" s="128">
        <f t="shared" si="0"/>
        <v>-60.606060606060609</v>
      </c>
      <c r="P3" s="125">
        <v>33</v>
      </c>
      <c r="Q3" s="109">
        <v>-2000</v>
      </c>
    </row>
    <row r="4" spans="1:17" x14ac:dyDescent="0.4">
      <c r="A4" s="57" t="s">
        <v>6</v>
      </c>
      <c r="B4" s="153">
        <v>8.8817841970012523E-16</v>
      </c>
      <c r="C4" s="154"/>
      <c r="E4" s="65" t="s">
        <v>67</v>
      </c>
      <c r="F4" s="62" t="s">
        <v>21</v>
      </c>
      <c r="G4" s="49">
        <v>35</v>
      </c>
      <c r="H4" s="139">
        <f>IF(B$27=0,0,G4/B$27)</f>
        <v>0.43209876543209874</v>
      </c>
      <c r="I4" s="100">
        <v>4</v>
      </c>
      <c r="K4" s="40">
        <v>2</v>
      </c>
      <c r="L4" s="105">
        <v>40.4</v>
      </c>
      <c r="N4" s="121" t="s">
        <v>140</v>
      </c>
      <c r="O4" s="128">
        <f t="shared" si="0"/>
        <v>185.18518518518519</v>
      </c>
      <c r="P4" s="125">
        <v>27</v>
      </c>
      <c r="Q4" s="109">
        <v>5000</v>
      </c>
    </row>
    <row r="5" spans="1:17" x14ac:dyDescent="0.4">
      <c r="A5" s="57" t="s">
        <v>7</v>
      </c>
      <c r="B5" s="155">
        <f>IF(B$2=0,0,B$4/B$2)</f>
        <v>2.6914497566670462E-17</v>
      </c>
      <c r="C5" s="156"/>
      <c r="E5" s="65" t="s">
        <v>70</v>
      </c>
      <c r="F5" s="62" t="s">
        <v>24</v>
      </c>
      <c r="G5" s="49">
        <v>23</v>
      </c>
      <c r="H5" s="139">
        <f>IF(B$27=0,0,G5/B$27)</f>
        <v>0.2839506172839506</v>
      </c>
      <c r="I5" s="100">
        <v>3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27</v>
      </c>
      <c r="Q5" s="109">
        <v>0</v>
      </c>
    </row>
    <row r="6" spans="1:17" x14ac:dyDescent="0.4">
      <c r="A6" s="57" t="s">
        <v>1</v>
      </c>
      <c r="B6" s="161">
        <f>IF(B$2=0,0,(B$7*1+B$8*2+B$9*3)/B$2)</f>
        <v>2</v>
      </c>
      <c r="C6" s="162"/>
      <c r="E6" s="65" t="s">
        <v>72</v>
      </c>
      <c r="F6" s="62" t="s">
        <v>12</v>
      </c>
      <c r="G6" s="49">
        <v>19</v>
      </c>
      <c r="H6" s="139">
        <f>IF(B$27=0,0,G6/B$27)</f>
        <v>0.23456790123456789</v>
      </c>
      <c r="I6" s="100">
        <v>5</v>
      </c>
      <c r="K6" s="40">
        <v>4</v>
      </c>
      <c r="L6" s="105">
        <v>2.2000000000000002</v>
      </c>
      <c r="N6" s="121" t="s">
        <v>142</v>
      </c>
      <c r="O6" s="128">
        <f t="shared" si="0"/>
        <v>-37.037037037037038</v>
      </c>
      <c r="P6" s="125">
        <v>27</v>
      </c>
      <c r="Q6" s="109">
        <v>-1000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73</v>
      </c>
      <c r="F7" s="62" t="s">
        <v>26</v>
      </c>
      <c r="G7" s="49">
        <v>16</v>
      </c>
      <c r="H7" s="139">
        <f>IF(B$27=0,0,G7/B$27)</f>
        <v>0.19753086419753085</v>
      </c>
      <c r="I7" s="100">
        <v>4</v>
      </c>
      <c r="K7" s="40">
        <v>5</v>
      </c>
      <c r="L7" s="105">
        <v>-37</v>
      </c>
      <c r="N7" s="122" t="s">
        <v>143</v>
      </c>
      <c r="O7" s="129">
        <f t="shared" si="0"/>
        <v>41.666666666666664</v>
      </c>
      <c r="P7" s="126">
        <v>24</v>
      </c>
      <c r="Q7" s="110">
        <v>1000</v>
      </c>
    </row>
    <row r="8" spans="1:17" x14ac:dyDescent="0.4">
      <c r="A8" s="57" t="s">
        <v>3</v>
      </c>
      <c r="B8" s="49">
        <v>11</v>
      </c>
      <c r="C8" s="41">
        <f>IF(B$2=0,0,B8/B$2)</f>
        <v>0.33333333333333331</v>
      </c>
      <c r="E8" s="65" t="s">
        <v>94</v>
      </c>
      <c r="F8" s="62" t="s">
        <v>47</v>
      </c>
      <c r="G8" s="49">
        <v>14</v>
      </c>
      <c r="H8" s="139">
        <f>IF(B$27=0,0,G8/B$27)</f>
        <v>0.1728395061728395</v>
      </c>
      <c r="I8" s="100">
        <v>4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11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9</v>
      </c>
      <c r="H9" s="139">
        <f>IF(B$27=0,0,G9/B$27)</f>
        <v>0.1111111111111111</v>
      </c>
      <c r="I9" s="100">
        <v>3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2</v>
      </c>
      <c r="C10" s="42">
        <f>IF(B$2=0,0,B10/B$2)</f>
        <v>6.0606060606060608E-2</v>
      </c>
      <c r="E10" s="65" t="s">
        <v>91</v>
      </c>
      <c r="F10" s="62" t="s">
        <v>44</v>
      </c>
      <c r="G10" s="49">
        <v>8</v>
      </c>
      <c r="H10" s="139">
        <f>IF(B$27=0,0,G10/B$27)</f>
        <v>9.8765432098765427E-2</v>
      </c>
      <c r="I10" s="100">
        <v>4</v>
      </c>
      <c r="K10" s="40">
        <v>8</v>
      </c>
      <c r="L10" s="105">
        <v>19.699999999999996</v>
      </c>
      <c r="N10" s="120" t="s">
        <v>174</v>
      </c>
      <c r="O10" s="130">
        <f>IF(P10=0,0,Q10/P10)</f>
        <v>-15.80909090909091</v>
      </c>
      <c r="P10" s="124">
        <v>11</v>
      </c>
      <c r="Q10" s="112">
        <v>-173.9</v>
      </c>
    </row>
    <row r="11" spans="1:17" x14ac:dyDescent="0.4">
      <c r="A11" s="58" t="s">
        <v>146</v>
      </c>
      <c r="B11" s="50">
        <v>2</v>
      </c>
      <c r="C11" s="42">
        <f>IF(B$2=0,0,B11/B$2)</f>
        <v>6.0606060606060608E-2</v>
      </c>
      <c r="E11" s="65" t="s">
        <v>74</v>
      </c>
      <c r="F11" s="62" t="s">
        <v>27</v>
      </c>
      <c r="G11" s="49">
        <v>5</v>
      </c>
      <c r="H11" s="139">
        <f>IF(B$27=0,0,G11/B$27)</f>
        <v>6.1728395061728392E-2</v>
      </c>
      <c r="I11" s="100">
        <v>4</v>
      </c>
      <c r="K11" s="40">
        <v>9</v>
      </c>
      <c r="L11" s="105">
        <v>-3.5527136788005009E-15</v>
      </c>
      <c r="N11" s="121" t="s">
        <v>175</v>
      </c>
      <c r="O11" s="131">
        <f>IF(P11=0,0,Q11/P11)</f>
        <v>6.8363636363636378</v>
      </c>
      <c r="P11" s="125">
        <v>11</v>
      </c>
      <c r="Q11" s="113">
        <v>75.200000000000017</v>
      </c>
    </row>
    <row r="12" spans="1:17" x14ac:dyDescent="0.4">
      <c r="A12" s="59" t="s">
        <v>167</v>
      </c>
      <c r="B12" s="51">
        <v>7</v>
      </c>
      <c r="C12" s="44">
        <f>IF(B$2=0,0,B12/B$2)</f>
        <v>0.21212121212121213</v>
      </c>
      <c r="E12" s="65" t="s">
        <v>75</v>
      </c>
      <c r="F12" s="62" t="s">
        <v>28</v>
      </c>
      <c r="G12" s="49">
        <v>3</v>
      </c>
      <c r="H12" s="139">
        <f>IF(B$27=0,0,G12/B$27)</f>
        <v>3.7037037037037035E-2</v>
      </c>
      <c r="I12" s="100">
        <v>2</v>
      </c>
      <c r="K12" s="40">
        <v>10</v>
      </c>
      <c r="L12" s="105">
        <v>40.099999999999994</v>
      </c>
      <c r="N12" s="122" t="s">
        <v>176</v>
      </c>
      <c r="O12" s="132">
        <f>IF(P12=0,0,Q12/P12)</f>
        <v>8.9727272727272744</v>
      </c>
      <c r="P12" s="126">
        <v>11</v>
      </c>
      <c r="Q12" s="114">
        <v>98.700000000000017</v>
      </c>
    </row>
    <row r="13" spans="1:17" x14ac:dyDescent="0.4">
      <c r="A13" s="60" t="s">
        <v>128</v>
      </c>
      <c r="B13" s="52">
        <v>70</v>
      </c>
      <c r="C13" s="46">
        <f>IF(B$26=0,0,B13/B$26)</f>
        <v>0.26217228464419473</v>
      </c>
      <c r="E13" s="65" t="s">
        <v>82</v>
      </c>
      <c r="F13" s="62" t="s">
        <v>35</v>
      </c>
      <c r="G13" s="49">
        <v>2</v>
      </c>
      <c r="H13" s="139">
        <f>IF(B$27=0,0,G13/B$27)</f>
        <v>2.4691358024691357E-2</v>
      </c>
      <c r="I13" s="100">
        <v>3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59</v>
      </c>
      <c r="C14" s="41">
        <f>IF(B$26=0,0,B14/B$26)</f>
        <v>0.22097378277153559</v>
      </c>
      <c r="E14" s="65" t="s">
        <v>96</v>
      </c>
      <c r="F14" s="62" t="s">
        <v>49</v>
      </c>
      <c r="G14" s="49">
        <v>2</v>
      </c>
      <c r="H14" s="139">
        <f>IF(B$27=0,0,G14/B$27)</f>
        <v>2.4691358024691357E-2</v>
      </c>
      <c r="I14" s="100">
        <v>3</v>
      </c>
      <c r="K14" s="40">
        <v>12</v>
      </c>
      <c r="L14" s="105">
        <v>-8.8817841970012523E-15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36</v>
      </c>
      <c r="C15" s="39">
        <f>IF(B$13=0,0,B15/B$13)</f>
        <v>0.51428571428571423</v>
      </c>
      <c r="E15" s="65" t="s">
        <v>97</v>
      </c>
      <c r="F15" s="62" t="s">
        <v>50</v>
      </c>
      <c r="G15" s="49">
        <v>1</v>
      </c>
      <c r="H15" s="139">
        <f>IF(B$27=0,0,G15/B$27)</f>
        <v>1.2345679012345678E-2</v>
      </c>
      <c r="I15" s="100">
        <v>2</v>
      </c>
      <c r="K15" s="40">
        <v>13</v>
      </c>
      <c r="L15" s="105">
        <v>-42.100000000000009</v>
      </c>
      <c r="N15" s="120" t="s">
        <v>183</v>
      </c>
      <c r="O15" s="130">
        <f>IF(P15=0,0,Q15/P15)</f>
        <v>123.89999999999999</v>
      </c>
      <c r="P15" s="124">
        <v>2</v>
      </c>
      <c r="Q15" s="112">
        <v>247.79999999999998</v>
      </c>
    </row>
    <row r="16" spans="1:17" x14ac:dyDescent="0.4">
      <c r="A16" s="56" t="s">
        <v>131</v>
      </c>
      <c r="B16" s="48">
        <v>24</v>
      </c>
      <c r="C16" s="39">
        <f>IF(B$14=0,0,B16/B$14)</f>
        <v>0.40677966101694918</v>
      </c>
      <c r="E16" s="65" t="s">
        <v>71</v>
      </c>
      <c r="F16" s="62" t="s">
        <v>25</v>
      </c>
      <c r="G16" s="49">
        <v>0</v>
      </c>
      <c r="H16" s="139">
        <f>IF(B$27=0,0,G16/B$27)</f>
        <v>0</v>
      </c>
      <c r="I16" s="100">
        <v>1</v>
      </c>
      <c r="K16" s="40">
        <v>14</v>
      </c>
      <c r="L16" s="105">
        <v>18.79999999999999</v>
      </c>
      <c r="N16" s="121" t="s">
        <v>135</v>
      </c>
      <c r="O16" s="131">
        <f>IF(P16=0,0,Q16/P16)</f>
        <v>25.028571428571432</v>
      </c>
      <c r="P16" s="125">
        <v>14</v>
      </c>
      <c r="Q16" s="113">
        <v>350.40000000000003</v>
      </c>
    </row>
    <row r="17" spans="1:17" x14ac:dyDescent="0.4">
      <c r="A17" s="56" t="s">
        <v>10</v>
      </c>
      <c r="B17" s="48">
        <f>B19+B18</f>
        <v>81</v>
      </c>
      <c r="C17" s="39">
        <f>IF(B$3=0,0,B17/B$3)</f>
        <v>0.30337078651685395</v>
      </c>
      <c r="E17" s="65" t="s">
        <v>77</v>
      </c>
      <c r="F17" s="62" t="s">
        <v>30</v>
      </c>
      <c r="G17" s="49">
        <v>0</v>
      </c>
      <c r="H17" s="139">
        <f>IF(B$27=0,0,G17/B$27)</f>
        <v>0</v>
      </c>
      <c r="I17" s="100">
        <v>1</v>
      </c>
      <c r="K17" s="40">
        <v>15</v>
      </c>
      <c r="L17" s="105">
        <v>-1.0658141036401503E-14</v>
      </c>
      <c r="N17" s="121" t="s">
        <v>181</v>
      </c>
      <c r="O17" s="131">
        <f>IF(P17=0,0,Q17/P17)</f>
        <v>10.830000000000002</v>
      </c>
      <c r="P17" s="125">
        <v>10</v>
      </c>
      <c r="Q17" s="113">
        <v>108.30000000000003</v>
      </c>
    </row>
    <row r="18" spans="1:17" x14ac:dyDescent="0.4">
      <c r="A18" s="57" t="s">
        <v>12</v>
      </c>
      <c r="B18" s="49">
        <v>26</v>
      </c>
      <c r="C18" s="41">
        <f>IF(B$17=0,0,B18/B$17)</f>
        <v>0.32098765432098764</v>
      </c>
      <c r="E18" s="65" t="s">
        <v>78</v>
      </c>
      <c r="F18" s="62" t="s">
        <v>31</v>
      </c>
      <c r="G18" s="49">
        <v>0</v>
      </c>
      <c r="H18" s="139">
        <f>IF(B$27=0,0,G18/B$27)</f>
        <v>0</v>
      </c>
      <c r="I18" s="100">
        <v>1</v>
      </c>
      <c r="K18" s="40">
        <v>16</v>
      </c>
      <c r="L18" s="105">
        <v>90.899999999999991</v>
      </c>
      <c r="N18" s="121" t="s">
        <v>134</v>
      </c>
      <c r="O18" s="131">
        <f>IF(P18=0,0,Q18/P18)</f>
        <v>9.3000000000000007</v>
      </c>
      <c r="P18" s="125">
        <v>16</v>
      </c>
      <c r="Q18" s="113">
        <v>148.80000000000001</v>
      </c>
    </row>
    <row r="19" spans="1:17" x14ac:dyDescent="0.4">
      <c r="A19" s="57" t="s">
        <v>11</v>
      </c>
      <c r="B19" s="49">
        <v>55</v>
      </c>
      <c r="C19" s="41">
        <f>IF(B$17=0,0,B19/B$17)</f>
        <v>0.67901234567901236</v>
      </c>
      <c r="E19" s="65" t="s">
        <v>79</v>
      </c>
      <c r="F19" s="62" t="s">
        <v>32</v>
      </c>
      <c r="G19" s="49">
        <v>0</v>
      </c>
      <c r="H19" s="139">
        <f>IF(B$27=0,0,G19/B$27)</f>
        <v>0</v>
      </c>
      <c r="I19" s="100">
        <v>1</v>
      </c>
      <c r="K19" s="40">
        <v>17</v>
      </c>
      <c r="L19" s="105">
        <v>8.2999999999999972</v>
      </c>
      <c r="N19" s="121" t="s">
        <v>187</v>
      </c>
      <c r="O19" s="131">
        <f>IF(P19=0,0,Q19/P19)</f>
        <v>2.8500000000000005</v>
      </c>
      <c r="P19" s="125">
        <v>2</v>
      </c>
      <c r="Q19" s="113">
        <v>5.7000000000000011</v>
      </c>
    </row>
    <row r="20" spans="1:17" x14ac:dyDescent="0.4">
      <c r="A20" s="57" t="s">
        <v>13</v>
      </c>
      <c r="B20" s="49">
        <v>54</v>
      </c>
      <c r="C20" s="41">
        <f>IF(B$3=0,0,B20/B$3)</f>
        <v>0.20224719101123595</v>
      </c>
      <c r="E20" s="65" t="s">
        <v>80</v>
      </c>
      <c r="F20" s="62" t="s">
        <v>33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-3.5527136788005009E-15</v>
      </c>
      <c r="N20" s="121" t="s">
        <v>182</v>
      </c>
      <c r="O20" s="131">
        <f>IF(P20=0,0,Q20/P20)</f>
        <v>-0.90000000000000091</v>
      </c>
      <c r="P20" s="125">
        <v>6</v>
      </c>
      <c r="Q20" s="113">
        <v>-5.4000000000000057</v>
      </c>
    </row>
    <row r="21" spans="1:17" x14ac:dyDescent="0.4">
      <c r="A21" s="57" t="s">
        <v>5</v>
      </c>
      <c r="B21" s="53">
        <f>IF(B$17=0,0,C21/B$17)</f>
        <v>7923.4567901234568</v>
      </c>
      <c r="C21" s="43">
        <v>641800</v>
      </c>
      <c r="E21" s="65" t="s">
        <v>81</v>
      </c>
      <c r="F21" s="62" t="s">
        <v>34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30.999999999999996</v>
      </c>
      <c r="N21" s="121" t="s">
        <v>133</v>
      </c>
      <c r="O21" s="131">
        <f>IF(P21=0,0,Q21/P21)</f>
        <v>-53.474999999999994</v>
      </c>
      <c r="P21" s="125">
        <v>16</v>
      </c>
      <c r="Q21" s="113">
        <v>-855.59999999999991</v>
      </c>
    </row>
    <row r="22" spans="1:17" x14ac:dyDescent="0.4">
      <c r="A22" s="59" t="s">
        <v>14</v>
      </c>
      <c r="B22" s="54">
        <f>IF(B$20=0,0,C22/B$20)</f>
        <v>-8040.7407407407409</v>
      </c>
      <c r="C22" s="47">
        <v>-434200</v>
      </c>
      <c r="E22" s="65" t="s">
        <v>83</v>
      </c>
      <c r="F22" s="62" t="s">
        <v>36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0.79999999999999716</v>
      </c>
    </row>
    <row r="23" spans="1:17" x14ac:dyDescent="0.4">
      <c r="A23" s="96" t="s">
        <v>148</v>
      </c>
      <c r="B23" s="159">
        <v>7</v>
      </c>
      <c r="C23" s="160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-2.886579864025407E-15</v>
      </c>
    </row>
    <row r="24" spans="1:17" x14ac:dyDescent="0.4">
      <c r="A24" s="60" t="s">
        <v>159</v>
      </c>
      <c r="B24" s="157">
        <v>105900</v>
      </c>
      <c r="C24" s="158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23.699999999999996</v>
      </c>
    </row>
    <row r="25" spans="1:17" x14ac:dyDescent="0.4">
      <c r="A25" s="59" t="s">
        <v>149</v>
      </c>
      <c r="B25" s="67">
        <v>2</v>
      </c>
      <c r="C25" s="44">
        <f>IF(B$3=0,0,B25/B$3)</f>
        <v>7.4906367041198503E-3</v>
      </c>
      <c r="E25" s="65" t="s">
        <v>86</v>
      </c>
      <c r="F25" s="62" t="s">
        <v>39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26.299999999999997</v>
      </c>
    </row>
    <row r="26" spans="1:17" x14ac:dyDescent="0.4">
      <c r="A26" s="56" t="s">
        <v>126</v>
      </c>
      <c r="B26" s="149">
        <v>267</v>
      </c>
      <c r="C26" s="150"/>
      <c r="E26" s="65" t="s">
        <v>87</v>
      </c>
      <c r="F26" s="62" t="s">
        <v>40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-3.5527136788005009E-15</v>
      </c>
    </row>
    <row r="27" spans="1:17" x14ac:dyDescent="0.4">
      <c r="A27" s="59" t="s">
        <v>127</v>
      </c>
      <c r="B27" s="163">
        <v>81</v>
      </c>
      <c r="C27" s="164"/>
      <c r="E27" s="65" t="s">
        <v>88</v>
      </c>
      <c r="F27" s="62" t="s">
        <v>41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-31.300000000000004</v>
      </c>
    </row>
    <row r="28" spans="1:17" x14ac:dyDescent="0.4">
      <c r="E28" s="65" t="s">
        <v>89</v>
      </c>
      <c r="F28" s="62" t="s">
        <v>42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1.8999999999999986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1</v>
      </c>
      <c r="K29" s="40">
        <v>27</v>
      </c>
      <c r="L29" s="105">
        <v>-1.3322676295501878E-15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-58.3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1</v>
      </c>
      <c r="K31" s="40">
        <v>29</v>
      </c>
      <c r="L31" s="105">
        <v>-9.5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1</v>
      </c>
      <c r="K32" s="40">
        <v>30</v>
      </c>
      <c r="L32" s="105">
        <v>0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  <c r="K33" s="40">
        <v>31</v>
      </c>
      <c r="L33" s="105">
        <v>29.1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4.3000000000000007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  <c r="K35" s="40">
        <v>33</v>
      </c>
      <c r="L35" s="105">
        <v>8.8817841970012523E-16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F39B-7944-47CE-8874-B65A42EC51B8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133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8</v>
      </c>
      <c r="C2" s="150"/>
      <c r="E2" s="64" t="s">
        <v>76</v>
      </c>
      <c r="F2" s="61" t="s">
        <v>29</v>
      </c>
      <c r="G2" s="48">
        <v>23</v>
      </c>
      <c r="H2" s="138">
        <f>IF(B$27=0,0,G2/B$27)</f>
        <v>0.76666666666666672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-362.5</v>
      </c>
      <c r="P2" s="124">
        <v>8</v>
      </c>
      <c r="Q2" s="108">
        <v>-2900</v>
      </c>
    </row>
    <row r="3" spans="1:17" x14ac:dyDescent="0.4">
      <c r="A3" s="57" t="s">
        <v>8</v>
      </c>
      <c r="B3" s="151">
        <v>69</v>
      </c>
      <c r="C3" s="152"/>
      <c r="E3" s="65" t="s">
        <v>69</v>
      </c>
      <c r="F3" s="62" t="s">
        <v>23</v>
      </c>
      <c r="G3" s="49">
        <v>18</v>
      </c>
      <c r="H3" s="139">
        <f>IF(B$27=0,0,G3/B$27)</f>
        <v>0.6</v>
      </c>
      <c r="I3" s="100">
        <v>5</v>
      </c>
      <c r="K3" s="40">
        <v>1</v>
      </c>
      <c r="L3" s="105">
        <v>-5.0999999999999996</v>
      </c>
      <c r="N3" s="121" t="s">
        <v>139</v>
      </c>
      <c r="O3" s="128">
        <f t="shared" si="0"/>
        <v>8712.5</v>
      </c>
      <c r="P3" s="125">
        <v>8</v>
      </c>
      <c r="Q3" s="109">
        <v>69700</v>
      </c>
    </row>
    <row r="4" spans="1:17" x14ac:dyDescent="0.4">
      <c r="A4" s="57" t="s">
        <v>6</v>
      </c>
      <c r="B4" s="153">
        <v>285.20000000000005</v>
      </c>
      <c r="C4" s="154"/>
      <c r="E4" s="65" t="s">
        <v>67</v>
      </c>
      <c r="F4" s="62" t="s">
        <v>21</v>
      </c>
      <c r="G4" s="49">
        <v>10</v>
      </c>
      <c r="H4" s="139">
        <f>IF(B$27=0,0,G4/B$27)</f>
        <v>0.33333333333333331</v>
      </c>
      <c r="I4" s="100">
        <v>5</v>
      </c>
      <c r="K4" s="40">
        <v>2</v>
      </c>
      <c r="L4" s="105">
        <v>-2.8999999999999995</v>
      </c>
      <c r="N4" s="121" t="s">
        <v>140</v>
      </c>
      <c r="O4" s="128">
        <f t="shared" si="0"/>
        <v>7771.4285714285716</v>
      </c>
      <c r="P4" s="125">
        <v>7</v>
      </c>
      <c r="Q4" s="109">
        <v>54400</v>
      </c>
    </row>
    <row r="5" spans="1:17" x14ac:dyDescent="0.4">
      <c r="A5" s="57" t="s">
        <v>7</v>
      </c>
      <c r="B5" s="155">
        <f>IF(B$2=0,0,B$4/B$2)</f>
        <v>35.650000000000006</v>
      </c>
      <c r="C5" s="156"/>
      <c r="E5" s="65" t="s">
        <v>94</v>
      </c>
      <c r="F5" s="62" t="s">
        <v>47</v>
      </c>
      <c r="G5" s="49">
        <v>8</v>
      </c>
      <c r="H5" s="139">
        <f>IF(B$27=0,0,G5/B$27)</f>
        <v>0.26666666666666666</v>
      </c>
      <c r="I5" s="100">
        <v>1</v>
      </c>
      <c r="K5" s="40">
        <v>3</v>
      </c>
      <c r="L5" s="105">
        <v>70.399999999999991</v>
      </c>
      <c r="N5" s="121" t="s">
        <v>141</v>
      </c>
      <c r="O5" s="128">
        <f t="shared" si="0"/>
        <v>4028.5714285714284</v>
      </c>
      <c r="P5" s="125">
        <v>7</v>
      </c>
      <c r="Q5" s="109">
        <v>28200</v>
      </c>
    </row>
    <row r="6" spans="1:17" x14ac:dyDescent="0.4">
      <c r="A6" s="57" t="s">
        <v>1</v>
      </c>
      <c r="B6" s="161">
        <f>IF(B$2=0,0,(B$7*1+B$8*2+B$9*3)/B$2)</f>
        <v>1.25</v>
      </c>
      <c r="C6" s="162"/>
      <c r="E6" s="65" t="s">
        <v>70</v>
      </c>
      <c r="F6" s="62" t="s">
        <v>24</v>
      </c>
      <c r="G6" s="49">
        <v>6</v>
      </c>
      <c r="H6" s="139">
        <f>IF(B$27=0,0,G6/B$27)</f>
        <v>0.2</v>
      </c>
      <c r="I6" s="100">
        <v>4</v>
      </c>
      <c r="K6" s="40">
        <v>4</v>
      </c>
      <c r="L6" s="105">
        <v>110.5</v>
      </c>
      <c r="N6" s="121" t="s">
        <v>142</v>
      </c>
      <c r="O6" s="128">
        <f t="shared" si="0"/>
        <v>542.85714285714289</v>
      </c>
      <c r="P6" s="125">
        <v>7</v>
      </c>
      <c r="Q6" s="109">
        <v>3800</v>
      </c>
    </row>
    <row r="7" spans="1:17" x14ac:dyDescent="0.4">
      <c r="A7" s="57" t="s">
        <v>2</v>
      </c>
      <c r="B7" s="49">
        <v>6</v>
      </c>
      <c r="C7" s="41">
        <f>IF(B$2=0,0,B7/B$2)</f>
        <v>0.75</v>
      </c>
      <c r="E7" s="65" t="s">
        <v>72</v>
      </c>
      <c r="F7" s="62" t="s">
        <v>12</v>
      </c>
      <c r="G7" s="49">
        <v>6</v>
      </c>
      <c r="H7" s="139">
        <f>IF(B$27=0,0,G7/B$27)</f>
        <v>0.2</v>
      </c>
      <c r="I7" s="100">
        <v>6</v>
      </c>
      <c r="K7" s="40">
        <v>5</v>
      </c>
      <c r="L7" s="105">
        <v>201.4</v>
      </c>
      <c r="N7" s="122" t="s">
        <v>143</v>
      </c>
      <c r="O7" s="129">
        <f t="shared" si="0"/>
        <v>1166.6666666666667</v>
      </c>
      <c r="P7" s="126">
        <v>6</v>
      </c>
      <c r="Q7" s="110">
        <v>7000</v>
      </c>
    </row>
    <row r="8" spans="1:17" x14ac:dyDescent="0.4">
      <c r="A8" s="57" t="s">
        <v>3</v>
      </c>
      <c r="B8" s="49">
        <v>2</v>
      </c>
      <c r="C8" s="41">
        <f>IF(B$2=0,0,B8/B$2)</f>
        <v>0.25</v>
      </c>
      <c r="E8" s="65" t="s">
        <v>73</v>
      </c>
      <c r="F8" s="62" t="s">
        <v>26</v>
      </c>
      <c r="G8" s="49">
        <v>6</v>
      </c>
      <c r="H8" s="139">
        <f>IF(B$27=0,0,G8/B$27)</f>
        <v>0.2</v>
      </c>
      <c r="I8" s="100">
        <v>3</v>
      </c>
      <c r="K8" s="40">
        <v>6</v>
      </c>
      <c r="L8" s="105">
        <v>232.4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68</v>
      </c>
      <c r="F9" s="62" t="s">
        <v>22</v>
      </c>
      <c r="G9" s="49">
        <v>4</v>
      </c>
      <c r="H9" s="139">
        <f>IF(B$27=0,0,G9/B$27)</f>
        <v>0.13333333333333333</v>
      </c>
      <c r="I9" s="100">
        <v>2</v>
      </c>
      <c r="K9" s="40">
        <v>7</v>
      </c>
      <c r="L9" s="105">
        <v>256.10000000000002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4</v>
      </c>
      <c r="H10" s="139">
        <f>IF(B$27=0,0,G10/B$27)</f>
        <v>0.13333333333333333</v>
      </c>
      <c r="I10" s="100">
        <v>1</v>
      </c>
      <c r="K10" s="40">
        <v>8</v>
      </c>
      <c r="L10" s="105">
        <v>285.20000000000005</v>
      </c>
      <c r="N10" s="120" t="s">
        <v>174</v>
      </c>
      <c r="O10" s="130">
        <f>IF(P10=0,0,Q10/P10)</f>
        <v>15.65</v>
      </c>
      <c r="P10" s="124">
        <v>2</v>
      </c>
      <c r="Q10" s="112">
        <v>31.3</v>
      </c>
    </row>
    <row r="11" spans="1:17" x14ac:dyDescent="0.4">
      <c r="A11" s="58" t="s">
        <v>146</v>
      </c>
      <c r="B11" s="50">
        <v>1</v>
      </c>
      <c r="C11" s="42">
        <f>IF(B$2=0,0,B11/B$2)</f>
        <v>0.125</v>
      </c>
      <c r="E11" s="65" t="s">
        <v>74</v>
      </c>
      <c r="F11" s="62" t="s">
        <v>27</v>
      </c>
      <c r="G11" s="49">
        <v>1</v>
      </c>
      <c r="H11" s="139">
        <f>IF(B$27=0,0,G11/B$27)</f>
        <v>3.3333333333333333E-2</v>
      </c>
      <c r="I11" s="100">
        <v>5</v>
      </c>
      <c r="N11" s="121" t="s">
        <v>175</v>
      </c>
      <c r="O11" s="131">
        <f>IF(P11=0,0,Q11/P11)</f>
        <v>36.500000000000007</v>
      </c>
      <c r="P11" s="125">
        <v>3</v>
      </c>
      <c r="Q11" s="113">
        <v>109.50000000000001</v>
      </c>
    </row>
    <row r="12" spans="1:17" x14ac:dyDescent="0.4">
      <c r="A12" s="59" t="s">
        <v>167</v>
      </c>
      <c r="B12" s="51">
        <v>4</v>
      </c>
      <c r="C12" s="44">
        <f>IF(B$2=0,0,B12/B$2)</f>
        <v>0.5</v>
      </c>
      <c r="E12" s="65" t="s">
        <v>82</v>
      </c>
      <c r="F12" s="62" t="s">
        <v>35</v>
      </c>
      <c r="G12" s="49">
        <v>1</v>
      </c>
      <c r="H12" s="139">
        <f>IF(B$27=0,0,G12/B$27)</f>
        <v>3.3333333333333333E-2</v>
      </c>
      <c r="I12" s="100">
        <v>2</v>
      </c>
      <c r="N12" s="122" t="s">
        <v>176</v>
      </c>
      <c r="O12" s="132">
        <f>IF(P12=0,0,Q12/P12)</f>
        <v>48.133333333333333</v>
      </c>
      <c r="P12" s="126">
        <v>3</v>
      </c>
      <c r="Q12" s="114">
        <v>144.4</v>
      </c>
    </row>
    <row r="13" spans="1:17" x14ac:dyDescent="0.4">
      <c r="A13" s="60" t="s">
        <v>128</v>
      </c>
      <c r="B13" s="52">
        <v>24</v>
      </c>
      <c r="C13" s="46">
        <f>IF(B$26=0,0,B13/B$26)</f>
        <v>0.34782608695652173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</v>
      </c>
      <c r="C14" s="41">
        <f>IF(B$26=0,0,B14/B$26)</f>
        <v>0.2608695652173913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11</v>
      </c>
      <c r="C15" s="39">
        <f>IF(B$13=0,0,B15/B$13)</f>
        <v>0.45833333333333331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173.5</v>
      </c>
      <c r="P15" s="124">
        <v>1</v>
      </c>
      <c r="Q15" s="112">
        <v>173.5</v>
      </c>
    </row>
    <row r="16" spans="1:17" x14ac:dyDescent="0.4">
      <c r="A16" s="56" t="s">
        <v>131</v>
      </c>
      <c r="B16" s="48">
        <v>11</v>
      </c>
      <c r="C16" s="39">
        <f>IF(B$14=0,0,B16/B$14)</f>
        <v>0.61111111111111116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72.600000000000009</v>
      </c>
      <c r="P16" s="125">
        <v>2</v>
      </c>
      <c r="Q16" s="113">
        <v>145.20000000000002</v>
      </c>
    </row>
    <row r="17" spans="1:17" x14ac:dyDescent="0.4">
      <c r="A17" s="56" t="s">
        <v>10</v>
      </c>
      <c r="B17" s="48">
        <f>B19+B18</f>
        <v>30</v>
      </c>
      <c r="C17" s="39">
        <f>IF(B$3=0,0,B17/B$3)</f>
        <v>0.43478260869565216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45.75</v>
      </c>
      <c r="P17" s="125">
        <v>6</v>
      </c>
      <c r="Q17" s="113">
        <v>274.5</v>
      </c>
    </row>
    <row r="18" spans="1:17" x14ac:dyDescent="0.4">
      <c r="A18" s="57" t="s">
        <v>12</v>
      </c>
      <c r="B18" s="49">
        <v>9</v>
      </c>
      <c r="C18" s="41">
        <f>IF(B$17=0,0,B18/B$17)</f>
        <v>0.3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38.9</v>
      </c>
      <c r="P18" s="125">
        <v>6</v>
      </c>
      <c r="Q18" s="113">
        <v>233.39999999999998</v>
      </c>
    </row>
    <row r="19" spans="1:17" x14ac:dyDescent="0.4">
      <c r="A19" s="57" t="s">
        <v>11</v>
      </c>
      <c r="B19" s="49">
        <v>21</v>
      </c>
      <c r="C19" s="41">
        <f>IF(B$17=0,0,B19/B$17)</f>
        <v>0.7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182</v>
      </c>
      <c r="O19" s="131">
        <f>IF(P19=0,0,Q19/P19)</f>
        <v>29</v>
      </c>
      <c r="P19" s="125">
        <v>1</v>
      </c>
      <c r="Q19" s="113">
        <v>29</v>
      </c>
    </row>
    <row r="20" spans="1:17" x14ac:dyDescent="0.4">
      <c r="A20" s="57" t="s">
        <v>13</v>
      </c>
      <c r="B20" s="49">
        <v>11</v>
      </c>
      <c r="C20" s="41">
        <f>IF(B$3=0,0,B20/B$3)</f>
        <v>0.15942028985507245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8296.6666666666661</v>
      </c>
      <c r="C21" s="43">
        <v>248900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-7409.090909090909</v>
      </c>
      <c r="C22" s="47">
        <v>-81500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4</v>
      </c>
      <c r="C23" s="16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105900</v>
      </c>
      <c r="C24" s="15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69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30</v>
      </c>
      <c r="C27" s="16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CD7D3-32F2-4B57-8B0E-7CB2DAB88892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134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8</v>
      </c>
      <c r="C2" s="150"/>
      <c r="E2" s="64" t="s">
        <v>67</v>
      </c>
      <c r="F2" s="61" t="s">
        <v>21</v>
      </c>
      <c r="G2" s="48">
        <v>13</v>
      </c>
      <c r="H2" s="138">
        <f>IF(B$27=0,0,G2/B$27)</f>
        <v>0.68421052631578949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-1512.5</v>
      </c>
      <c r="P2" s="124">
        <v>8</v>
      </c>
      <c r="Q2" s="108">
        <v>-12100</v>
      </c>
    </row>
    <row r="3" spans="1:17" x14ac:dyDescent="0.4">
      <c r="A3" s="57" t="s">
        <v>8</v>
      </c>
      <c r="B3" s="151">
        <v>71</v>
      </c>
      <c r="C3" s="152"/>
      <c r="E3" s="65" t="s">
        <v>69</v>
      </c>
      <c r="F3" s="62" t="s">
        <v>23</v>
      </c>
      <c r="G3" s="49">
        <v>10</v>
      </c>
      <c r="H3" s="139">
        <f>IF(B$27=0,0,G3/B$27)</f>
        <v>0.52631578947368418</v>
      </c>
      <c r="I3" s="100">
        <v>6</v>
      </c>
      <c r="K3" s="40">
        <v>1</v>
      </c>
      <c r="L3" s="105">
        <v>45.5</v>
      </c>
      <c r="N3" s="121" t="s">
        <v>139</v>
      </c>
      <c r="O3" s="128">
        <f t="shared" si="0"/>
        <v>-1562.5</v>
      </c>
      <c r="P3" s="125">
        <v>8</v>
      </c>
      <c r="Q3" s="109">
        <v>-12500</v>
      </c>
    </row>
    <row r="4" spans="1:17" x14ac:dyDescent="0.4">
      <c r="A4" s="57" t="s">
        <v>6</v>
      </c>
      <c r="B4" s="153">
        <v>-49.6</v>
      </c>
      <c r="C4" s="154"/>
      <c r="E4" s="65" t="s">
        <v>70</v>
      </c>
      <c r="F4" s="62" t="s">
        <v>24</v>
      </c>
      <c r="G4" s="49">
        <v>10</v>
      </c>
      <c r="H4" s="139">
        <f>IF(B$27=0,0,G4/B$27)</f>
        <v>0.52631578947368418</v>
      </c>
      <c r="I4" s="100">
        <v>1</v>
      </c>
      <c r="K4" s="40">
        <v>2</v>
      </c>
      <c r="L4" s="105">
        <v>6.2999999999999972</v>
      </c>
      <c r="N4" s="121" t="s">
        <v>140</v>
      </c>
      <c r="O4" s="128">
        <f t="shared" si="0"/>
        <v>-5525</v>
      </c>
      <c r="P4" s="125">
        <v>8</v>
      </c>
      <c r="Q4" s="109">
        <v>-44200</v>
      </c>
    </row>
    <row r="5" spans="1:17" x14ac:dyDescent="0.4">
      <c r="A5" s="57" t="s">
        <v>7</v>
      </c>
      <c r="B5" s="155">
        <f>IF(B$2=0,0,B$4/B$2)</f>
        <v>-6.2</v>
      </c>
      <c r="C5" s="156"/>
      <c r="E5" s="65" t="s">
        <v>72</v>
      </c>
      <c r="F5" s="62" t="s">
        <v>12</v>
      </c>
      <c r="G5" s="49">
        <v>6</v>
      </c>
      <c r="H5" s="139">
        <f>IF(B$27=0,0,G5/B$27)</f>
        <v>0.31578947368421051</v>
      </c>
      <c r="I5" s="100">
        <v>3</v>
      </c>
      <c r="K5" s="40">
        <v>3</v>
      </c>
      <c r="L5" s="105">
        <v>-47.300000000000004</v>
      </c>
      <c r="N5" s="121" t="s">
        <v>141</v>
      </c>
      <c r="O5" s="128">
        <f t="shared" si="0"/>
        <v>2062.5</v>
      </c>
      <c r="P5" s="125">
        <v>8</v>
      </c>
      <c r="Q5" s="109">
        <v>16500</v>
      </c>
    </row>
    <row r="6" spans="1:17" x14ac:dyDescent="0.4">
      <c r="A6" s="57" t="s">
        <v>1</v>
      </c>
      <c r="B6" s="161">
        <f>IF(B$2=0,0,(B$7*1+B$8*2+B$9*3)/B$2)</f>
        <v>2.25</v>
      </c>
      <c r="C6" s="162"/>
      <c r="E6" s="65" t="s">
        <v>73</v>
      </c>
      <c r="F6" s="62" t="s">
        <v>26</v>
      </c>
      <c r="G6" s="49">
        <v>6</v>
      </c>
      <c r="H6" s="139">
        <f>IF(B$27=0,0,G6/B$27)</f>
        <v>0.31578947368421051</v>
      </c>
      <c r="I6" s="100">
        <v>2</v>
      </c>
      <c r="K6" s="40">
        <v>4</v>
      </c>
      <c r="L6" s="105">
        <v>13.599999999999994</v>
      </c>
      <c r="N6" s="121" t="s">
        <v>142</v>
      </c>
      <c r="O6" s="128">
        <f t="shared" si="0"/>
        <v>4337.5</v>
      </c>
      <c r="P6" s="125">
        <v>8</v>
      </c>
      <c r="Q6" s="109">
        <v>34700</v>
      </c>
    </row>
    <row r="7" spans="1:17" x14ac:dyDescent="0.4">
      <c r="A7" s="57" t="s">
        <v>2</v>
      </c>
      <c r="B7" s="49">
        <v>2</v>
      </c>
      <c r="C7" s="41">
        <f>IF(B$2=0,0,B7/B$2)</f>
        <v>0.25</v>
      </c>
      <c r="E7" s="65" t="s">
        <v>76</v>
      </c>
      <c r="F7" s="62" t="s">
        <v>29</v>
      </c>
      <c r="G7" s="49">
        <v>5</v>
      </c>
      <c r="H7" s="139">
        <f>IF(B$27=0,0,G7/B$27)</f>
        <v>0.26315789473684209</v>
      </c>
      <c r="I7" s="100">
        <v>6</v>
      </c>
      <c r="K7" s="40">
        <v>5</v>
      </c>
      <c r="L7" s="105">
        <v>-16.600000000000005</v>
      </c>
      <c r="N7" s="122" t="s">
        <v>143</v>
      </c>
      <c r="O7" s="129">
        <f t="shared" si="0"/>
        <v>1000</v>
      </c>
      <c r="P7" s="126">
        <v>8</v>
      </c>
      <c r="Q7" s="110">
        <v>8000</v>
      </c>
    </row>
    <row r="8" spans="1:17" x14ac:dyDescent="0.4">
      <c r="A8" s="57" t="s">
        <v>3</v>
      </c>
      <c r="B8" s="49">
        <v>2</v>
      </c>
      <c r="C8" s="41">
        <f>IF(B$2=0,0,B8/B$2)</f>
        <v>0.25</v>
      </c>
      <c r="E8" s="65" t="s">
        <v>68</v>
      </c>
      <c r="F8" s="62" t="s">
        <v>22</v>
      </c>
      <c r="G8" s="49">
        <v>4</v>
      </c>
      <c r="H8" s="139">
        <f>IF(B$27=0,0,G8/B$27)</f>
        <v>0.21052631578947367</v>
      </c>
      <c r="I8" s="100">
        <v>1</v>
      </c>
      <c r="K8" s="40">
        <v>6</v>
      </c>
      <c r="L8" s="105">
        <v>-14.000000000000005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0.5</v>
      </c>
      <c r="E9" s="65" t="s">
        <v>74</v>
      </c>
      <c r="F9" s="62" t="s">
        <v>27</v>
      </c>
      <c r="G9" s="49">
        <v>2</v>
      </c>
      <c r="H9" s="139">
        <f>IF(B$27=0,0,G9/B$27)</f>
        <v>0.10526315789473684</v>
      </c>
      <c r="I9" s="100">
        <v>3</v>
      </c>
      <c r="K9" s="40">
        <v>7</v>
      </c>
      <c r="L9" s="105">
        <v>-45.300000000000004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0.10526315789473684</v>
      </c>
      <c r="I10" s="100">
        <v>3</v>
      </c>
      <c r="K10" s="40">
        <v>8</v>
      </c>
      <c r="L10" s="105">
        <v>-49.6</v>
      </c>
      <c r="N10" s="120" t="s">
        <v>174</v>
      </c>
      <c r="O10" s="130">
        <f>IF(P10=0,0,Q10/P10)</f>
        <v>-41.9</v>
      </c>
      <c r="P10" s="124">
        <v>2</v>
      </c>
      <c r="Q10" s="112">
        <v>-83.8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1</v>
      </c>
      <c r="H11" s="139">
        <f>IF(B$27=0,0,G11/B$27)</f>
        <v>5.2631578947368418E-2</v>
      </c>
      <c r="I11" s="100">
        <v>6</v>
      </c>
      <c r="N11" s="121" t="s">
        <v>175</v>
      </c>
      <c r="O11" s="131">
        <f>IF(P11=0,0,Q11/P11)</f>
        <v>-3.2000000000000015</v>
      </c>
      <c r="P11" s="125">
        <v>3</v>
      </c>
      <c r="Q11" s="113">
        <v>-9.600000000000005</v>
      </c>
    </row>
    <row r="12" spans="1:17" x14ac:dyDescent="0.4">
      <c r="A12" s="59" t="s">
        <v>167</v>
      </c>
      <c r="B12" s="51">
        <v>1</v>
      </c>
      <c r="C12" s="44">
        <f>IF(B$2=0,0,B12/B$2)</f>
        <v>0.125</v>
      </c>
      <c r="E12" s="65" t="s">
        <v>96</v>
      </c>
      <c r="F12" s="62" t="s">
        <v>49</v>
      </c>
      <c r="G12" s="49">
        <v>1</v>
      </c>
      <c r="H12" s="139">
        <f>IF(B$27=0,0,G12/B$27)</f>
        <v>5.2631578947368418E-2</v>
      </c>
      <c r="I12" s="100">
        <v>2</v>
      </c>
      <c r="N12" s="122" t="s">
        <v>176</v>
      </c>
      <c r="O12" s="132">
        <f>IF(P12=0,0,Q12/P12)</f>
        <v>14.600000000000001</v>
      </c>
      <c r="P12" s="126">
        <v>3</v>
      </c>
      <c r="Q12" s="114">
        <v>43.800000000000004</v>
      </c>
    </row>
    <row r="13" spans="1:17" x14ac:dyDescent="0.4">
      <c r="A13" s="60" t="s">
        <v>128</v>
      </c>
      <c r="B13" s="52">
        <v>23</v>
      </c>
      <c r="C13" s="46">
        <f>IF(B$26=0,0,B13/B$26)</f>
        <v>0.323943661971831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</v>
      </c>
      <c r="C14" s="41">
        <f>IF(B$26=0,0,B14/B$26)</f>
        <v>0.21126760563380281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13</v>
      </c>
      <c r="C15" s="39">
        <f>IF(B$13=0,0,B15/B$13)</f>
        <v>0.56521739130434778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182</v>
      </c>
      <c r="O15" s="130">
        <f>IF(P15=0,0,Q15/P15)</f>
        <v>79.7</v>
      </c>
      <c r="P15" s="124">
        <v>1</v>
      </c>
      <c r="Q15" s="112">
        <v>79.7</v>
      </c>
    </row>
    <row r="16" spans="1:17" x14ac:dyDescent="0.4">
      <c r="A16" s="56" t="s">
        <v>131</v>
      </c>
      <c r="B16" s="48">
        <v>4</v>
      </c>
      <c r="C16" s="39">
        <f>IF(B$14=0,0,B16/B$14)</f>
        <v>0.26666666666666666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19.666666666666668</v>
      </c>
      <c r="P16" s="125">
        <v>3</v>
      </c>
      <c r="Q16" s="113">
        <v>59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0.26760563380281688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-4.9399999999999995</v>
      </c>
      <c r="P17" s="125">
        <v>5</v>
      </c>
      <c r="Q17" s="113">
        <v>-24.7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187</v>
      </c>
      <c r="O18" s="131">
        <f>IF(P18=0,0,Q18/P18)</f>
        <v>-29.400000000000002</v>
      </c>
      <c r="P18" s="125">
        <v>1</v>
      </c>
      <c r="Q18" s="113">
        <v>-29.400000000000002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133</v>
      </c>
      <c r="O19" s="131">
        <f>IF(P19=0,0,Q19/P19)</f>
        <v>-38.9</v>
      </c>
      <c r="P19" s="125">
        <v>6</v>
      </c>
      <c r="Q19" s="113">
        <v>-233.4</v>
      </c>
    </row>
    <row r="20" spans="1:17" x14ac:dyDescent="0.4">
      <c r="A20" s="57" t="s">
        <v>13</v>
      </c>
      <c r="B20" s="49">
        <v>10</v>
      </c>
      <c r="C20" s="41">
        <f>IF(B$3=0,0,B20/B$3)</f>
        <v>0.14084507042253522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4</v>
      </c>
    </row>
    <row r="21" spans="1:17" x14ac:dyDescent="0.4">
      <c r="A21" s="57" t="s">
        <v>5</v>
      </c>
      <c r="B21" s="53">
        <f>IF(B$17=0,0,C21/B$17)</f>
        <v>8115.7894736842109</v>
      </c>
      <c r="C21" s="43">
        <v>154200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-7880</v>
      </c>
      <c r="C22" s="47">
        <v>-78800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4</v>
      </c>
      <c r="C23" s="160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75900</v>
      </c>
      <c r="C24" s="158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1.4084507042253521E-2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71</v>
      </c>
      <c r="C26" s="150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19</v>
      </c>
      <c r="C27" s="164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3F6B-7505-41E4-A9E3-0893F639CA4D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135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7</v>
      </c>
      <c r="C2" s="150"/>
      <c r="E2" s="64" t="s">
        <v>69</v>
      </c>
      <c r="F2" s="61" t="s">
        <v>23</v>
      </c>
      <c r="G2" s="48">
        <v>16</v>
      </c>
      <c r="H2" s="138">
        <f>IF(B$27=0,0,G2/B$27)</f>
        <v>1.0666666666666667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828.57142857142856</v>
      </c>
      <c r="P2" s="124">
        <v>7</v>
      </c>
      <c r="Q2" s="108">
        <v>5800</v>
      </c>
    </row>
    <row r="3" spans="1:17" x14ac:dyDescent="0.4">
      <c r="A3" s="57" t="s">
        <v>8</v>
      </c>
      <c r="B3" s="151">
        <v>56</v>
      </c>
      <c r="C3" s="152"/>
      <c r="E3" s="65" t="s">
        <v>67</v>
      </c>
      <c r="F3" s="62" t="s">
        <v>21</v>
      </c>
      <c r="G3" s="49">
        <v>7</v>
      </c>
      <c r="H3" s="139">
        <f>IF(B$27=0,0,G3/B$27)</f>
        <v>0.46666666666666667</v>
      </c>
      <c r="I3" s="100">
        <v>2</v>
      </c>
      <c r="K3" s="40">
        <v>1</v>
      </c>
      <c r="L3" s="105">
        <v>-40.4</v>
      </c>
      <c r="N3" s="121" t="s">
        <v>139</v>
      </c>
      <c r="O3" s="128">
        <f t="shared" si="0"/>
        <v>-4557.1428571428569</v>
      </c>
      <c r="P3" s="125">
        <v>7</v>
      </c>
      <c r="Q3" s="109">
        <v>-31900</v>
      </c>
    </row>
    <row r="4" spans="1:17" x14ac:dyDescent="0.4">
      <c r="A4" s="57" t="s">
        <v>6</v>
      </c>
      <c r="B4" s="153">
        <v>-116.8</v>
      </c>
      <c r="C4" s="154"/>
      <c r="E4" s="65" t="s">
        <v>70</v>
      </c>
      <c r="F4" s="62" t="s">
        <v>24</v>
      </c>
      <c r="G4" s="49">
        <v>7</v>
      </c>
      <c r="H4" s="139">
        <f>IF(B$27=0,0,G4/B$27)</f>
        <v>0.46666666666666667</v>
      </c>
      <c r="I4" s="100">
        <v>2</v>
      </c>
      <c r="K4" s="40">
        <v>2</v>
      </c>
      <c r="L4" s="105">
        <v>-3.3999999999999986</v>
      </c>
      <c r="N4" s="121" t="s">
        <v>140</v>
      </c>
      <c r="O4" s="128">
        <f t="shared" si="0"/>
        <v>-540</v>
      </c>
      <c r="P4" s="125">
        <v>5</v>
      </c>
      <c r="Q4" s="109">
        <v>-2700</v>
      </c>
    </row>
    <row r="5" spans="1:17" x14ac:dyDescent="0.4">
      <c r="A5" s="57" t="s">
        <v>7</v>
      </c>
      <c r="B5" s="155">
        <f>IF(B$2=0,0,B$4/B$2)</f>
        <v>-16.685714285714287</v>
      </c>
      <c r="C5" s="156"/>
      <c r="E5" s="65" t="s">
        <v>76</v>
      </c>
      <c r="F5" s="62" t="s">
        <v>29</v>
      </c>
      <c r="G5" s="49">
        <v>6</v>
      </c>
      <c r="H5" s="139">
        <f>IF(B$27=0,0,G5/B$27)</f>
        <v>0.4</v>
      </c>
      <c r="I5" s="100">
        <v>5</v>
      </c>
      <c r="K5" s="40">
        <v>3</v>
      </c>
      <c r="L5" s="105">
        <v>-23.099999999999998</v>
      </c>
      <c r="N5" s="121" t="s">
        <v>141</v>
      </c>
      <c r="O5" s="128">
        <f t="shared" si="0"/>
        <v>-7140</v>
      </c>
      <c r="P5" s="125">
        <v>5</v>
      </c>
      <c r="Q5" s="109">
        <v>-35700</v>
      </c>
    </row>
    <row r="6" spans="1:17" x14ac:dyDescent="0.4">
      <c r="A6" s="57" t="s">
        <v>1</v>
      </c>
      <c r="B6" s="161">
        <f>IF(B$2=0,0,(B$7*1+B$8*2+B$9*3)/B$2)</f>
        <v>2.2857142857142856</v>
      </c>
      <c r="C6" s="162"/>
      <c r="E6" s="65" t="s">
        <v>72</v>
      </c>
      <c r="F6" s="62" t="s">
        <v>12</v>
      </c>
      <c r="G6" s="49">
        <v>4</v>
      </c>
      <c r="H6" s="139">
        <f>IF(B$27=0,0,G6/B$27)</f>
        <v>0.26666666666666666</v>
      </c>
      <c r="I6" s="100">
        <v>4</v>
      </c>
      <c r="K6" s="40">
        <v>4</v>
      </c>
      <c r="L6" s="105">
        <v>-31.4</v>
      </c>
      <c r="N6" s="121" t="s">
        <v>142</v>
      </c>
      <c r="O6" s="128">
        <f t="shared" si="0"/>
        <v>-1860</v>
      </c>
      <c r="P6" s="125">
        <v>5</v>
      </c>
      <c r="Q6" s="109">
        <v>-9300</v>
      </c>
    </row>
    <row r="7" spans="1:17" x14ac:dyDescent="0.4">
      <c r="A7" s="57" t="s">
        <v>2</v>
      </c>
      <c r="B7" s="49">
        <v>1</v>
      </c>
      <c r="C7" s="41">
        <f>IF(B$2=0,0,B7/B$2)</f>
        <v>0.14285714285714285</v>
      </c>
      <c r="E7" s="65" t="s">
        <v>75</v>
      </c>
      <c r="F7" s="62" t="s">
        <v>28</v>
      </c>
      <c r="G7" s="49">
        <v>3</v>
      </c>
      <c r="H7" s="139">
        <f>IF(B$27=0,0,G7/B$27)</f>
        <v>0.2</v>
      </c>
      <c r="I7" s="100">
        <v>1</v>
      </c>
      <c r="K7" s="40">
        <v>5</v>
      </c>
      <c r="L7" s="105">
        <v>-32.199999999999996</v>
      </c>
      <c r="N7" s="122" t="s">
        <v>143</v>
      </c>
      <c r="O7" s="129">
        <f t="shared" si="0"/>
        <v>-600</v>
      </c>
      <c r="P7" s="126">
        <v>5</v>
      </c>
      <c r="Q7" s="110">
        <v>-3000</v>
      </c>
    </row>
    <row r="8" spans="1:17" x14ac:dyDescent="0.4">
      <c r="A8" s="57" t="s">
        <v>3</v>
      </c>
      <c r="B8" s="49">
        <v>3</v>
      </c>
      <c r="C8" s="41">
        <f>IF(B$2=0,0,B8/B$2)</f>
        <v>0.42857142857142855</v>
      </c>
      <c r="E8" s="65" t="s">
        <v>94</v>
      </c>
      <c r="F8" s="62" t="s">
        <v>47</v>
      </c>
      <c r="G8" s="49">
        <v>3</v>
      </c>
      <c r="H8" s="139">
        <f>IF(B$27=0,0,G8/B$27)</f>
        <v>0.2</v>
      </c>
      <c r="I8" s="100">
        <v>2</v>
      </c>
      <c r="K8" s="40">
        <v>6</v>
      </c>
      <c r="L8" s="105">
        <v>-58.5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0.42857142857142855</v>
      </c>
      <c r="E9" s="65" t="s">
        <v>91</v>
      </c>
      <c r="F9" s="62" t="s">
        <v>44</v>
      </c>
      <c r="G9" s="49">
        <v>2</v>
      </c>
      <c r="H9" s="139">
        <f>IF(B$27=0,0,G9/B$27)</f>
        <v>0.13333333333333333</v>
      </c>
      <c r="I9" s="100">
        <v>1</v>
      </c>
      <c r="K9" s="40">
        <v>7</v>
      </c>
      <c r="L9" s="105">
        <v>-116.8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0.14285714285714285</v>
      </c>
      <c r="E10" s="65" t="s">
        <v>68</v>
      </c>
      <c r="F10" s="62" t="s">
        <v>22</v>
      </c>
      <c r="G10" s="49">
        <v>1</v>
      </c>
      <c r="H10" s="139">
        <f>IF(B$27=0,0,G10/B$27)</f>
        <v>6.6666666666666666E-2</v>
      </c>
      <c r="I10" s="100">
        <v>4</v>
      </c>
      <c r="N10" s="120" t="s">
        <v>174</v>
      </c>
      <c r="O10" s="130">
        <f>IF(P10=0,0,Q10/P10)</f>
        <v>-25</v>
      </c>
      <c r="P10" s="124">
        <v>3</v>
      </c>
      <c r="Q10" s="112">
        <v>-75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73</v>
      </c>
      <c r="F11" s="62" t="s">
        <v>26</v>
      </c>
      <c r="G11" s="49">
        <v>1</v>
      </c>
      <c r="H11" s="139">
        <f>IF(B$27=0,0,G11/B$27)</f>
        <v>6.6666666666666666E-2</v>
      </c>
      <c r="I11" s="100">
        <v>5</v>
      </c>
      <c r="N11" s="121" t="s">
        <v>175</v>
      </c>
      <c r="O11" s="131">
        <f>IF(P11=0,0,Q11/P11)</f>
        <v>-10.25</v>
      </c>
      <c r="P11" s="125">
        <v>2</v>
      </c>
      <c r="Q11" s="113">
        <v>-20.5</v>
      </c>
    </row>
    <row r="12" spans="1:17" x14ac:dyDescent="0.4">
      <c r="A12" s="59" t="s">
        <v>167</v>
      </c>
      <c r="B12" s="51">
        <v>1</v>
      </c>
      <c r="C12" s="44">
        <f>IF(B$2=0,0,B12/B$2)</f>
        <v>0.14285714285714285</v>
      </c>
      <c r="E12" s="65" t="s">
        <v>82</v>
      </c>
      <c r="F12" s="62" t="s">
        <v>35</v>
      </c>
      <c r="G12" s="49">
        <v>1</v>
      </c>
      <c r="H12" s="139">
        <f>IF(B$27=0,0,G12/B$27)</f>
        <v>6.6666666666666666E-2</v>
      </c>
      <c r="I12" s="100">
        <v>1</v>
      </c>
      <c r="N12" s="122" t="s">
        <v>176</v>
      </c>
      <c r="O12" s="132">
        <f>IF(P12=0,0,Q12/P12)</f>
        <v>-10.649999999999999</v>
      </c>
      <c r="P12" s="126">
        <v>2</v>
      </c>
      <c r="Q12" s="114">
        <v>-21.299999999999997</v>
      </c>
    </row>
    <row r="13" spans="1:17" x14ac:dyDescent="0.4">
      <c r="A13" s="60" t="s">
        <v>128</v>
      </c>
      <c r="B13" s="52">
        <v>12</v>
      </c>
      <c r="C13" s="46">
        <f>IF(B$26=0,0,B13/B$26)</f>
        <v>0.21428571428571427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0.14285714285714285</v>
      </c>
      <c r="E14" s="65" t="s">
        <v>74</v>
      </c>
      <c r="F14" s="62" t="s">
        <v>27</v>
      </c>
      <c r="G14" s="49">
        <v>0</v>
      </c>
      <c r="H14" s="139">
        <f>IF(B$27=0,0,G14/B$27)</f>
        <v>0</v>
      </c>
      <c r="I14" s="100">
        <v>6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7</v>
      </c>
      <c r="C15" s="39">
        <f>IF(B$13=0,0,B15/B$13)</f>
        <v>0.58333333333333337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74.3</v>
      </c>
      <c r="P15" s="124">
        <v>1</v>
      </c>
      <c r="Q15" s="112">
        <v>74.3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134</v>
      </c>
      <c r="O16" s="131">
        <f>IF(P16=0,0,Q16/P16)</f>
        <v>4.9399999999999986</v>
      </c>
      <c r="P16" s="125">
        <v>5</v>
      </c>
      <c r="Q16" s="113">
        <v>24.699999999999992</v>
      </c>
    </row>
    <row r="17" spans="1:17" x14ac:dyDescent="0.4">
      <c r="A17" s="56" t="s">
        <v>10</v>
      </c>
      <c r="B17" s="48">
        <f>B19+B18</f>
        <v>15</v>
      </c>
      <c r="C17" s="39">
        <f>IF(B$3=0,0,B17/B$3)</f>
        <v>0.26785714285714285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-45.75</v>
      </c>
      <c r="P17" s="125">
        <v>6</v>
      </c>
      <c r="Q17" s="113">
        <v>-274.5</v>
      </c>
    </row>
    <row r="18" spans="1:17" x14ac:dyDescent="0.4">
      <c r="A18" s="57" t="s">
        <v>12</v>
      </c>
      <c r="B18" s="49">
        <v>5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182</v>
      </c>
      <c r="O18" s="131">
        <f>IF(P18=0,0,Q18/P18)</f>
        <v>-67.8</v>
      </c>
      <c r="P18" s="125">
        <v>1</v>
      </c>
      <c r="Q18" s="113">
        <v>-67.8</v>
      </c>
    </row>
    <row r="19" spans="1:17" x14ac:dyDescent="0.4">
      <c r="A19" s="57" t="s">
        <v>11</v>
      </c>
      <c r="B19" s="49">
        <v>10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181</v>
      </c>
      <c r="O19" s="131">
        <f>IF(P19=0,0,Q19/P19)</f>
        <v>-107.1</v>
      </c>
      <c r="P19" s="125">
        <v>1</v>
      </c>
      <c r="Q19" s="113">
        <v>-107.1</v>
      </c>
    </row>
    <row r="20" spans="1:17" x14ac:dyDescent="0.4">
      <c r="A20" s="57" t="s">
        <v>13</v>
      </c>
      <c r="B20" s="49">
        <v>16</v>
      </c>
      <c r="C20" s="41">
        <f>IF(B$3=0,0,B20/B$3)</f>
        <v>0.2857142857142857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7973.333333333333</v>
      </c>
      <c r="C21" s="43">
        <v>119600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-9431.25</v>
      </c>
      <c r="C22" s="47">
        <v>-150900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7</v>
      </c>
      <c r="C23" s="16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52000</v>
      </c>
      <c r="C24" s="15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56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15</v>
      </c>
      <c r="C27" s="16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432D-3748-4976-B1E5-EE557B40B2E4}">
  <sheetPr codeName="Sheet1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181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5</v>
      </c>
      <c r="C2" s="150"/>
      <c r="E2" s="64" t="s">
        <v>69</v>
      </c>
      <c r="F2" s="61" t="s">
        <v>23</v>
      </c>
      <c r="G2" s="48">
        <v>8</v>
      </c>
      <c r="H2" s="138">
        <f>IF(B$27=0,0,G2/B$27)</f>
        <v>0.88888888888888884</v>
      </c>
      <c r="I2" s="99">
        <v>3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-2620</v>
      </c>
      <c r="P2" s="124">
        <v>5</v>
      </c>
      <c r="Q2" s="108">
        <v>-13100</v>
      </c>
    </row>
    <row r="3" spans="1:17" x14ac:dyDescent="0.4">
      <c r="A3" s="57" t="s">
        <v>8</v>
      </c>
      <c r="B3" s="151">
        <v>37</v>
      </c>
      <c r="C3" s="152"/>
      <c r="E3" s="65" t="s">
        <v>76</v>
      </c>
      <c r="F3" s="62" t="s">
        <v>29</v>
      </c>
      <c r="G3" s="49">
        <v>6</v>
      </c>
      <c r="H3" s="139">
        <f>IF(B$27=0,0,G3/B$27)</f>
        <v>0.66666666666666663</v>
      </c>
      <c r="I3" s="100">
        <v>3</v>
      </c>
      <c r="K3" s="40">
        <v>1</v>
      </c>
      <c r="L3" s="105">
        <v>-51.2</v>
      </c>
      <c r="N3" s="121" t="s">
        <v>139</v>
      </c>
      <c r="O3" s="128">
        <f t="shared" si="0"/>
        <v>8320</v>
      </c>
      <c r="P3" s="125">
        <v>5</v>
      </c>
      <c r="Q3" s="109">
        <v>41600</v>
      </c>
    </row>
    <row r="4" spans="1:17" x14ac:dyDescent="0.4">
      <c r="A4" s="57" t="s">
        <v>6</v>
      </c>
      <c r="B4" s="153">
        <v>-36.100000000000009</v>
      </c>
      <c r="C4" s="154"/>
      <c r="E4" s="65" t="s">
        <v>67</v>
      </c>
      <c r="F4" s="62" t="s">
        <v>21</v>
      </c>
      <c r="G4" s="49">
        <v>4</v>
      </c>
      <c r="H4" s="139">
        <f>IF(B$27=0,0,G4/B$27)</f>
        <v>0.44444444444444442</v>
      </c>
      <c r="I4" s="100">
        <v>3</v>
      </c>
      <c r="K4" s="40">
        <v>2</v>
      </c>
      <c r="L4" s="105">
        <v>-93.300000000000011</v>
      </c>
      <c r="N4" s="121" t="s">
        <v>140</v>
      </c>
      <c r="O4" s="128">
        <f t="shared" si="0"/>
        <v>475</v>
      </c>
      <c r="P4" s="125">
        <v>4</v>
      </c>
      <c r="Q4" s="109">
        <v>1900</v>
      </c>
    </row>
    <row r="5" spans="1:17" x14ac:dyDescent="0.4">
      <c r="A5" s="57" t="s">
        <v>7</v>
      </c>
      <c r="B5" s="155">
        <f>IF(B$2=0,0,B$4/B$2)</f>
        <v>-7.2200000000000015</v>
      </c>
      <c r="C5" s="156"/>
      <c r="E5" s="65" t="s">
        <v>73</v>
      </c>
      <c r="F5" s="62" t="s">
        <v>26</v>
      </c>
      <c r="G5" s="49">
        <v>3</v>
      </c>
      <c r="H5" s="139">
        <f>IF(B$27=0,0,G5/B$27)</f>
        <v>0.33333333333333331</v>
      </c>
      <c r="I5" s="100">
        <v>1</v>
      </c>
      <c r="K5" s="40">
        <v>3</v>
      </c>
      <c r="L5" s="105">
        <v>-60.100000000000009</v>
      </c>
      <c r="N5" s="121" t="s">
        <v>141</v>
      </c>
      <c r="O5" s="128">
        <f t="shared" si="0"/>
        <v>-375</v>
      </c>
      <c r="P5" s="125">
        <v>4</v>
      </c>
      <c r="Q5" s="109">
        <v>-1500</v>
      </c>
    </row>
    <row r="6" spans="1:17" x14ac:dyDescent="0.4">
      <c r="A6" s="57" t="s">
        <v>1</v>
      </c>
      <c r="B6" s="161">
        <f>IF(B$2=0,0,(B$7*1+B$8*2+B$9*3)/B$2)</f>
        <v>2.2000000000000002</v>
      </c>
      <c r="C6" s="162"/>
      <c r="E6" s="65" t="s">
        <v>72</v>
      </c>
      <c r="F6" s="62" t="s">
        <v>12</v>
      </c>
      <c r="G6" s="49">
        <v>1</v>
      </c>
      <c r="H6" s="139">
        <f>IF(B$27=0,0,G6/B$27)</f>
        <v>0.1111111111111111</v>
      </c>
      <c r="I6" s="100">
        <v>7</v>
      </c>
      <c r="K6" s="40">
        <v>4</v>
      </c>
      <c r="L6" s="105">
        <v>-11.300000000000011</v>
      </c>
      <c r="N6" s="121" t="s">
        <v>142</v>
      </c>
      <c r="O6" s="128">
        <f t="shared" si="0"/>
        <v>-3500</v>
      </c>
      <c r="P6" s="125">
        <v>4</v>
      </c>
      <c r="Q6" s="109">
        <v>-14000</v>
      </c>
    </row>
    <row r="7" spans="1:17" x14ac:dyDescent="0.4">
      <c r="A7" s="57" t="s">
        <v>2</v>
      </c>
      <c r="B7" s="49">
        <v>2</v>
      </c>
      <c r="C7" s="41">
        <f>IF(B$2=0,0,B7/B$2)</f>
        <v>0.4</v>
      </c>
      <c r="E7" s="65" t="s">
        <v>74</v>
      </c>
      <c r="F7" s="62" t="s">
        <v>27</v>
      </c>
      <c r="G7" s="49">
        <v>1</v>
      </c>
      <c r="H7" s="139">
        <f>IF(B$27=0,0,G7/B$27)</f>
        <v>0.1111111111111111</v>
      </c>
      <c r="I7" s="100">
        <v>2</v>
      </c>
      <c r="K7" s="40">
        <v>5</v>
      </c>
      <c r="L7" s="105">
        <v>-36.100000000000009</v>
      </c>
      <c r="N7" s="122" t="s">
        <v>143</v>
      </c>
      <c r="O7" s="129">
        <f t="shared" si="0"/>
        <v>-7666.666666666667</v>
      </c>
      <c r="P7" s="126">
        <v>3</v>
      </c>
      <c r="Q7" s="110">
        <v>-23000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94</v>
      </c>
      <c r="F8" s="62" t="s">
        <v>47</v>
      </c>
      <c r="G8" s="49">
        <v>1</v>
      </c>
      <c r="H8" s="139">
        <f>IF(B$27=0,0,G8/B$27)</f>
        <v>0.1111111111111111</v>
      </c>
      <c r="I8" s="100">
        <v>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0.6</v>
      </c>
      <c r="E9" s="65" t="s">
        <v>97</v>
      </c>
      <c r="F9" s="62" t="s">
        <v>50</v>
      </c>
      <c r="G9" s="49">
        <v>1</v>
      </c>
      <c r="H9" s="139">
        <f>IF(B$27=0,0,G9/B$27)</f>
        <v>0.1111111111111111</v>
      </c>
      <c r="I9" s="100">
        <v>1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0</v>
      </c>
      <c r="H10" s="139">
        <f>IF(B$27=0,0,G10/B$27)</f>
        <v>0</v>
      </c>
      <c r="I10" s="100">
        <v>5</v>
      </c>
      <c r="N10" s="120" t="s">
        <v>174</v>
      </c>
      <c r="O10" s="130">
        <f>IF(P10=0,0,Q10/P10)</f>
        <v>-14.833333333333337</v>
      </c>
      <c r="P10" s="124">
        <v>3</v>
      </c>
      <c r="Q10" s="112">
        <v>-44.500000000000014</v>
      </c>
    </row>
    <row r="11" spans="1:17" x14ac:dyDescent="0.4">
      <c r="A11" s="58" t="s">
        <v>146</v>
      </c>
      <c r="B11" s="50">
        <v>1</v>
      </c>
      <c r="C11" s="42">
        <f>IF(B$2=0,0,B11/B$2)</f>
        <v>0.2</v>
      </c>
      <c r="E11" s="65" t="s">
        <v>70</v>
      </c>
      <c r="F11" s="62" t="s">
        <v>24</v>
      </c>
      <c r="G11" s="49">
        <v>0</v>
      </c>
      <c r="H11" s="139">
        <f>IF(B$27=0,0,G11/B$27)</f>
        <v>0</v>
      </c>
      <c r="I11" s="100">
        <v>5</v>
      </c>
      <c r="N11" s="121" t="s">
        <v>175</v>
      </c>
      <c r="O11" s="131">
        <f>IF(P11=0,0,Q11/P11)</f>
        <v>-24.8</v>
      </c>
      <c r="P11" s="125">
        <v>1</v>
      </c>
      <c r="Q11" s="113">
        <v>-24.8</v>
      </c>
    </row>
    <row r="12" spans="1:17" x14ac:dyDescent="0.4">
      <c r="A12" s="59" t="s">
        <v>167</v>
      </c>
      <c r="B12" s="51">
        <v>1</v>
      </c>
      <c r="C12" s="44">
        <f>IF(B$2=0,0,B12/B$2)</f>
        <v>0.2</v>
      </c>
      <c r="E12" s="65" t="s">
        <v>71</v>
      </c>
      <c r="F12" s="62" t="s">
        <v>25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33.200000000000003</v>
      </c>
      <c r="P12" s="126">
        <v>1</v>
      </c>
      <c r="Q12" s="114">
        <v>33.200000000000003</v>
      </c>
    </row>
    <row r="13" spans="1:17" x14ac:dyDescent="0.4">
      <c r="A13" s="60" t="s">
        <v>128</v>
      </c>
      <c r="B13" s="52">
        <v>7</v>
      </c>
      <c r="C13" s="46">
        <f>IF(B$26=0,0,B13/B$26)</f>
        <v>0.1891891891891892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0.21621621621621623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4</v>
      </c>
      <c r="C15" s="39">
        <f>IF(B$13=0,0,B15/B$13)</f>
        <v>0.5714285714285714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107.1</v>
      </c>
      <c r="P15" s="124">
        <v>1</v>
      </c>
      <c r="Q15" s="112">
        <v>107.1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1</v>
      </c>
      <c r="N16" s="121" t="s">
        <v>187</v>
      </c>
      <c r="O16" s="131">
        <f>IF(P16=0,0,Q16/P16)</f>
        <v>35.1</v>
      </c>
      <c r="P16" s="125">
        <v>1</v>
      </c>
      <c r="Q16" s="113">
        <v>35.1</v>
      </c>
    </row>
    <row r="17" spans="1:17" x14ac:dyDescent="0.4">
      <c r="A17" s="56" t="s">
        <v>10</v>
      </c>
      <c r="B17" s="48">
        <f>B19+B18</f>
        <v>9</v>
      </c>
      <c r="C17" s="39">
        <f>IF(B$3=0,0,B17/B$3)</f>
        <v>0.24324324324324326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182</v>
      </c>
      <c r="O17" s="131">
        <f>IF(P17=0,0,Q17/P17)</f>
        <v>-15.433333333333337</v>
      </c>
      <c r="P17" s="125">
        <v>3</v>
      </c>
      <c r="Q17" s="113">
        <v>-46.300000000000011</v>
      </c>
    </row>
    <row r="18" spans="1:17" x14ac:dyDescent="0.4">
      <c r="A18" s="57" t="s">
        <v>12</v>
      </c>
      <c r="B18" s="49">
        <v>2</v>
      </c>
      <c r="C18" s="41">
        <f>IF(B$17=0,0,B18/B$17)</f>
        <v>0.22222222222222221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-19.666666666666668</v>
      </c>
      <c r="P18" s="125">
        <v>3</v>
      </c>
      <c r="Q18" s="113">
        <v>-59</v>
      </c>
    </row>
    <row r="19" spans="1:17" x14ac:dyDescent="0.4">
      <c r="A19" s="57" t="s">
        <v>11</v>
      </c>
      <c r="B19" s="49">
        <v>7</v>
      </c>
      <c r="C19" s="41">
        <f>IF(B$17=0,0,B19/B$17)</f>
        <v>0.77777777777777779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4</v>
      </c>
      <c r="N19" s="121" t="s">
        <v>133</v>
      </c>
      <c r="O19" s="131">
        <f>IF(P19=0,0,Q19/P19)</f>
        <v>-72.600000000000009</v>
      </c>
      <c r="P19" s="125">
        <v>2</v>
      </c>
      <c r="Q19" s="113">
        <v>-145.20000000000002</v>
      </c>
    </row>
    <row r="20" spans="1:17" x14ac:dyDescent="0.4">
      <c r="A20" s="57" t="s">
        <v>13</v>
      </c>
      <c r="B20" s="49">
        <v>12</v>
      </c>
      <c r="C20" s="41">
        <f>IF(B$3=0,0,B20/B$3)</f>
        <v>0.32432432432432434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9266.6666666666661</v>
      </c>
      <c r="C21" s="43">
        <v>83400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-5333.333333333333</v>
      </c>
      <c r="C22" s="47">
        <v>-64000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4</v>
      </c>
      <c r="C23" s="16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63800</v>
      </c>
      <c r="C24" s="15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2.7027027027027029E-2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37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9</v>
      </c>
      <c r="C27" s="164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91</v>
      </c>
      <c r="F28" s="62" t="s">
        <v>44</v>
      </c>
      <c r="G28" s="49">
        <v>0</v>
      </c>
      <c r="H28" s="139">
        <f>IF(B$27=0,0,G28/B$27)</f>
        <v>0</v>
      </c>
      <c r="I28" s="100">
        <v>5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96</v>
      </c>
      <c r="F32" s="62" t="s">
        <v>49</v>
      </c>
      <c r="G32" s="49">
        <v>0</v>
      </c>
      <c r="H32" s="139">
        <f>IF(B$27=0,0,G32/B$27)</f>
        <v>0</v>
      </c>
      <c r="I32" s="100">
        <v>4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1235-DE34-4D00-8361-953D1DA6191F}">
  <sheetPr codeName="Sheet15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182</v>
      </c>
      <c r="C1" s="14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3</v>
      </c>
      <c r="C2" s="150"/>
      <c r="E2" s="64" t="s">
        <v>76</v>
      </c>
      <c r="F2" s="61" t="s">
        <v>29</v>
      </c>
      <c r="G2" s="48">
        <v>5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5666.666666666667</v>
      </c>
      <c r="P2" s="124">
        <v>3</v>
      </c>
      <c r="Q2" s="108">
        <v>17000</v>
      </c>
    </row>
    <row r="3" spans="1:17" x14ac:dyDescent="0.4">
      <c r="A3" s="57" t="s">
        <v>8</v>
      </c>
      <c r="B3" s="151">
        <v>20</v>
      </c>
      <c r="C3" s="152"/>
      <c r="E3" s="65" t="s">
        <v>67</v>
      </c>
      <c r="F3" s="62" t="s">
        <v>21</v>
      </c>
      <c r="G3" s="49">
        <v>1</v>
      </c>
      <c r="H3" s="139">
        <f>IF(B$27=0,0,G3/B$27)</f>
        <v>0.2</v>
      </c>
      <c r="I3" s="100">
        <v>6</v>
      </c>
      <c r="K3" s="40">
        <v>1</v>
      </c>
      <c r="L3" s="105">
        <v>11.1</v>
      </c>
      <c r="N3" s="121" t="s">
        <v>139</v>
      </c>
      <c r="O3" s="128">
        <f t="shared" si="0"/>
        <v>866.66666666666663</v>
      </c>
      <c r="P3" s="125">
        <v>3</v>
      </c>
      <c r="Q3" s="109">
        <v>2600</v>
      </c>
    </row>
    <row r="4" spans="1:17" x14ac:dyDescent="0.4">
      <c r="A4" s="57" t="s">
        <v>6</v>
      </c>
      <c r="B4" s="153">
        <v>1.7999999999999989</v>
      </c>
      <c r="C4" s="154"/>
      <c r="E4" s="65" t="s">
        <v>94</v>
      </c>
      <c r="F4" s="62" t="s">
        <v>47</v>
      </c>
      <c r="G4" s="49">
        <v>1</v>
      </c>
      <c r="H4" s="139">
        <f>IF(B$27=0,0,G4/B$27)</f>
        <v>0.2</v>
      </c>
      <c r="I4" s="100">
        <v>2</v>
      </c>
      <c r="K4" s="40">
        <v>2</v>
      </c>
      <c r="L4" s="105">
        <v>-7.7000000000000011</v>
      </c>
      <c r="N4" s="121" t="s">
        <v>140</v>
      </c>
      <c r="O4" s="128">
        <f t="shared" si="0"/>
        <v>-3750</v>
      </c>
      <c r="P4" s="125">
        <v>2</v>
      </c>
      <c r="Q4" s="109">
        <v>-7500</v>
      </c>
    </row>
    <row r="5" spans="1:17" x14ac:dyDescent="0.4">
      <c r="A5" s="57" t="s">
        <v>7</v>
      </c>
      <c r="B5" s="155">
        <f>IF(B$2=0,0,B$4/B$2)</f>
        <v>0.59999999999999964</v>
      </c>
      <c r="C5" s="156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K5" s="40">
        <v>3</v>
      </c>
      <c r="L5" s="105">
        <v>1.7999999999999989</v>
      </c>
      <c r="N5" s="121" t="s">
        <v>141</v>
      </c>
      <c r="O5" s="128">
        <f t="shared" si="0"/>
        <v>0</v>
      </c>
      <c r="P5" s="125">
        <v>2</v>
      </c>
      <c r="Q5" s="109">
        <v>0</v>
      </c>
    </row>
    <row r="6" spans="1:17" x14ac:dyDescent="0.4">
      <c r="A6" s="57" t="s">
        <v>1</v>
      </c>
      <c r="B6" s="161">
        <f>IF(B$2=0,0,(B$7*1+B$8*2+B$9*3)/B$2)</f>
        <v>2</v>
      </c>
      <c r="C6" s="162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7</v>
      </c>
      <c r="N6" s="121" t="s">
        <v>142</v>
      </c>
      <c r="O6" s="128">
        <f t="shared" si="0"/>
        <v>-6650</v>
      </c>
      <c r="P6" s="125">
        <v>2</v>
      </c>
      <c r="Q6" s="109">
        <v>-13300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1</v>
      </c>
      <c r="Q7" s="110">
        <v>0</v>
      </c>
    </row>
    <row r="8" spans="1:17" x14ac:dyDescent="0.4">
      <c r="A8" s="57" t="s">
        <v>3</v>
      </c>
      <c r="B8" s="49">
        <v>3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72</v>
      </c>
      <c r="F9" s="62" t="s">
        <v>12</v>
      </c>
      <c r="G9" s="49">
        <v>0</v>
      </c>
      <c r="H9" s="139">
        <f>IF(B$27=0,0,G9/B$27)</f>
        <v>0</v>
      </c>
      <c r="I9" s="100">
        <v>8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73</v>
      </c>
      <c r="F10" s="62" t="s">
        <v>26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0</v>
      </c>
      <c r="H11" s="139">
        <f>IF(B$27=0,0,G11/B$27)</f>
        <v>0</v>
      </c>
      <c r="I11" s="100">
        <v>6</v>
      </c>
      <c r="N11" s="121" t="s">
        <v>175</v>
      </c>
      <c r="O11" s="131">
        <f>IF(P11=0,0,Q11/P11)</f>
        <v>10.3</v>
      </c>
      <c r="P11" s="125">
        <v>2</v>
      </c>
      <c r="Q11" s="113">
        <v>20.6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3</v>
      </c>
      <c r="N12" s="122" t="s">
        <v>176</v>
      </c>
      <c r="O12" s="132">
        <f>IF(P12=0,0,Q12/P12)</f>
        <v>-18.8</v>
      </c>
      <c r="P12" s="126">
        <v>1</v>
      </c>
      <c r="Q12" s="114">
        <v>-18.8</v>
      </c>
    </row>
    <row r="13" spans="1:17" x14ac:dyDescent="0.4">
      <c r="A13" s="60" t="s">
        <v>128</v>
      </c>
      <c r="B13" s="52">
        <v>3</v>
      </c>
      <c r="C13" s="46">
        <f>IF(B$26=0,0,B13/B$26)</f>
        <v>0.15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0.4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</v>
      </c>
      <c r="C15" s="39">
        <f>IF(B$13=0,0,B15/B$13)</f>
        <v>0.33333333333333331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67.8</v>
      </c>
      <c r="P15" s="124">
        <v>1</v>
      </c>
      <c r="Q15" s="112">
        <v>67.8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15.433333333333332</v>
      </c>
      <c r="P16" s="125">
        <v>3</v>
      </c>
      <c r="Q16" s="113">
        <v>46.3</v>
      </c>
    </row>
    <row r="17" spans="1:17" x14ac:dyDescent="0.4">
      <c r="A17" s="56" t="s">
        <v>10</v>
      </c>
      <c r="B17" s="48">
        <f>B19+B18</f>
        <v>5</v>
      </c>
      <c r="C17" s="39">
        <f>IF(B$3=0,0,B17/B$3)</f>
        <v>0.25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-29</v>
      </c>
      <c r="P17" s="125">
        <v>1</v>
      </c>
      <c r="Q17" s="113">
        <v>-29</v>
      </c>
    </row>
    <row r="18" spans="1:17" x14ac:dyDescent="0.4">
      <c r="A18" s="57" t="s">
        <v>12</v>
      </c>
      <c r="B18" s="49">
        <v>2</v>
      </c>
      <c r="C18" s="41">
        <f>IF(B$17=0,0,B18/B$17)</f>
        <v>0.4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  <c r="N18" s="121" t="s">
        <v>134</v>
      </c>
      <c r="O18" s="131">
        <f>IF(P18=0,0,Q18/P18)</f>
        <v>-79.7</v>
      </c>
      <c r="P18" s="125">
        <v>1</v>
      </c>
      <c r="Q18" s="113">
        <v>-79.7</v>
      </c>
    </row>
    <row r="19" spans="1:17" x14ac:dyDescent="0.4">
      <c r="A19" s="57" t="s">
        <v>11</v>
      </c>
      <c r="B19" s="49">
        <v>3</v>
      </c>
      <c r="C19" s="41">
        <f>IF(B$17=0,0,B19/B$17)</f>
        <v>0.6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2</v>
      </c>
      <c r="C20" s="41">
        <f>IF(B$3=0,0,B20/B$3)</f>
        <v>0.1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3520</v>
      </c>
      <c r="C21" s="43">
        <v>17600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-6750</v>
      </c>
      <c r="C22" s="47">
        <v>-13500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9">
        <v>1</v>
      </c>
      <c r="C23" s="160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7">
        <v>46100</v>
      </c>
      <c r="C24" s="158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20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63">
        <v>5</v>
      </c>
      <c r="C27" s="164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0616C-091C-4D3A-B388-CEA0766A27EE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183</v>
      </c>
      <c r="C1" s="148"/>
      <c r="E1" s="135" t="s">
        <v>177</v>
      </c>
      <c r="F1" s="144" t="s">
        <v>120</v>
      </c>
      <c r="G1" s="143" t="s">
        <v>121</v>
      </c>
      <c r="H1" s="136" t="s">
        <v>122</v>
      </c>
      <c r="I1" s="144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1</v>
      </c>
      <c r="C2" s="150"/>
      <c r="E2" s="64" t="s">
        <v>69</v>
      </c>
      <c r="F2" s="61" t="s">
        <v>23</v>
      </c>
      <c r="G2" s="48">
        <v>1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4000</v>
      </c>
      <c r="P2" s="124">
        <v>1</v>
      </c>
      <c r="Q2" s="108">
        <v>4000</v>
      </c>
    </row>
    <row r="3" spans="1:17" x14ac:dyDescent="0.4">
      <c r="A3" s="57" t="s">
        <v>8</v>
      </c>
      <c r="B3" s="151">
        <v>7</v>
      </c>
      <c r="C3" s="152"/>
      <c r="E3" s="65" t="s">
        <v>72</v>
      </c>
      <c r="F3" s="62" t="s">
        <v>12</v>
      </c>
      <c r="G3" s="49">
        <v>1</v>
      </c>
      <c r="H3" s="139">
        <f>IF(B$27=0,0,G3/B$27)</f>
        <v>1</v>
      </c>
      <c r="I3" s="100">
        <v>1</v>
      </c>
      <c r="K3" s="40">
        <v>1</v>
      </c>
      <c r="L3" s="105">
        <v>-82.6</v>
      </c>
      <c r="N3" s="121" t="s">
        <v>139</v>
      </c>
      <c r="O3" s="128">
        <f t="shared" si="0"/>
        <v>-66600</v>
      </c>
      <c r="P3" s="125">
        <v>1</v>
      </c>
      <c r="Q3" s="109">
        <v>-66600</v>
      </c>
    </row>
    <row r="4" spans="1:17" x14ac:dyDescent="0.4">
      <c r="A4" s="57" t="s">
        <v>6</v>
      </c>
      <c r="B4" s="153">
        <v>-82.6</v>
      </c>
      <c r="C4" s="154"/>
      <c r="E4" s="65" t="s">
        <v>74</v>
      </c>
      <c r="F4" s="62" t="s">
        <v>27</v>
      </c>
      <c r="G4" s="49">
        <v>1</v>
      </c>
      <c r="H4" s="139">
        <f>IF(B$27=0,0,G4/B$27)</f>
        <v>1</v>
      </c>
      <c r="I4" s="100">
        <v>1</v>
      </c>
      <c r="N4" s="121" t="s">
        <v>140</v>
      </c>
      <c r="O4" s="128">
        <f t="shared" si="0"/>
        <v>0</v>
      </c>
      <c r="P4" s="125">
        <v>0</v>
      </c>
      <c r="Q4" s="109">
        <v>0</v>
      </c>
    </row>
    <row r="5" spans="1:17" x14ac:dyDescent="0.4">
      <c r="A5" s="57" t="s">
        <v>7</v>
      </c>
      <c r="B5" s="155">
        <f>IF(B$2=0,0,B$4/B$2)</f>
        <v>-82.6</v>
      </c>
      <c r="C5" s="156"/>
      <c r="E5" s="65" t="s">
        <v>67</v>
      </c>
      <c r="F5" s="62" t="s">
        <v>21</v>
      </c>
      <c r="G5" s="49">
        <v>0</v>
      </c>
      <c r="H5" s="139">
        <f>IF(B$27=0,0,G5/B$27)</f>
        <v>0</v>
      </c>
      <c r="I5" s="100">
        <v>7</v>
      </c>
      <c r="N5" s="121" t="s">
        <v>141</v>
      </c>
      <c r="O5" s="128">
        <f t="shared" si="0"/>
        <v>0</v>
      </c>
      <c r="P5" s="125">
        <v>0</v>
      </c>
      <c r="Q5" s="109">
        <v>0</v>
      </c>
    </row>
    <row r="6" spans="1:17" x14ac:dyDescent="0.4">
      <c r="A6" s="57" t="s">
        <v>1</v>
      </c>
      <c r="B6" s="161">
        <f>IF(B$2=0,0,(B$7*1+B$8*2+B$9*3)/B$2)</f>
        <v>3</v>
      </c>
      <c r="C6" s="162"/>
      <c r="E6" s="65" t="s">
        <v>68</v>
      </c>
      <c r="F6" s="62" t="s">
        <v>22</v>
      </c>
      <c r="G6" s="49">
        <v>0</v>
      </c>
      <c r="H6" s="139">
        <f>IF(B$27=0,0,G6/B$27)</f>
        <v>0</v>
      </c>
      <c r="I6" s="100">
        <v>5</v>
      </c>
      <c r="N6" s="121" t="s">
        <v>142</v>
      </c>
      <c r="O6" s="128">
        <f t="shared" si="0"/>
        <v>0</v>
      </c>
      <c r="P6" s="125">
        <v>0</v>
      </c>
      <c r="Q6" s="109">
        <v>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0</v>
      </c>
      <c r="Q7" s="110">
        <v>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1</v>
      </c>
      <c r="E9" s="65" t="s">
        <v>73</v>
      </c>
      <c r="F9" s="62" t="s">
        <v>26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1</v>
      </c>
      <c r="E10" s="65" t="s">
        <v>75</v>
      </c>
      <c r="F10" s="62" t="s">
        <v>28</v>
      </c>
      <c r="G10" s="49">
        <v>0</v>
      </c>
      <c r="H10" s="139">
        <f>IF(B$27=0,0,G10/B$27)</f>
        <v>0</v>
      </c>
      <c r="I10" s="100">
        <v>3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9">
        <f>IF(B$27=0,0,G11/B$27)</f>
        <v>0</v>
      </c>
      <c r="I11" s="100">
        <v>7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-82.6</v>
      </c>
      <c r="P12" s="126">
        <v>1</v>
      </c>
      <c r="Q12" s="114">
        <v>-82.6</v>
      </c>
    </row>
    <row r="13" spans="1:17" x14ac:dyDescent="0.4">
      <c r="A13" s="60" t="s">
        <v>128</v>
      </c>
      <c r="B13" s="52">
        <v>1</v>
      </c>
      <c r="C13" s="46">
        <f>IF(B$26=0,0,B13/B$26)</f>
        <v>0.14285714285714285</v>
      </c>
      <c r="E13" s="65" t="s">
        <v>78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0.14285714285714285</v>
      </c>
      <c r="E14" s="65" t="s">
        <v>79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-74.3</v>
      </c>
      <c r="P15" s="124">
        <v>1</v>
      </c>
      <c r="Q15" s="112">
        <v>-74.3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-173.5</v>
      </c>
      <c r="P16" s="125">
        <v>1</v>
      </c>
      <c r="Q16" s="113">
        <v>-173.5</v>
      </c>
    </row>
    <row r="17" spans="1:9" x14ac:dyDescent="0.4">
      <c r="A17" s="56" t="s">
        <v>10</v>
      </c>
      <c r="B17" s="48">
        <f>B19+B18</f>
        <v>1</v>
      </c>
      <c r="C17" s="39">
        <f>IF(B$3=0,0,B17/B$3)</f>
        <v>0.14285714285714285</v>
      </c>
      <c r="E17" s="65" t="s">
        <v>82</v>
      </c>
      <c r="F17" s="62" t="s">
        <v>35</v>
      </c>
      <c r="G17" s="49">
        <v>0</v>
      </c>
      <c r="H17" s="139">
        <f>IF(B$27=0,0,G17/B$27)</f>
        <v>0</v>
      </c>
      <c r="I17" s="100">
        <v>4</v>
      </c>
    </row>
    <row r="18" spans="1:9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2</v>
      </c>
      <c r="C20" s="41">
        <f>IF(B$3=0,0,B20/B$3)</f>
        <v>0.2857142857142857</v>
      </c>
      <c r="E20" s="65" t="s">
        <v>85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4000</v>
      </c>
      <c r="C21" s="43">
        <v>4000</v>
      </c>
      <c r="E21" s="65" t="s">
        <v>86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-20800</v>
      </c>
      <c r="C22" s="47">
        <v>-41600</v>
      </c>
      <c r="E22" s="65" t="s">
        <v>87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59">
        <v>1</v>
      </c>
      <c r="C23" s="160"/>
      <c r="E23" s="65" t="s">
        <v>88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57">
        <v>0</v>
      </c>
      <c r="C24" s="158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7</v>
      </c>
      <c r="C26" s="150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5</v>
      </c>
    </row>
    <row r="27" spans="1:9" x14ac:dyDescent="0.4">
      <c r="A27" s="59" t="s">
        <v>127</v>
      </c>
      <c r="B27" s="163">
        <v>1</v>
      </c>
      <c r="C27" s="164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7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83816-38F1-465A-9D8B-9A90E149DC2F}">
  <sheetPr codeName="Sheet1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7" t="s">
        <v>187</v>
      </c>
      <c r="C1" s="148"/>
      <c r="E1" s="135" t="s">
        <v>177</v>
      </c>
      <c r="F1" s="146" t="s">
        <v>120</v>
      </c>
      <c r="G1" s="145" t="s">
        <v>121</v>
      </c>
      <c r="H1" s="136" t="s">
        <v>122</v>
      </c>
      <c r="I1" s="146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9">
        <v>1</v>
      </c>
      <c r="C2" s="150"/>
      <c r="E2" s="64" t="s">
        <v>72</v>
      </c>
      <c r="F2" s="61" t="s">
        <v>12</v>
      </c>
      <c r="G2" s="48">
        <v>1</v>
      </c>
      <c r="H2" s="138">
        <f>IF(B$27=0,0,G2/B$27)</f>
        <v>0.5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-1700</v>
      </c>
      <c r="P2" s="124">
        <v>1</v>
      </c>
      <c r="Q2" s="108">
        <v>-1700</v>
      </c>
    </row>
    <row r="3" spans="1:17" x14ac:dyDescent="0.4">
      <c r="A3" s="57" t="s">
        <v>8</v>
      </c>
      <c r="B3" s="151">
        <v>7</v>
      </c>
      <c r="C3" s="152"/>
      <c r="E3" s="65" t="s">
        <v>96</v>
      </c>
      <c r="F3" s="62" t="s">
        <v>49</v>
      </c>
      <c r="G3" s="49">
        <v>1</v>
      </c>
      <c r="H3" s="139">
        <f>IF(B$27=0,0,G3/B$27)</f>
        <v>0.5</v>
      </c>
      <c r="I3" s="100">
        <v>1</v>
      </c>
      <c r="K3" s="40">
        <v>1</v>
      </c>
      <c r="L3" s="105">
        <v>-1.9</v>
      </c>
      <c r="N3" s="121" t="s">
        <v>139</v>
      </c>
      <c r="O3" s="128">
        <f t="shared" si="0"/>
        <v>-4900</v>
      </c>
      <c r="P3" s="125">
        <v>1</v>
      </c>
      <c r="Q3" s="109">
        <v>-4900</v>
      </c>
    </row>
    <row r="4" spans="1:17" x14ac:dyDescent="0.4">
      <c r="A4" s="57" t="s">
        <v>6</v>
      </c>
      <c r="B4" s="153">
        <v>-1.9</v>
      </c>
      <c r="C4" s="154"/>
      <c r="E4" s="65" t="s">
        <v>67</v>
      </c>
      <c r="F4" s="62" t="s">
        <v>21</v>
      </c>
      <c r="G4" s="49">
        <v>0</v>
      </c>
      <c r="H4" s="139">
        <f>IF(B$27=0,0,G4/B$27)</f>
        <v>0</v>
      </c>
      <c r="I4" s="100">
        <v>7</v>
      </c>
      <c r="N4" s="121" t="s">
        <v>140</v>
      </c>
      <c r="O4" s="128">
        <f t="shared" si="0"/>
        <v>3100</v>
      </c>
      <c r="P4" s="125">
        <v>1</v>
      </c>
      <c r="Q4" s="109">
        <v>3100</v>
      </c>
    </row>
    <row r="5" spans="1:17" x14ac:dyDescent="0.4">
      <c r="A5" s="57" t="s">
        <v>7</v>
      </c>
      <c r="B5" s="155">
        <f>IF(B$2=0,0,B$4/B$2)</f>
        <v>-1.9</v>
      </c>
      <c r="C5" s="156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N5" s="121" t="s">
        <v>141</v>
      </c>
      <c r="O5" s="128">
        <f t="shared" si="0"/>
        <v>-7500</v>
      </c>
      <c r="P5" s="125">
        <v>1</v>
      </c>
      <c r="Q5" s="109">
        <v>-7500</v>
      </c>
    </row>
    <row r="6" spans="1:17" x14ac:dyDescent="0.4">
      <c r="A6" s="57" t="s">
        <v>1</v>
      </c>
      <c r="B6" s="161">
        <f>IF(B$2=0,0,(B$7*1+B$8*2+B$9*3)/B$2)</f>
        <v>2</v>
      </c>
      <c r="C6" s="162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7</v>
      </c>
      <c r="N6" s="121" t="s">
        <v>142</v>
      </c>
      <c r="O6" s="128">
        <f t="shared" si="0"/>
        <v>-2900</v>
      </c>
      <c r="P6" s="125">
        <v>1</v>
      </c>
      <c r="Q6" s="109">
        <v>-2900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12000</v>
      </c>
      <c r="P7" s="126">
        <v>1</v>
      </c>
      <c r="Q7" s="110">
        <v>12000</v>
      </c>
    </row>
    <row r="8" spans="1:17" x14ac:dyDescent="0.4">
      <c r="A8" s="57" t="s">
        <v>3</v>
      </c>
      <c r="B8" s="49">
        <v>1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73</v>
      </c>
      <c r="F9" s="62" t="s">
        <v>26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74</v>
      </c>
      <c r="F10" s="62" t="s">
        <v>27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-1.9</v>
      </c>
      <c r="P10" s="124">
        <v>1</v>
      </c>
      <c r="Q10" s="112">
        <v>-1.9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75</v>
      </c>
      <c r="F11" s="62" t="s">
        <v>28</v>
      </c>
      <c r="G11" s="49">
        <v>0</v>
      </c>
      <c r="H11" s="139">
        <f>IF(B$27=0,0,G11/B$27)</f>
        <v>0</v>
      </c>
      <c r="I11" s="100">
        <v>3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76</v>
      </c>
      <c r="F12" s="62" t="s">
        <v>29</v>
      </c>
      <c r="G12" s="49">
        <v>0</v>
      </c>
      <c r="H12" s="139">
        <f>IF(B$27=0,0,G12/B$27)</f>
        <v>0</v>
      </c>
      <c r="I12" s="100">
        <v>7</v>
      </c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0.14285714285714285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29.400000000000002</v>
      </c>
      <c r="P15" s="124">
        <v>1</v>
      </c>
      <c r="Q15" s="112">
        <v>29.400000000000002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-35.1</v>
      </c>
      <c r="P16" s="125">
        <v>1</v>
      </c>
      <c r="Q16" s="113">
        <v>-35.1</v>
      </c>
    </row>
    <row r="17" spans="1:9" x14ac:dyDescent="0.4">
      <c r="A17" s="56" t="s">
        <v>10</v>
      </c>
      <c r="B17" s="48">
        <f>B19+B18</f>
        <v>2</v>
      </c>
      <c r="C17" s="39">
        <f>IF(B$3=0,0,B17/B$3)</f>
        <v>0.2857142857142857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1</v>
      </c>
      <c r="C18" s="41">
        <f>IF(B$17=0,0,B18/B$17)</f>
        <v>0.5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</row>
    <row r="19" spans="1:9" x14ac:dyDescent="0.4">
      <c r="A19" s="57" t="s">
        <v>11</v>
      </c>
      <c r="B19" s="49">
        <v>1</v>
      </c>
      <c r="C19" s="41">
        <f>IF(B$17=0,0,B19/B$17)</f>
        <v>0.5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1</v>
      </c>
      <c r="C20" s="41">
        <f>IF(B$3=0,0,B20/B$3)</f>
        <v>0.14285714285714285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7050</v>
      </c>
      <c r="C21" s="43">
        <v>14100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-3900</v>
      </c>
      <c r="C22" s="47">
        <v>-3900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59">
        <v>1</v>
      </c>
      <c r="C23" s="160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57">
        <v>33100</v>
      </c>
      <c r="C24" s="158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7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63">
        <v>2</v>
      </c>
      <c r="C27" s="164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94</v>
      </c>
      <c r="F30" s="62" t="s">
        <v>47</v>
      </c>
      <c r="G30" s="49">
        <v>0</v>
      </c>
      <c r="H30" s="139">
        <f>IF(B$27=0,0,G30/B$27)</f>
        <v>0</v>
      </c>
      <c r="I30" s="100">
        <v>7</v>
      </c>
    </row>
    <row r="31" spans="1:9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F1156-F928-494C-9D7D-11F71B7B3794}">
  <sheetPr codeName="Sheet20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187</v>
      </c>
      <c r="B1" s="72" t="s">
        <v>187</v>
      </c>
      <c r="C1" s="72" t="s">
        <v>187</v>
      </c>
      <c r="D1" s="73" t="s">
        <v>187</v>
      </c>
      <c r="E1" s="72" t="s">
        <v>187</v>
      </c>
      <c r="F1" s="72" t="s">
        <v>187</v>
      </c>
      <c r="G1" s="72" t="s">
        <v>187</v>
      </c>
      <c r="H1" s="72" t="s">
        <v>187</v>
      </c>
      <c r="I1" s="72" t="s">
        <v>187</v>
      </c>
      <c r="J1" s="72" t="s">
        <v>187</v>
      </c>
      <c r="K1" s="72" t="s">
        <v>187</v>
      </c>
      <c r="L1" s="72" t="s">
        <v>187</v>
      </c>
      <c r="M1" s="72" t="s">
        <v>187</v>
      </c>
      <c r="N1" s="72" t="s">
        <v>187</v>
      </c>
      <c r="O1" s="72" t="s">
        <v>187</v>
      </c>
      <c r="P1" s="72" t="s">
        <v>187</v>
      </c>
      <c r="Q1" s="72" t="s">
        <v>187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-1.9</v>
      </c>
      <c r="C4" s="68">
        <v>-1.9</v>
      </c>
      <c r="D4" s="73">
        <v>2</v>
      </c>
      <c r="E4" s="69">
        <v>0</v>
      </c>
      <c r="F4" s="69">
        <v>0.2857142857142857</v>
      </c>
      <c r="G4" s="69">
        <v>0.14285714285714285</v>
      </c>
      <c r="H4" s="70">
        <v>7050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0.14285714285714285</v>
      </c>
      <c r="O4" s="69">
        <v>0</v>
      </c>
      <c r="P4" s="69">
        <v>0</v>
      </c>
      <c r="Q4" s="69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531F-EE21-4EDF-A4B4-F06FD7F3441E}">
  <sheetPr codeName="Sheet18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183</v>
      </c>
      <c r="B1" s="72" t="s">
        <v>183</v>
      </c>
      <c r="C1" s="72" t="s">
        <v>183</v>
      </c>
      <c r="D1" s="73" t="s">
        <v>183</v>
      </c>
      <c r="E1" s="72" t="s">
        <v>183</v>
      </c>
      <c r="F1" s="72" t="s">
        <v>183</v>
      </c>
      <c r="G1" s="72" t="s">
        <v>183</v>
      </c>
      <c r="H1" s="72" t="s">
        <v>183</v>
      </c>
      <c r="I1" s="72" t="s">
        <v>183</v>
      </c>
      <c r="J1" s="72" t="s">
        <v>183</v>
      </c>
      <c r="K1" s="72" t="s">
        <v>183</v>
      </c>
      <c r="L1" s="72" t="s">
        <v>183</v>
      </c>
      <c r="M1" s="72" t="s">
        <v>183</v>
      </c>
      <c r="N1" s="72" t="s">
        <v>183</v>
      </c>
      <c r="O1" s="72" t="s">
        <v>183</v>
      </c>
      <c r="P1" s="72" t="s">
        <v>183</v>
      </c>
      <c r="Q1" s="72" t="s">
        <v>183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-82.6</v>
      </c>
      <c r="C4" s="68">
        <v>-82.6</v>
      </c>
      <c r="D4" s="73">
        <v>3</v>
      </c>
      <c r="E4" s="69">
        <v>0</v>
      </c>
      <c r="F4" s="69">
        <v>0.14285714285714285</v>
      </c>
      <c r="G4" s="69">
        <v>0.2857142857142857</v>
      </c>
      <c r="H4" s="70">
        <v>4000</v>
      </c>
      <c r="I4" s="70">
        <v>-20800</v>
      </c>
      <c r="J4" s="69">
        <v>1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0</v>
      </c>
      <c r="P4" s="69">
        <v>0</v>
      </c>
      <c r="Q4" s="69">
        <v>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35FF-4CF8-4160-A6C1-69A314EBC0EB}">
  <sheetPr codeName="Sheet16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182</v>
      </c>
      <c r="B1" s="72" t="s">
        <v>182</v>
      </c>
      <c r="C1" s="72" t="s">
        <v>182</v>
      </c>
      <c r="D1" s="73" t="s">
        <v>182</v>
      </c>
      <c r="E1" s="72" t="s">
        <v>182</v>
      </c>
      <c r="F1" s="72" t="s">
        <v>182</v>
      </c>
      <c r="G1" s="72" t="s">
        <v>182</v>
      </c>
      <c r="H1" s="72" t="s">
        <v>182</v>
      </c>
      <c r="I1" s="72" t="s">
        <v>182</v>
      </c>
      <c r="J1" s="72" t="s">
        <v>182</v>
      </c>
      <c r="K1" s="72" t="s">
        <v>182</v>
      </c>
      <c r="L1" s="72" t="s">
        <v>182</v>
      </c>
      <c r="M1" s="72" t="s">
        <v>182</v>
      </c>
      <c r="N1" s="72" t="s">
        <v>182</v>
      </c>
      <c r="O1" s="72" t="s">
        <v>182</v>
      </c>
      <c r="P1" s="72" t="s">
        <v>182</v>
      </c>
      <c r="Q1" s="72" t="s">
        <v>182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  <row r="6" spans="1:17" x14ac:dyDescent="0.4">
      <c r="A6" s="71">
        <v>3</v>
      </c>
      <c r="B6" s="68">
        <v>1.7999999999999989</v>
      </c>
      <c r="C6" s="68">
        <v>0.59999999999999964</v>
      </c>
      <c r="D6" s="73">
        <v>2</v>
      </c>
      <c r="E6" s="69">
        <v>0</v>
      </c>
      <c r="F6" s="69">
        <v>0.25</v>
      </c>
      <c r="G6" s="69">
        <v>0.1</v>
      </c>
      <c r="H6" s="70">
        <v>3520</v>
      </c>
      <c r="I6" s="70">
        <v>-6750</v>
      </c>
      <c r="J6" s="69">
        <v>0</v>
      </c>
      <c r="K6" s="69">
        <v>0</v>
      </c>
      <c r="L6" s="69">
        <v>0</v>
      </c>
      <c r="M6" s="69">
        <v>0.15</v>
      </c>
      <c r="N6" s="69">
        <v>0.4</v>
      </c>
      <c r="O6" s="69">
        <v>0.33333333333333331</v>
      </c>
      <c r="P6" s="69">
        <v>0.375</v>
      </c>
      <c r="Q6" s="69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DBFC-85E9-4E4A-A090-1FB7FBED5EE7}">
  <sheetPr codeName="Sheet14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181</v>
      </c>
      <c r="B1" s="72" t="s">
        <v>181</v>
      </c>
      <c r="C1" s="72" t="s">
        <v>181</v>
      </c>
      <c r="D1" s="73" t="s">
        <v>181</v>
      </c>
      <c r="E1" s="72" t="s">
        <v>181</v>
      </c>
      <c r="F1" s="72" t="s">
        <v>181</v>
      </c>
      <c r="G1" s="72" t="s">
        <v>181</v>
      </c>
      <c r="H1" s="72" t="s">
        <v>181</v>
      </c>
      <c r="I1" s="72" t="s">
        <v>181</v>
      </c>
      <c r="J1" s="72" t="s">
        <v>181</v>
      </c>
      <c r="K1" s="72" t="s">
        <v>181</v>
      </c>
      <c r="L1" s="72" t="s">
        <v>181</v>
      </c>
      <c r="M1" s="72" t="s">
        <v>181</v>
      </c>
      <c r="N1" s="72" t="s">
        <v>181</v>
      </c>
      <c r="O1" s="72" t="s">
        <v>181</v>
      </c>
      <c r="P1" s="72" t="s">
        <v>181</v>
      </c>
      <c r="Q1" s="72" t="s">
        <v>181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  <row r="6" spans="1:17" x14ac:dyDescent="0.4">
      <c r="A6" s="71">
        <v>3</v>
      </c>
      <c r="B6" s="68">
        <v>-60.100000000000009</v>
      </c>
      <c r="C6" s="68">
        <v>-20.033333333333335</v>
      </c>
      <c r="D6" s="73">
        <v>2.3333333333333335</v>
      </c>
      <c r="E6" s="69">
        <v>0.33333333333333331</v>
      </c>
      <c r="F6" s="69">
        <v>0.21739130434782608</v>
      </c>
      <c r="G6" s="69">
        <v>0.34782608695652173</v>
      </c>
      <c r="H6" s="70">
        <v>7100</v>
      </c>
      <c r="I6" s="70">
        <v>-5887.5</v>
      </c>
      <c r="J6" s="69">
        <v>0</v>
      </c>
      <c r="K6" s="69">
        <v>0</v>
      </c>
      <c r="L6" s="69">
        <v>0</v>
      </c>
      <c r="M6" s="69">
        <v>0.21739130434782608</v>
      </c>
      <c r="N6" s="69">
        <v>0.21739130434782608</v>
      </c>
      <c r="O6" s="69">
        <v>0.4</v>
      </c>
      <c r="P6" s="69">
        <v>0.4</v>
      </c>
      <c r="Q6" s="69">
        <v>0.2</v>
      </c>
    </row>
    <row r="7" spans="1:17" x14ac:dyDescent="0.4">
      <c r="A7" s="71">
        <v>4</v>
      </c>
      <c r="B7" s="68">
        <v>-11.300000000000011</v>
      </c>
      <c r="C7" s="68">
        <v>-2.8250000000000028</v>
      </c>
      <c r="D7" s="73">
        <v>2</v>
      </c>
      <c r="E7" s="69">
        <v>0.5</v>
      </c>
      <c r="F7" s="69">
        <v>0.22222222222222221</v>
      </c>
      <c r="G7" s="69">
        <v>0.33333333333333331</v>
      </c>
      <c r="H7" s="70">
        <v>11250</v>
      </c>
      <c r="I7" s="70">
        <v>-5666.666666666667</v>
      </c>
      <c r="J7" s="69">
        <v>0</v>
      </c>
      <c r="K7" s="69">
        <v>0.25</v>
      </c>
      <c r="L7" s="69">
        <v>0.25</v>
      </c>
      <c r="M7" s="69">
        <v>0.18518518518518517</v>
      </c>
      <c r="N7" s="69">
        <v>0.25925925925925924</v>
      </c>
      <c r="O7" s="69">
        <v>0.4</v>
      </c>
      <c r="P7" s="69">
        <v>0.2857142857142857</v>
      </c>
      <c r="Q7" s="69">
        <v>0.16666666666666666</v>
      </c>
    </row>
    <row r="8" spans="1:17" x14ac:dyDescent="0.4">
      <c r="A8" s="71">
        <v>5</v>
      </c>
      <c r="B8" s="68">
        <v>-36.100000000000009</v>
      </c>
      <c r="C8" s="68">
        <v>-7.2200000000000015</v>
      </c>
      <c r="D8" s="73">
        <v>2.2000000000000002</v>
      </c>
      <c r="E8" s="69">
        <v>0.4</v>
      </c>
      <c r="F8" s="69">
        <v>0.24324324324324326</v>
      </c>
      <c r="G8" s="69">
        <v>0.32432432432432434</v>
      </c>
      <c r="H8" s="70">
        <v>9266.6666666666661</v>
      </c>
      <c r="I8" s="70">
        <v>-5333.333333333333</v>
      </c>
      <c r="J8" s="69">
        <v>0</v>
      </c>
      <c r="K8" s="69">
        <v>0.2</v>
      </c>
      <c r="L8" s="69">
        <v>0.2</v>
      </c>
      <c r="M8" s="69">
        <v>0.1891891891891892</v>
      </c>
      <c r="N8" s="69">
        <v>0.21621621621621623</v>
      </c>
      <c r="O8" s="69">
        <v>0.5714285714285714</v>
      </c>
      <c r="P8" s="69">
        <v>0.375</v>
      </c>
      <c r="Q8" s="69">
        <v>0.22222222222222221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9068-37BB-4FE1-BA7B-494F76AF7D92}">
  <sheetPr codeName="Sheet12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  <row r="7" spans="1:17" x14ac:dyDescent="0.4">
      <c r="A7" s="71">
        <v>4</v>
      </c>
      <c r="B7" s="68">
        <v>-31.4</v>
      </c>
      <c r="C7" s="68">
        <v>-7.85</v>
      </c>
      <c r="D7" s="73">
        <v>2</v>
      </c>
      <c r="E7" s="69">
        <v>0.25</v>
      </c>
      <c r="F7" s="69">
        <v>0.27272727272727271</v>
      </c>
      <c r="G7" s="69">
        <v>0.24242424242424243</v>
      </c>
      <c r="H7" s="70">
        <v>7411.1111111111113</v>
      </c>
      <c r="I7" s="70">
        <v>-8137.5</v>
      </c>
      <c r="J7" s="69">
        <v>0</v>
      </c>
      <c r="K7" s="69">
        <v>0</v>
      </c>
      <c r="L7" s="69">
        <v>0.25</v>
      </c>
      <c r="M7" s="69">
        <v>0.21212121212121213</v>
      </c>
      <c r="N7" s="69">
        <v>0.24242424242424243</v>
      </c>
      <c r="O7" s="69">
        <v>0.5714285714285714</v>
      </c>
      <c r="P7" s="69">
        <v>0.375</v>
      </c>
      <c r="Q7" s="69">
        <v>0.22222222222222221</v>
      </c>
    </row>
    <row r="8" spans="1:17" x14ac:dyDescent="0.4">
      <c r="A8" s="71">
        <v>5</v>
      </c>
      <c r="B8" s="68">
        <v>-32.199999999999996</v>
      </c>
      <c r="C8" s="68">
        <v>-6.4399999999999995</v>
      </c>
      <c r="D8" s="73">
        <v>2</v>
      </c>
      <c r="E8" s="69">
        <v>0.2</v>
      </c>
      <c r="F8" s="69">
        <v>0.30232558139534882</v>
      </c>
      <c r="G8" s="69">
        <v>0.2558139534883721</v>
      </c>
      <c r="H8" s="70">
        <v>7515.3846153846152</v>
      </c>
      <c r="I8" s="70">
        <v>-8627.2727272727279</v>
      </c>
      <c r="J8" s="69">
        <v>0</v>
      </c>
      <c r="K8" s="69">
        <v>0</v>
      </c>
      <c r="L8" s="69">
        <v>0.2</v>
      </c>
      <c r="M8" s="69">
        <v>0.18604651162790697</v>
      </c>
      <c r="N8" s="69">
        <v>0.18604651162790697</v>
      </c>
      <c r="O8" s="69">
        <v>0.625</v>
      </c>
      <c r="P8" s="69">
        <v>0.375</v>
      </c>
      <c r="Q8" s="69">
        <v>0.30769230769230771</v>
      </c>
    </row>
    <row r="9" spans="1:17" x14ac:dyDescent="0.4">
      <c r="A9" s="71">
        <v>6</v>
      </c>
      <c r="B9" s="68">
        <v>-58.5</v>
      </c>
      <c r="C9" s="68">
        <v>-9.75</v>
      </c>
      <c r="D9" s="73">
        <v>2.1666666666666665</v>
      </c>
      <c r="E9" s="69">
        <v>0.16666666666666666</v>
      </c>
      <c r="F9" s="69">
        <v>0.28846153846153844</v>
      </c>
      <c r="G9" s="69">
        <v>0.26923076923076922</v>
      </c>
      <c r="H9" s="70">
        <v>7973.333333333333</v>
      </c>
      <c r="I9" s="70">
        <v>-8350</v>
      </c>
      <c r="J9" s="69">
        <v>0</v>
      </c>
      <c r="K9" s="69">
        <v>0</v>
      </c>
      <c r="L9" s="69">
        <v>0.16666666666666666</v>
      </c>
      <c r="M9" s="69">
        <v>0.21153846153846154</v>
      </c>
      <c r="N9" s="69">
        <v>0.15384615384615385</v>
      </c>
      <c r="O9" s="69">
        <v>0.63636363636363635</v>
      </c>
      <c r="P9" s="69">
        <v>0.375</v>
      </c>
      <c r="Q9" s="69">
        <v>0.33333333333333331</v>
      </c>
    </row>
    <row r="10" spans="1:17" x14ac:dyDescent="0.4">
      <c r="A10" s="71">
        <v>7</v>
      </c>
      <c r="B10" s="68">
        <v>-116.8</v>
      </c>
      <c r="C10" s="68">
        <v>-16.685714285714287</v>
      </c>
      <c r="D10" s="73">
        <v>2.2857142857142856</v>
      </c>
      <c r="E10" s="69">
        <v>0.14285714285714285</v>
      </c>
      <c r="F10" s="69">
        <v>0.26785714285714285</v>
      </c>
      <c r="G10" s="69">
        <v>0.2857142857142857</v>
      </c>
      <c r="H10" s="70">
        <v>7973.333333333333</v>
      </c>
      <c r="I10" s="70">
        <v>-9431.25</v>
      </c>
      <c r="J10" s="69">
        <v>0.14285714285714285</v>
      </c>
      <c r="K10" s="69">
        <v>0</v>
      </c>
      <c r="L10" s="69">
        <v>0.14285714285714285</v>
      </c>
      <c r="M10" s="69">
        <v>0.21428571428571427</v>
      </c>
      <c r="N10" s="69">
        <v>0.14285714285714285</v>
      </c>
      <c r="O10" s="69">
        <v>0.58333333333333337</v>
      </c>
      <c r="P10" s="69">
        <v>0.375</v>
      </c>
      <c r="Q10" s="69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3CA5-6788-4C9F-91A5-FE4E39477E8F}">
  <sheetPr codeName="Sheet10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  <row r="8" spans="1:17" x14ac:dyDescent="0.4">
      <c r="A8" s="71">
        <v>5</v>
      </c>
      <c r="B8" s="68">
        <v>-16.600000000000005</v>
      </c>
      <c r="C8" s="68">
        <v>-3.3200000000000012</v>
      </c>
      <c r="D8" s="73">
        <v>2.2000000000000002</v>
      </c>
      <c r="E8" s="69">
        <v>0.4</v>
      </c>
      <c r="F8" s="69">
        <v>0.28888888888888886</v>
      </c>
      <c r="G8" s="69">
        <v>0.2</v>
      </c>
      <c r="H8" s="70">
        <v>8846.1538461538457</v>
      </c>
      <c r="I8" s="70">
        <v>-6755.5555555555557</v>
      </c>
      <c r="J8" s="69">
        <v>0</v>
      </c>
      <c r="K8" s="69">
        <v>0</v>
      </c>
      <c r="L8" s="69">
        <v>0.2</v>
      </c>
      <c r="M8" s="69">
        <v>0.24444444444444444</v>
      </c>
      <c r="N8" s="69">
        <v>0.24444444444444444</v>
      </c>
      <c r="O8" s="69">
        <v>0.72727272727272729</v>
      </c>
      <c r="P8" s="69">
        <v>0.36363636363636365</v>
      </c>
      <c r="Q8" s="69">
        <v>0.23076923076923078</v>
      </c>
    </row>
    <row r="9" spans="1:17" x14ac:dyDescent="0.4">
      <c r="A9" s="71">
        <v>6</v>
      </c>
      <c r="B9" s="68">
        <v>-14.000000000000005</v>
      </c>
      <c r="C9" s="68">
        <v>-2.3333333333333344</v>
      </c>
      <c r="D9" s="73">
        <v>2.1666666666666665</v>
      </c>
      <c r="E9" s="69">
        <v>0.33333333333333331</v>
      </c>
      <c r="F9" s="69">
        <v>0.29629629629629628</v>
      </c>
      <c r="G9" s="69">
        <v>0.16666666666666666</v>
      </c>
      <c r="H9" s="70">
        <v>8231.25</v>
      </c>
      <c r="I9" s="70">
        <v>-6755.5555555555557</v>
      </c>
      <c r="J9" s="69">
        <v>0</v>
      </c>
      <c r="K9" s="69">
        <v>0</v>
      </c>
      <c r="L9" s="69">
        <v>0.16666666666666666</v>
      </c>
      <c r="M9" s="69">
        <v>0.31481481481481483</v>
      </c>
      <c r="N9" s="69">
        <v>0.22222222222222221</v>
      </c>
      <c r="O9" s="69">
        <v>0.6470588235294118</v>
      </c>
      <c r="P9" s="69">
        <v>0.33333333333333331</v>
      </c>
      <c r="Q9" s="69">
        <v>0.25</v>
      </c>
    </row>
    <row r="10" spans="1:17" x14ac:dyDescent="0.4">
      <c r="A10" s="71">
        <v>7</v>
      </c>
      <c r="B10" s="68">
        <v>-45.300000000000004</v>
      </c>
      <c r="C10" s="68">
        <v>-6.4714285714285724</v>
      </c>
      <c r="D10" s="73">
        <v>2.2857142857142856</v>
      </c>
      <c r="E10" s="69">
        <v>0.2857142857142857</v>
      </c>
      <c r="F10" s="69">
        <v>0.29508196721311475</v>
      </c>
      <c r="G10" s="69">
        <v>0.16393442622950818</v>
      </c>
      <c r="H10" s="70">
        <v>8138.8888888888887</v>
      </c>
      <c r="I10" s="70">
        <v>-7880</v>
      </c>
      <c r="J10" s="69">
        <v>0</v>
      </c>
      <c r="K10" s="69">
        <v>0</v>
      </c>
      <c r="L10" s="69">
        <v>0.14285714285714285</v>
      </c>
      <c r="M10" s="69">
        <v>0.32786885245901637</v>
      </c>
      <c r="N10" s="69">
        <v>0.19672131147540983</v>
      </c>
      <c r="O10" s="69">
        <v>0.6</v>
      </c>
      <c r="P10" s="69">
        <v>0.33333333333333331</v>
      </c>
      <c r="Q10" s="69">
        <v>0.33333333333333331</v>
      </c>
    </row>
    <row r="11" spans="1:17" x14ac:dyDescent="0.4">
      <c r="A11" s="71">
        <v>8</v>
      </c>
      <c r="B11" s="68">
        <v>-49.6</v>
      </c>
      <c r="C11" s="68">
        <v>-6.2</v>
      </c>
      <c r="D11" s="73">
        <v>2.25</v>
      </c>
      <c r="E11" s="69">
        <v>0.25</v>
      </c>
      <c r="F11" s="69">
        <v>0.26760563380281688</v>
      </c>
      <c r="G11" s="69">
        <v>0.14084507042253522</v>
      </c>
      <c r="H11" s="70">
        <v>8115.7894736842109</v>
      </c>
      <c r="I11" s="70">
        <v>-7880</v>
      </c>
      <c r="J11" s="69">
        <v>0</v>
      </c>
      <c r="K11" s="69">
        <v>0</v>
      </c>
      <c r="L11" s="69">
        <v>0.125</v>
      </c>
      <c r="M11" s="69">
        <v>0.323943661971831</v>
      </c>
      <c r="N11" s="69">
        <v>0.21126760563380281</v>
      </c>
      <c r="O11" s="69">
        <v>0.56521739130434778</v>
      </c>
      <c r="P11" s="69">
        <v>0.26666666666666666</v>
      </c>
      <c r="Q11" s="69">
        <v>0.31578947368421051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FD5A-151B-47CF-B527-991A48A968BB}">
  <sheetPr codeName="Sheet8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  <row r="8" spans="1:17" x14ac:dyDescent="0.4">
      <c r="A8" s="71">
        <v>5</v>
      </c>
      <c r="B8" s="68">
        <v>201.4</v>
      </c>
      <c r="C8" s="68">
        <v>40.28</v>
      </c>
      <c r="D8" s="73">
        <v>1.4</v>
      </c>
      <c r="E8" s="69">
        <v>0.6</v>
      </c>
      <c r="F8" s="69">
        <v>0.47499999999999998</v>
      </c>
      <c r="G8" s="69">
        <v>0.125</v>
      </c>
      <c r="H8" s="70">
        <v>9663.1578947368416</v>
      </c>
      <c r="I8" s="70">
        <v>-9220</v>
      </c>
      <c r="J8" s="69">
        <v>0</v>
      </c>
      <c r="K8" s="69">
        <v>0.2</v>
      </c>
      <c r="L8" s="69">
        <v>0.2</v>
      </c>
      <c r="M8" s="69">
        <v>0.4</v>
      </c>
      <c r="N8" s="69">
        <v>0.25</v>
      </c>
      <c r="O8" s="69">
        <v>0.5</v>
      </c>
      <c r="P8" s="69">
        <v>0.6</v>
      </c>
      <c r="Q8" s="69">
        <v>0.26315789473684209</v>
      </c>
    </row>
    <row r="9" spans="1:17" x14ac:dyDescent="0.4">
      <c r="A9" s="71">
        <v>6</v>
      </c>
      <c r="B9" s="68">
        <v>232.4</v>
      </c>
      <c r="C9" s="68">
        <v>38.733333333333334</v>
      </c>
      <c r="D9" s="73">
        <v>1.3333333333333333</v>
      </c>
      <c r="E9" s="69">
        <v>0.66666666666666663</v>
      </c>
      <c r="F9" s="69">
        <v>0.44</v>
      </c>
      <c r="G9" s="69">
        <v>0.14000000000000001</v>
      </c>
      <c r="H9" s="70">
        <v>9700</v>
      </c>
      <c r="I9" s="70">
        <v>-9014.2857142857138</v>
      </c>
      <c r="J9" s="69">
        <v>0</v>
      </c>
      <c r="K9" s="69">
        <v>0.16666666666666666</v>
      </c>
      <c r="L9" s="69">
        <v>0.33333333333333331</v>
      </c>
      <c r="M9" s="69">
        <v>0.42</v>
      </c>
      <c r="N9" s="69">
        <v>0.24</v>
      </c>
      <c r="O9" s="69">
        <v>0.42857142857142855</v>
      </c>
      <c r="P9" s="69">
        <v>0.66666666666666663</v>
      </c>
      <c r="Q9" s="69">
        <v>0.22727272727272727</v>
      </c>
    </row>
    <row r="10" spans="1:17" x14ac:dyDescent="0.4">
      <c r="A10" s="71">
        <v>7</v>
      </c>
      <c r="B10" s="68">
        <v>256.10000000000002</v>
      </c>
      <c r="C10" s="68">
        <v>36.585714285714289</v>
      </c>
      <c r="D10" s="73">
        <v>1.2857142857142858</v>
      </c>
      <c r="E10" s="69">
        <v>0.7142857142857143</v>
      </c>
      <c r="F10" s="69">
        <v>0.44067796610169491</v>
      </c>
      <c r="G10" s="69">
        <v>0.15254237288135594</v>
      </c>
      <c r="H10" s="70">
        <v>8938.461538461539</v>
      </c>
      <c r="I10" s="70">
        <v>-7733.333333333333</v>
      </c>
      <c r="J10" s="69">
        <v>0</v>
      </c>
      <c r="K10" s="69">
        <v>0.14285714285714285</v>
      </c>
      <c r="L10" s="69">
        <v>0.42857142857142855</v>
      </c>
      <c r="M10" s="69">
        <v>0.3728813559322034</v>
      </c>
      <c r="N10" s="69">
        <v>0.2711864406779661</v>
      </c>
      <c r="O10" s="69">
        <v>0.45454545454545453</v>
      </c>
      <c r="P10" s="69">
        <v>0.625</v>
      </c>
      <c r="Q10" s="69">
        <v>0.26923076923076922</v>
      </c>
    </row>
    <row r="11" spans="1:17" x14ac:dyDescent="0.4">
      <c r="A11" s="71">
        <v>8</v>
      </c>
      <c r="B11" s="68">
        <v>285.20000000000005</v>
      </c>
      <c r="C11" s="68">
        <v>35.650000000000006</v>
      </c>
      <c r="D11" s="73">
        <v>1.25</v>
      </c>
      <c r="E11" s="69">
        <v>0.75</v>
      </c>
      <c r="F11" s="69">
        <v>0.43478260869565216</v>
      </c>
      <c r="G11" s="69">
        <v>0.15942028985507245</v>
      </c>
      <c r="H11" s="70">
        <v>8296.6666666666661</v>
      </c>
      <c r="I11" s="70">
        <v>-7409.090909090909</v>
      </c>
      <c r="J11" s="69">
        <v>0</v>
      </c>
      <c r="K11" s="69">
        <v>0.125</v>
      </c>
      <c r="L11" s="69">
        <v>0.5</v>
      </c>
      <c r="M11" s="69">
        <v>0.34782608695652173</v>
      </c>
      <c r="N11" s="69">
        <v>0.2608695652173913</v>
      </c>
      <c r="O11" s="69">
        <v>0.45833333333333331</v>
      </c>
      <c r="P11" s="69">
        <v>0.61111111111111116</v>
      </c>
      <c r="Q11" s="69">
        <v>0.3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1836-E3B7-4EC0-8E8B-E685CAC1843C}">
  <sheetPr codeName="Sheet6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  <row r="9" spans="1:17" x14ac:dyDescent="0.4">
      <c r="A9" s="71">
        <v>6</v>
      </c>
      <c r="B9" s="68">
        <v>-3.5527136788005009E-15</v>
      </c>
      <c r="C9" s="68">
        <v>-1.9737298215558337E-16</v>
      </c>
      <c r="D9" s="73">
        <v>2</v>
      </c>
      <c r="E9" s="69">
        <v>0.33333333333333331</v>
      </c>
      <c r="F9" s="69">
        <v>0.30612244897959184</v>
      </c>
      <c r="G9" s="69">
        <v>0.21768707482993196</v>
      </c>
      <c r="H9" s="70">
        <v>8540</v>
      </c>
      <c r="I9" s="70">
        <v>-8118.75</v>
      </c>
      <c r="J9" s="69">
        <v>5.5555555555555552E-2</v>
      </c>
      <c r="K9" s="69">
        <v>5.5555555555555552E-2</v>
      </c>
      <c r="L9" s="69">
        <v>0.16666666666666666</v>
      </c>
      <c r="M9" s="69">
        <v>0.27210884353741499</v>
      </c>
      <c r="N9" s="69">
        <v>0.23809523809523808</v>
      </c>
      <c r="O9" s="69">
        <v>0.52500000000000002</v>
      </c>
      <c r="P9" s="69">
        <v>0.37142857142857144</v>
      </c>
      <c r="Q9" s="69">
        <v>0.26666666666666666</v>
      </c>
    </row>
    <row r="10" spans="1:17" x14ac:dyDescent="0.4">
      <c r="A10" s="71">
        <v>7</v>
      </c>
      <c r="B10" s="68">
        <v>-2.886579864025407E-15</v>
      </c>
      <c r="C10" s="68">
        <v>-1.3745618400120986E-16</v>
      </c>
      <c r="D10" s="73">
        <v>2</v>
      </c>
      <c r="E10" s="69">
        <v>0.33333333333333331</v>
      </c>
      <c r="F10" s="69">
        <v>0.29943502824858759</v>
      </c>
      <c r="G10" s="69">
        <v>0.21468926553672316</v>
      </c>
      <c r="H10" s="70">
        <v>8416.9811320754725</v>
      </c>
      <c r="I10" s="70">
        <v>-8131.5789473684208</v>
      </c>
      <c r="J10" s="69">
        <v>4.7619047619047616E-2</v>
      </c>
      <c r="K10" s="69">
        <v>4.7619047619047616E-2</v>
      </c>
      <c r="L10" s="69">
        <v>0.19047619047619047</v>
      </c>
      <c r="M10" s="69">
        <v>0.2655367231638418</v>
      </c>
      <c r="N10" s="69">
        <v>0.22033898305084745</v>
      </c>
      <c r="O10" s="69">
        <v>0.48936170212765956</v>
      </c>
      <c r="P10" s="69">
        <v>0.41025641025641024</v>
      </c>
      <c r="Q10" s="69">
        <v>0.26415094339622641</v>
      </c>
    </row>
    <row r="11" spans="1:17" x14ac:dyDescent="0.4">
      <c r="A11" s="71">
        <v>8</v>
      </c>
      <c r="B11" s="68">
        <v>-3.5527136788005009E-15</v>
      </c>
      <c r="C11" s="68">
        <v>-1.4802973661668753E-16</v>
      </c>
      <c r="D11" s="73">
        <v>2</v>
      </c>
      <c r="E11" s="69">
        <v>0.33333333333333331</v>
      </c>
      <c r="F11" s="69">
        <v>0.30392156862745096</v>
      </c>
      <c r="G11" s="69">
        <v>0.2107843137254902</v>
      </c>
      <c r="H11" s="70">
        <v>8124.1935483870966</v>
      </c>
      <c r="I11" s="70">
        <v>-7848.8372093023254</v>
      </c>
      <c r="J11" s="69">
        <v>4.1666666666666664E-2</v>
      </c>
      <c r="K11" s="69">
        <v>4.1666666666666664E-2</v>
      </c>
      <c r="L11" s="69">
        <v>0.20833333333333334</v>
      </c>
      <c r="M11" s="69">
        <v>0.27941176470588236</v>
      </c>
      <c r="N11" s="69">
        <v>0.21568627450980393</v>
      </c>
      <c r="O11" s="69">
        <v>0.50877192982456143</v>
      </c>
      <c r="P11" s="69">
        <v>0.40909090909090912</v>
      </c>
      <c r="Q11" s="69">
        <v>0.29032258064516131</v>
      </c>
    </row>
    <row r="12" spans="1:17" x14ac:dyDescent="0.4">
      <c r="A12" s="71">
        <v>9</v>
      </c>
      <c r="B12" s="68">
        <v>-1.3322676295501878E-15</v>
      </c>
      <c r="C12" s="68">
        <v>-4.9343245538895844E-17</v>
      </c>
      <c r="D12" s="73">
        <v>2</v>
      </c>
      <c r="E12" s="69">
        <v>0.33333333333333331</v>
      </c>
      <c r="F12" s="69">
        <v>0.30666666666666664</v>
      </c>
      <c r="G12" s="69">
        <v>0.20444444444444446</v>
      </c>
      <c r="H12" s="70">
        <v>8147.826086956522</v>
      </c>
      <c r="I12" s="70">
        <v>-8073.913043478261</v>
      </c>
      <c r="J12" s="69">
        <v>3.7037037037037035E-2</v>
      </c>
      <c r="K12" s="69">
        <v>3.7037037037037035E-2</v>
      </c>
      <c r="L12" s="69">
        <v>0.18518518518518517</v>
      </c>
      <c r="M12" s="69">
        <v>0.27111111111111114</v>
      </c>
      <c r="N12" s="69">
        <v>0.21777777777777776</v>
      </c>
      <c r="O12" s="69">
        <v>0.50819672131147542</v>
      </c>
      <c r="P12" s="69">
        <v>0.40816326530612246</v>
      </c>
      <c r="Q12" s="69">
        <v>0.3188405797101449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0.30801687763713081</v>
      </c>
      <c r="G13" s="69">
        <v>0.20675105485232068</v>
      </c>
      <c r="H13" s="70">
        <v>8242.465753424658</v>
      </c>
      <c r="I13" s="70">
        <v>-8353.0612244897966</v>
      </c>
      <c r="J13" s="69">
        <v>6.6666666666666666E-2</v>
      </c>
      <c r="K13" s="69">
        <v>6.6666666666666666E-2</v>
      </c>
      <c r="L13" s="69">
        <v>0.2</v>
      </c>
      <c r="M13" s="69">
        <v>0.26582278481012656</v>
      </c>
      <c r="N13" s="69">
        <v>0.22362869198312235</v>
      </c>
      <c r="O13" s="69">
        <v>0.50793650793650791</v>
      </c>
      <c r="P13" s="69">
        <v>0.41509433962264153</v>
      </c>
      <c r="Q13" s="69">
        <v>0.31506849315068491</v>
      </c>
    </row>
    <row r="14" spans="1:17" x14ac:dyDescent="0.4">
      <c r="A14" s="71">
        <v>11</v>
      </c>
      <c r="B14" s="68">
        <v>8.8817841970012523E-16</v>
      </c>
      <c r="C14" s="68">
        <v>2.6914497566670462E-17</v>
      </c>
      <c r="D14" s="73">
        <v>2</v>
      </c>
      <c r="E14" s="69">
        <v>0.33333333333333331</v>
      </c>
      <c r="F14" s="69">
        <v>0.30337078651685395</v>
      </c>
      <c r="G14" s="69">
        <v>0.20224719101123595</v>
      </c>
      <c r="H14" s="70">
        <v>7923.4567901234568</v>
      </c>
      <c r="I14" s="70">
        <v>-8040.7407407407409</v>
      </c>
      <c r="J14" s="69">
        <v>6.0606060606060608E-2</v>
      </c>
      <c r="K14" s="69">
        <v>6.0606060606060608E-2</v>
      </c>
      <c r="L14" s="69">
        <v>0.21212121212121213</v>
      </c>
      <c r="M14" s="69">
        <v>0.26217228464419473</v>
      </c>
      <c r="N14" s="69">
        <v>0.22097378277153559</v>
      </c>
      <c r="O14" s="69">
        <v>0.51428571428571423</v>
      </c>
      <c r="P14" s="69">
        <v>0.40677966101694918</v>
      </c>
      <c r="Q14" s="69">
        <v>0.32098765432098764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2019-04-03T15:34:11Z</dcterms:modified>
</cp:coreProperties>
</file>