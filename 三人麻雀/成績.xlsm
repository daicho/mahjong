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CA00C0ED-839D-47EE-B2E7-A72420557EB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184" r:id="rId6"/>
    <sheet name="だいち" sheetId="4186" r:id="rId7"/>
    <sheet name="かこたろう" sheetId="4188" r:id="rId8"/>
    <sheet name="ともき" sheetId="4190" r:id="rId9"/>
    <sheet name="りくと" sheetId="4192" r:id="rId10"/>
    <sheet name="いっしー" sheetId="4194" r:id="rId11"/>
    <sheet name="がくと" sheetId="4196" r:id="rId12"/>
    <sheet name="たかの" sheetId="4198" r:id="rId13"/>
    <sheet name="ただ" sheetId="4200" r:id="rId14"/>
    <sheet name="やがさき" sheetId="4202" r:id="rId15"/>
    <sheet name="れんたろう" sheetId="4204" r:id="rId16"/>
    <sheet name="あさひ" sheetId="4206" r:id="rId17"/>
    <sheet name="まっつん" sheetId="4208" r:id="rId18"/>
    <sheet name="ぱぱ" sheetId="4210" r:id="rId19"/>
    <sheet name="ぱぱ2" sheetId="4211" state="hidden" r:id="rId20"/>
    <sheet name="まっつん2" sheetId="4209" state="hidden" r:id="rId21"/>
    <sheet name="あさひ2" sheetId="4207" state="hidden" r:id="rId22"/>
    <sheet name="れんたろう2" sheetId="4205" state="hidden" r:id="rId23"/>
    <sheet name="やがさき2" sheetId="4203" state="hidden" r:id="rId24"/>
    <sheet name="ただ2" sheetId="4201" state="hidden" r:id="rId25"/>
    <sheet name="たかの2" sheetId="4199" state="hidden" r:id="rId26"/>
    <sheet name="がくと2" sheetId="4197" state="hidden" r:id="rId27"/>
    <sheet name="いっしー2" sheetId="4195" state="hidden" r:id="rId28"/>
    <sheet name="りくと2" sheetId="4193" state="hidden" r:id="rId29"/>
    <sheet name="ともき2" sheetId="4191" state="hidden" r:id="rId30"/>
    <sheet name="かこたろう2" sheetId="4189" state="hidden" r:id="rId31"/>
    <sheet name="だいち2" sheetId="4187" state="hidden" r:id="rId32"/>
    <sheet name="全体2" sheetId="4185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4186" l="1"/>
  <c r="O15" i="4204" l="1"/>
  <c r="O18" i="4210"/>
  <c r="O15" i="4192" l="1"/>
  <c r="O20" i="4210"/>
  <c r="O18" i="4202" l="1"/>
  <c r="O19" i="4210"/>
  <c r="O16" i="4210"/>
  <c r="O17" i="4186"/>
  <c r="O22" i="4194"/>
  <c r="O17" i="4194"/>
  <c r="O15" i="4210"/>
  <c r="O17" i="4210"/>
  <c r="H51" i="4210"/>
  <c r="H50" i="4210"/>
  <c r="H49" i="4210"/>
  <c r="H48" i="4210"/>
  <c r="H47" i="4210"/>
  <c r="H46" i="4210"/>
  <c r="H45" i="4210"/>
  <c r="H44" i="4210"/>
  <c r="H43" i="4210"/>
  <c r="H42" i="4210"/>
  <c r="H41" i="4210"/>
  <c r="H40" i="4210"/>
  <c r="H39" i="4210"/>
  <c r="H38" i="4210"/>
  <c r="H37" i="4210"/>
  <c r="H36" i="4210"/>
  <c r="H35" i="4210"/>
  <c r="H34" i="4210"/>
  <c r="H33" i="4210"/>
  <c r="H32" i="4210"/>
  <c r="H31" i="4210"/>
  <c r="H30" i="4210"/>
  <c r="H9" i="4210"/>
  <c r="H29" i="4210"/>
  <c r="H28" i="4210"/>
  <c r="H13" i="4210"/>
  <c r="H27" i="4210"/>
  <c r="C25" i="4210"/>
  <c r="H26" i="4210"/>
  <c r="H10" i="4210"/>
  <c r="H25" i="4210"/>
  <c r="B22" i="4210"/>
  <c r="H12" i="4210"/>
  <c r="H24" i="4210"/>
  <c r="C20" i="4210"/>
  <c r="H23" i="4210"/>
  <c r="H11" i="4210"/>
  <c r="H22" i="4210"/>
  <c r="B17" i="4210"/>
  <c r="B21" i="4210" s="1"/>
  <c r="H21" i="4210"/>
  <c r="C16" i="4210"/>
  <c r="H20" i="4210"/>
  <c r="C15" i="4210"/>
  <c r="H19" i="4210"/>
  <c r="C14" i="4210"/>
  <c r="H18" i="4210"/>
  <c r="C13" i="4210"/>
  <c r="O12" i="4210"/>
  <c r="H17" i="4210"/>
  <c r="C12" i="4210"/>
  <c r="O11" i="4210"/>
  <c r="H3" i="4210"/>
  <c r="C11" i="4210"/>
  <c r="O10" i="4210"/>
  <c r="H16" i="4210"/>
  <c r="C10" i="4210"/>
  <c r="H8" i="4210"/>
  <c r="C9" i="4210"/>
  <c r="H15" i="4210"/>
  <c r="C8" i="4210"/>
  <c r="O7" i="4210"/>
  <c r="H7" i="4210"/>
  <c r="C7" i="4210"/>
  <c r="O6" i="4210"/>
  <c r="H2" i="4210"/>
  <c r="B6" i="4210"/>
  <c r="O5" i="4210"/>
  <c r="H6" i="4210"/>
  <c r="B5" i="4210"/>
  <c r="O4" i="4210"/>
  <c r="H4" i="4210"/>
  <c r="O3" i="4210"/>
  <c r="H14" i="4210"/>
  <c r="O2" i="4210"/>
  <c r="H5" i="4210"/>
  <c r="M1" i="4210"/>
  <c r="O21" i="4208"/>
  <c r="O19" i="4208"/>
  <c r="O17" i="4184"/>
  <c r="C18" i="4210" l="1"/>
  <c r="C17" i="4210"/>
  <c r="C19" i="4210"/>
  <c r="O15" i="4194" l="1"/>
  <c r="O21" i="4202"/>
  <c r="O20" i="4202"/>
  <c r="O17" i="4204"/>
  <c r="O19" i="4192" l="1"/>
  <c r="O17" i="4202"/>
  <c r="O19" i="4200"/>
  <c r="O16" i="4202"/>
  <c r="O21" i="4192" l="1"/>
  <c r="O16" i="4208"/>
  <c r="O22" i="4208" l="1"/>
  <c r="O18" i="4186"/>
  <c r="O21" i="4200" l="1"/>
  <c r="O17" i="4206"/>
  <c r="O15" i="4196"/>
  <c r="O16" i="4196"/>
  <c r="O18" i="4204"/>
  <c r="O25" i="4204"/>
  <c r="O15" i="4208"/>
  <c r="O17" i="4208"/>
  <c r="O21" i="4194"/>
  <c r="O18" i="4198"/>
  <c r="O20" i="4208" l="1"/>
  <c r="O18" i="4208"/>
  <c r="H51" i="4208"/>
  <c r="H50" i="4208"/>
  <c r="H49" i="4208"/>
  <c r="H48" i="4208"/>
  <c r="H47" i="4208"/>
  <c r="H46" i="4208"/>
  <c r="H45" i="4208"/>
  <c r="H44" i="4208"/>
  <c r="H43" i="4208"/>
  <c r="H42" i="4208"/>
  <c r="H41" i="4208"/>
  <c r="H40" i="4208"/>
  <c r="H39" i="4208"/>
  <c r="H38" i="4208"/>
  <c r="H37" i="4208"/>
  <c r="H36" i="4208"/>
  <c r="H35" i="4208"/>
  <c r="H34" i="4208"/>
  <c r="H33" i="4208"/>
  <c r="H21" i="4208"/>
  <c r="H20" i="4208"/>
  <c r="H32" i="4208"/>
  <c r="H8" i="4208"/>
  <c r="H31" i="4208"/>
  <c r="H30" i="4208"/>
  <c r="H12" i="4208"/>
  <c r="H19" i="4208"/>
  <c r="C25" i="4208"/>
  <c r="H29" i="4208"/>
  <c r="H7" i="4208"/>
  <c r="H28" i="4208"/>
  <c r="B22" i="4208"/>
  <c r="H17" i="4208"/>
  <c r="H27" i="4208"/>
  <c r="C20" i="4208"/>
  <c r="H26" i="4208"/>
  <c r="H16" i="4208"/>
  <c r="H13" i="4208"/>
  <c r="B17" i="4208"/>
  <c r="B21" i="4208" s="1"/>
  <c r="H18" i="4208"/>
  <c r="C16" i="4208"/>
  <c r="H25" i="4208"/>
  <c r="C15" i="4208"/>
  <c r="H24" i="4208"/>
  <c r="C14" i="4208"/>
  <c r="H23" i="4208"/>
  <c r="C13" i="4208"/>
  <c r="O12" i="4208"/>
  <c r="H22" i="4208"/>
  <c r="C12" i="4208"/>
  <c r="O11" i="4208"/>
  <c r="H3" i="4208"/>
  <c r="C11" i="4208"/>
  <c r="O10" i="4208"/>
  <c r="H15" i="4208"/>
  <c r="C10" i="4208"/>
  <c r="H10" i="4208"/>
  <c r="C9" i="4208"/>
  <c r="H14" i="4208"/>
  <c r="C8" i="4208"/>
  <c r="O7" i="4208"/>
  <c r="H6" i="4208"/>
  <c r="C7" i="4208"/>
  <c r="O6" i="4208"/>
  <c r="H2" i="4208"/>
  <c r="B6" i="4208"/>
  <c r="O5" i="4208"/>
  <c r="H9" i="4208"/>
  <c r="B5" i="4208"/>
  <c r="O4" i="4208"/>
  <c r="H4" i="4208"/>
  <c r="O3" i="4208"/>
  <c r="H11" i="4208"/>
  <c r="O2" i="4208"/>
  <c r="H5" i="4208"/>
  <c r="M1" i="4208"/>
  <c r="O15" i="4198"/>
  <c r="O16" i="4200"/>
  <c r="O18" i="4184"/>
  <c r="O24" i="4194"/>
  <c r="O18" i="4196"/>
  <c r="O18" i="4206"/>
  <c r="O15" i="4206"/>
  <c r="C18" i="4208" l="1"/>
  <c r="C17" i="4208"/>
  <c r="C19" i="4208"/>
  <c r="O21" i="4204" l="1"/>
  <c r="O17" i="4192"/>
  <c r="O16" i="4190"/>
  <c r="O18" i="4190"/>
  <c r="O16" i="4204"/>
  <c r="O24" i="4192"/>
  <c r="O27" i="4184"/>
  <c r="O19" i="4206"/>
  <c r="O16" i="4206"/>
  <c r="H51" i="4206"/>
  <c r="H50" i="4206"/>
  <c r="H49" i="4206"/>
  <c r="H48" i="4206"/>
  <c r="H47" i="4206"/>
  <c r="H46" i="4206"/>
  <c r="H45" i="4206"/>
  <c r="H44" i="4206"/>
  <c r="H43" i="4206"/>
  <c r="H42" i="4206"/>
  <c r="H41" i="4206"/>
  <c r="H40" i="4206"/>
  <c r="H39" i="4206"/>
  <c r="H38" i="4206"/>
  <c r="H37" i="4206"/>
  <c r="H36" i="4206"/>
  <c r="H35" i="4206"/>
  <c r="H34" i="4206"/>
  <c r="H33" i="4206"/>
  <c r="H32" i="4206"/>
  <c r="H14" i="4206"/>
  <c r="H31" i="4206"/>
  <c r="H12" i="4206"/>
  <c r="H30" i="4206"/>
  <c r="H29" i="4206"/>
  <c r="H11" i="4206"/>
  <c r="H28" i="4206"/>
  <c r="C25" i="4206"/>
  <c r="H27" i="4206"/>
  <c r="H26" i="4206"/>
  <c r="H25" i="4206"/>
  <c r="B22" i="4206"/>
  <c r="H24" i="4206"/>
  <c r="H23" i="4206"/>
  <c r="C20" i="4206"/>
  <c r="H22" i="4206"/>
  <c r="H21" i="4206"/>
  <c r="H20" i="4206"/>
  <c r="B17" i="4206"/>
  <c r="C18" i="4206" s="1"/>
  <c r="H19" i="4206"/>
  <c r="C16" i="4206"/>
  <c r="H18" i="4206"/>
  <c r="C15" i="4206"/>
  <c r="H17" i="4206"/>
  <c r="C14" i="4206"/>
  <c r="H16" i="4206"/>
  <c r="C13" i="4206"/>
  <c r="O12" i="4206"/>
  <c r="H15" i="4206"/>
  <c r="C12" i="4206"/>
  <c r="O11" i="4206"/>
  <c r="H5" i="4206"/>
  <c r="C11" i="4206"/>
  <c r="O10" i="4206"/>
  <c r="H13" i="4206"/>
  <c r="C10" i="4206"/>
  <c r="H8" i="4206"/>
  <c r="C9" i="4206"/>
  <c r="H10" i="4206"/>
  <c r="C8" i="4206"/>
  <c r="O7" i="4206"/>
  <c r="H7" i="4206"/>
  <c r="C7" i="4206"/>
  <c r="O6" i="4206"/>
  <c r="H4" i="4206"/>
  <c r="B6" i="4206"/>
  <c r="O5" i="4206"/>
  <c r="H6" i="4206"/>
  <c r="B5" i="4206"/>
  <c r="O4" i="4206"/>
  <c r="H3" i="4206"/>
  <c r="O3" i="4206"/>
  <c r="H9" i="4206"/>
  <c r="O2" i="4206"/>
  <c r="H2" i="4206"/>
  <c r="M1" i="4206"/>
  <c r="B21" i="4206" l="1"/>
  <c r="C19" i="4206"/>
  <c r="C17" i="4206"/>
  <c r="O16" i="4198" l="1"/>
  <c r="O23" i="4204"/>
  <c r="O16" i="4192"/>
  <c r="O21" i="4198"/>
  <c r="O22" i="4200" l="1"/>
  <c r="O20" i="4194"/>
  <c r="O17" i="4200" l="1"/>
  <c r="O24" i="4204"/>
  <c r="O25" i="4194" l="1"/>
  <c r="O19" i="4204"/>
  <c r="O18" i="4192" l="1"/>
  <c r="O22" i="4204"/>
  <c r="O20" i="4204"/>
  <c r="H51" i="4204"/>
  <c r="H50" i="4204"/>
  <c r="H49" i="4204"/>
  <c r="H48" i="4204"/>
  <c r="H47" i="4204"/>
  <c r="H46" i="4204"/>
  <c r="H45" i="4204"/>
  <c r="H44" i="4204"/>
  <c r="H43" i="4204"/>
  <c r="H42" i="4204"/>
  <c r="H41" i="4204"/>
  <c r="H40" i="4204"/>
  <c r="H39" i="4204"/>
  <c r="H38" i="4204"/>
  <c r="H37" i="4204"/>
  <c r="H36" i="4204"/>
  <c r="H35" i="4204"/>
  <c r="H34" i="4204"/>
  <c r="H21" i="4204"/>
  <c r="H27" i="4204"/>
  <c r="H18" i="4204"/>
  <c r="H26" i="4204"/>
  <c r="H9" i="4204"/>
  <c r="H33" i="4204"/>
  <c r="H32" i="4204"/>
  <c r="H12" i="4204"/>
  <c r="H25" i="4204"/>
  <c r="C25" i="4204"/>
  <c r="H24" i="4204"/>
  <c r="H14" i="4204"/>
  <c r="H31" i="4204"/>
  <c r="B22" i="4204"/>
  <c r="H16" i="4204"/>
  <c r="H30" i="4204"/>
  <c r="C20" i="4204"/>
  <c r="H29" i="4204"/>
  <c r="H20" i="4204"/>
  <c r="H13" i="4204"/>
  <c r="B17" i="4204"/>
  <c r="B21" i="4204" s="1"/>
  <c r="H23" i="4204"/>
  <c r="C16" i="4204"/>
  <c r="H28" i="4204"/>
  <c r="C15" i="4204"/>
  <c r="H19" i="4204"/>
  <c r="C14" i="4204"/>
  <c r="H22" i="4204"/>
  <c r="C13" i="4204"/>
  <c r="O12" i="4204"/>
  <c r="H17" i="4204"/>
  <c r="C12" i="4204"/>
  <c r="O11" i="4204"/>
  <c r="H5" i="4204"/>
  <c r="C11" i="4204"/>
  <c r="O10" i="4204"/>
  <c r="H15" i="4204"/>
  <c r="C10" i="4204"/>
  <c r="H10" i="4204"/>
  <c r="C9" i="4204"/>
  <c r="H8" i="4204"/>
  <c r="C8" i="4204"/>
  <c r="O7" i="4204"/>
  <c r="H7" i="4204"/>
  <c r="C7" i="4204"/>
  <c r="O6" i="4204"/>
  <c r="H2" i="4204"/>
  <c r="B6" i="4204"/>
  <c r="O5" i="4204"/>
  <c r="H6" i="4204"/>
  <c r="B5" i="4204"/>
  <c r="O4" i="4204"/>
  <c r="H3" i="4204"/>
  <c r="O3" i="4204"/>
  <c r="H11" i="4204"/>
  <c r="O2" i="4204"/>
  <c r="H4" i="4204"/>
  <c r="M1" i="4204"/>
  <c r="O20" i="4186"/>
  <c r="O20" i="4184"/>
  <c r="C18" i="4204" l="1"/>
  <c r="C17" i="4204"/>
  <c r="C19" i="4204"/>
  <c r="O23" i="4192" l="1"/>
  <c r="O15" i="4200"/>
  <c r="O15" i="4202" l="1"/>
  <c r="O19" i="4202"/>
  <c r="H51" i="4202"/>
  <c r="H50" i="4202"/>
  <c r="H49" i="4202"/>
  <c r="H48" i="4202"/>
  <c r="H47" i="4202"/>
  <c r="H46" i="4202"/>
  <c r="H45" i="4202"/>
  <c r="H44" i="4202"/>
  <c r="H43" i="4202"/>
  <c r="H42" i="4202"/>
  <c r="H41" i="4202"/>
  <c r="H40" i="4202"/>
  <c r="H39" i="4202"/>
  <c r="H38" i="4202"/>
  <c r="H37" i="4202"/>
  <c r="H36" i="4202"/>
  <c r="H35" i="4202"/>
  <c r="H34" i="4202"/>
  <c r="H33" i="4202"/>
  <c r="H19" i="4202"/>
  <c r="H18" i="4202"/>
  <c r="H32" i="4202"/>
  <c r="H9" i="4202"/>
  <c r="H31" i="4202"/>
  <c r="H30" i="4202"/>
  <c r="H17" i="4202"/>
  <c r="H29" i="4202"/>
  <c r="C25" i="4202"/>
  <c r="H28" i="4202"/>
  <c r="H16" i="4202"/>
  <c r="H27" i="4202"/>
  <c r="B22" i="4202"/>
  <c r="H26" i="4202"/>
  <c r="H25" i="4202"/>
  <c r="C20" i="4202"/>
  <c r="H24" i="4202"/>
  <c r="H15" i="4202"/>
  <c r="H13" i="4202"/>
  <c r="B17" i="4202"/>
  <c r="B21" i="4202" s="1"/>
  <c r="H23" i="4202"/>
  <c r="C16" i="4202"/>
  <c r="H22" i="4202"/>
  <c r="C15" i="4202"/>
  <c r="H21" i="4202"/>
  <c r="C14" i="4202"/>
  <c r="H20" i="4202"/>
  <c r="C13" i="4202"/>
  <c r="O12" i="4202"/>
  <c r="H14" i="4202"/>
  <c r="C12" i="4202"/>
  <c r="O11" i="4202"/>
  <c r="H6" i="4202"/>
  <c r="C11" i="4202"/>
  <c r="O10" i="4202"/>
  <c r="H12" i="4202"/>
  <c r="C10" i="4202"/>
  <c r="H11" i="4202"/>
  <c r="C9" i="4202"/>
  <c r="H10" i="4202"/>
  <c r="C8" i="4202"/>
  <c r="O7" i="4202"/>
  <c r="H7" i="4202"/>
  <c r="C7" i="4202"/>
  <c r="O6" i="4202"/>
  <c r="H2" i="4202"/>
  <c r="B6" i="4202"/>
  <c r="O5" i="4202"/>
  <c r="H4" i="4202"/>
  <c r="B5" i="4202"/>
  <c r="O4" i="4202"/>
  <c r="H5" i="4202"/>
  <c r="O3" i="4202"/>
  <c r="H8" i="4202"/>
  <c r="O2" i="4202"/>
  <c r="H3" i="4202"/>
  <c r="M1" i="4202"/>
  <c r="O20" i="4198"/>
  <c r="O21" i="4186"/>
  <c r="O23" i="4184"/>
  <c r="C18" i="4202" l="1"/>
  <c r="C17" i="4202"/>
  <c r="C19" i="4202"/>
  <c r="O16" i="4194" l="1"/>
  <c r="O15" i="4188"/>
  <c r="O18" i="4200" l="1"/>
  <c r="O20" i="4200"/>
  <c r="H51" i="4200"/>
  <c r="H50" i="4200"/>
  <c r="H49" i="4200"/>
  <c r="H48" i="4200"/>
  <c r="H47" i="4200"/>
  <c r="H46" i="4200"/>
  <c r="H45" i="4200"/>
  <c r="H44" i="4200"/>
  <c r="H43" i="4200"/>
  <c r="H42" i="4200"/>
  <c r="H41" i="4200"/>
  <c r="H40" i="4200"/>
  <c r="H39" i="4200"/>
  <c r="H38" i="4200"/>
  <c r="H37" i="4200"/>
  <c r="H36" i="4200"/>
  <c r="H35" i="4200"/>
  <c r="H34" i="4200"/>
  <c r="H21" i="4200"/>
  <c r="H33" i="4200"/>
  <c r="H18" i="4200"/>
  <c r="H32" i="4200"/>
  <c r="H9" i="4200"/>
  <c r="H31" i="4200"/>
  <c r="H30" i="4200"/>
  <c r="H14" i="4200"/>
  <c r="H29" i="4200"/>
  <c r="C25" i="4200"/>
  <c r="H24" i="4200"/>
  <c r="H16" i="4200"/>
  <c r="H28" i="4200"/>
  <c r="B22" i="4200"/>
  <c r="H15" i="4200"/>
  <c r="H27" i="4200"/>
  <c r="C20" i="4200"/>
  <c r="H26" i="4200"/>
  <c r="H20" i="4200"/>
  <c r="H13" i="4200"/>
  <c r="B17" i="4200"/>
  <c r="B21" i="4200" s="1"/>
  <c r="H19" i="4200"/>
  <c r="C16" i="4200"/>
  <c r="H25" i="4200"/>
  <c r="C15" i="4200"/>
  <c r="H23" i="4200"/>
  <c r="C14" i="4200"/>
  <c r="H22" i="4200"/>
  <c r="C13" i="4200"/>
  <c r="O12" i="4200"/>
  <c r="H17" i="4200"/>
  <c r="C12" i="4200"/>
  <c r="O11" i="4200"/>
  <c r="H5" i="4200"/>
  <c r="C11" i="4200"/>
  <c r="O10" i="4200"/>
  <c r="H12" i="4200"/>
  <c r="C10" i="4200"/>
  <c r="H11" i="4200"/>
  <c r="C9" i="4200"/>
  <c r="H8" i="4200"/>
  <c r="C8" i="4200"/>
  <c r="O7" i="4200"/>
  <c r="H7" i="4200"/>
  <c r="C7" i="4200"/>
  <c r="O6" i="4200"/>
  <c r="H2" i="4200"/>
  <c r="B6" i="4200"/>
  <c r="O5" i="4200"/>
  <c r="H6" i="4200"/>
  <c r="B5" i="4200"/>
  <c r="O4" i="4200"/>
  <c r="H3" i="4200"/>
  <c r="O3" i="4200"/>
  <c r="H10" i="4200"/>
  <c r="O2" i="4200"/>
  <c r="H4" i="4200"/>
  <c r="M1" i="4200"/>
  <c r="O19" i="4198"/>
  <c r="O17" i="4198"/>
  <c r="H51" i="4198"/>
  <c r="H50" i="4198"/>
  <c r="H49" i="4198"/>
  <c r="H48" i="4198"/>
  <c r="H47" i="4198"/>
  <c r="H46" i="4198"/>
  <c r="H45" i="4198"/>
  <c r="H44" i="4198"/>
  <c r="H43" i="4198"/>
  <c r="H42" i="4198"/>
  <c r="H41" i="4198"/>
  <c r="H40" i="4198"/>
  <c r="H39" i="4198"/>
  <c r="H38" i="4198"/>
  <c r="H37" i="4198"/>
  <c r="H36" i="4198"/>
  <c r="H35" i="4198"/>
  <c r="H34" i="4198"/>
  <c r="H33" i="4198"/>
  <c r="H32" i="4198"/>
  <c r="H31" i="4198"/>
  <c r="H30" i="4198"/>
  <c r="H11" i="4198"/>
  <c r="H29" i="4198"/>
  <c r="H28" i="4198"/>
  <c r="H14" i="4198"/>
  <c r="H27" i="4198"/>
  <c r="C25" i="4198"/>
  <c r="H26" i="4198"/>
  <c r="H16" i="4198"/>
  <c r="H25" i="4198"/>
  <c r="B22" i="4198"/>
  <c r="H19" i="4198"/>
  <c r="H24" i="4198"/>
  <c r="C20" i="4198"/>
  <c r="H23" i="4198"/>
  <c r="H15" i="4198"/>
  <c r="H13" i="4198"/>
  <c r="B17" i="4198"/>
  <c r="B21" i="4198" s="1"/>
  <c r="H18" i="4198"/>
  <c r="C16" i="4198"/>
  <c r="H22" i="4198"/>
  <c r="C15" i="4198"/>
  <c r="H17" i="4198"/>
  <c r="C14" i="4198"/>
  <c r="H21" i="4198"/>
  <c r="C13" i="4198"/>
  <c r="O12" i="4198"/>
  <c r="H20" i="4198"/>
  <c r="C12" i="4198"/>
  <c r="O11" i="4198"/>
  <c r="H4" i="4198"/>
  <c r="C11" i="4198"/>
  <c r="O10" i="4198"/>
  <c r="H12" i="4198"/>
  <c r="C10" i="4198"/>
  <c r="H10" i="4198"/>
  <c r="C9" i="4198"/>
  <c r="H8" i="4198"/>
  <c r="C8" i="4198"/>
  <c r="O7" i="4198"/>
  <c r="H6" i="4198"/>
  <c r="C7" i="4198"/>
  <c r="O6" i="4198"/>
  <c r="H2" i="4198"/>
  <c r="B6" i="4198"/>
  <c r="O5" i="4198"/>
  <c r="H9" i="4198"/>
  <c r="B5" i="4198"/>
  <c r="O4" i="4198"/>
  <c r="H3" i="4198"/>
  <c r="O3" i="4198"/>
  <c r="H7" i="4198"/>
  <c r="O2" i="4198"/>
  <c r="H5" i="4198"/>
  <c r="M1" i="4198"/>
  <c r="O24" i="4186"/>
  <c r="O19" i="4186"/>
  <c r="O24" i="4184"/>
  <c r="O19" i="4184"/>
  <c r="C18" i="4200" l="1"/>
  <c r="C18" i="4198"/>
  <c r="C17" i="4200"/>
  <c r="C17" i="4198"/>
  <c r="C19" i="4200"/>
  <c r="C19" i="4198"/>
  <c r="O18" i="4194" l="1"/>
  <c r="O19" i="4196"/>
  <c r="O17" i="4196"/>
  <c r="H51" i="4196"/>
  <c r="H50" i="4196"/>
  <c r="H49" i="4196"/>
  <c r="H48" i="4196"/>
  <c r="H47" i="4196"/>
  <c r="H46" i="4196"/>
  <c r="H45" i="4196"/>
  <c r="H44" i="4196"/>
  <c r="H43" i="4196"/>
  <c r="H42" i="4196"/>
  <c r="H41" i="4196"/>
  <c r="H40" i="4196"/>
  <c r="H39" i="4196"/>
  <c r="H38" i="4196"/>
  <c r="H37" i="4196"/>
  <c r="H36" i="4196"/>
  <c r="H35" i="4196"/>
  <c r="H34" i="4196"/>
  <c r="H33" i="4196"/>
  <c r="H32" i="4196"/>
  <c r="H31" i="4196"/>
  <c r="H30" i="4196"/>
  <c r="H29" i="4196"/>
  <c r="H28" i="4196"/>
  <c r="H27" i="4196"/>
  <c r="H11" i="4196"/>
  <c r="H26" i="4196"/>
  <c r="C25" i="4196"/>
  <c r="H25" i="4196"/>
  <c r="H24" i="4196"/>
  <c r="H23" i="4196"/>
  <c r="B22" i="4196"/>
  <c r="H22" i="4196"/>
  <c r="H21" i="4196"/>
  <c r="C20" i="4196"/>
  <c r="H20" i="4196"/>
  <c r="H8" i="4196"/>
  <c r="H19" i="4196"/>
  <c r="B17" i="4196"/>
  <c r="B21" i="4196" s="1"/>
  <c r="H18" i="4196"/>
  <c r="C16" i="4196"/>
  <c r="H17" i="4196"/>
  <c r="C15" i="4196"/>
  <c r="H16" i="4196"/>
  <c r="C14" i="4196"/>
  <c r="H15" i="4196"/>
  <c r="C13" i="4196"/>
  <c r="O12" i="4196"/>
  <c r="H14" i="4196"/>
  <c r="C12" i="4196"/>
  <c r="O11" i="4196"/>
  <c r="H5" i="4196"/>
  <c r="C11" i="4196"/>
  <c r="O10" i="4196"/>
  <c r="H13" i="4196"/>
  <c r="C10" i="4196"/>
  <c r="H12" i="4196"/>
  <c r="C9" i="4196"/>
  <c r="H10" i="4196"/>
  <c r="C8" i="4196"/>
  <c r="O7" i="4196"/>
  <c r="H6" i="4196"/>
  <c r="C7" i="4196"/>
  <c r="O6" i="4196"/>
  <c r="H3" i="4196"/>
  <c r="B6" i="4196"/>
  <c r="O5" i="4196"/>
  <c r="H7" i="4196"/>
  <c r="B5" i="4196"/>
  <c r="O4" i="4196"/>
  <c r="H9" i="4196"/>
  <c r="O3" i="4196"/>
  <c r="H4" i="4196"/>
  <c r="O2" i="4196"/>
  <c r="H2" i="4196"/>
  <c r="M1" i="4196"/>
  <c r="O15" i="4186"/>
  <c r="O16" i="4184"/>
  <c r="C17" i="4196" l="1"/>
  <c r="C18" i="4196"/>
  <c r="C19" i="4196"/>
  <c r="O19" i="4194" l="1"/>
  <c r="O23" i="4194"/>
  <c r="H51" i="4194"/>
  <c r="H50" i="4194"/>
  <c r="H49" i="4194"/>
  <c r="H48" i="4194"/>
  <c r="H47" i="4194"/>
  <c r="H46" i="4194"/>
  <c r="H45" i="4194"/>
  <c r="H44" i="4194"/>
  <c r="H43" i="4194"/>
  <c r="H42" i="4194"/>
  <c r="H41" i="4194"/>
  <c r="H40" i="4194"/>
  <c r="H39" i="4194"/>
  <c r="H38" i="4194"/>
  <c r="H37" i="4194"/>
  <c r="H36" i="4194"/>
  <c r="H35" i="4194"/>
  <c r="H34" i="4194"/>
  <c r="H18" i="4194"/>
  <c r="H33" i="4194"/>
  <c r="H17" i="4194"/>
  <c r="H32" i="4194"/>
  <c r="H10" i="4194"/>
  <c r="H31" i="4194"/>
  <c r="H30" i="4194"/>
  <c r="H14" i="4194"/>
  <c r="H29" i="4194"/>
  <c r="C25" i="4194"/>
  <c r="H28" i="4194"/>
  <c r="H8" i="4194"/>
  <c r="H27" i="4194"/>
  <c r="B22" i="4194"/>
  <c r="H13" i="4194"/>
  <c r="H26" i="4194"/>
  <c r="C20" i="4194"/>
  <c r="H25" i="4194"/>
  <c r="H24" i="4194"/>
  <c r="H16" i="4194"/>
  <c r="B17" i="4194"/>
  <c r="C18" i="4194" s="1"/>
  <c r="H23" i="4194"/>
  <c r="C16" i="4194"/>
  <c r="H22" i="4194"/>
  <c r="C15" i="4194"/>
  <c r="H21" i="4194"/>
  <c r="C14" i="4194"/>
  <c r="H20" i="4194"/>
  <c r="C13" i="4194"/>
  <c r="O12" i="4194"/>
  <c r="H19" i="4194"/>
  <c r="C12" i="4194"/>
  <c r="O11" i="4194"/>
  <c r="H4" i="4194"/>
  <c r="C11" i="4194"/>
  <c r="O10" i="4194"/>
  <c r="H15" i="4194"/>
  <c r="C10" i="4194"/>
  <c r="H12" i="4194"/>
  <c r="C9" i="4194"/>
  <c r="H9" i="4194"/>
  <c r="C8" i="4194"/>
  <c r="O7" i="4194"/>
  <c r="H6" i="4194"/>
  <c r="C7" i="4194"/>
  <c r="O6" i="4194"/>
  <c r="H2" i="4194"/>
  <c r="B6" i="4194"/>
  <c r="O5" i="4194"/>
  <c r="H7" i="4194"/>
  <c r="B5" i="4194"/>
  <c r="O4" i="4194"/>
  <c r="H3" i="4194"/>
  <c r="O3" i="4194"/>
  <c r="H11" i="4194"/>
  <c r="O2" i="4194"/>
  <c r="H5" i="4194"/>
  <c r="M1" i="4194"/>
  <c r="O20" i="4192"/>
  <c r="O22" i="4192"/>
  <c r="H51" i="4192"/>
  <c r="H50" i="4192"/>
  <c r="H49" i="4192"/>
  <c r="H48" i="4192"/>
  <c r="H47" i="4192"/>
  <c r="H46" i="4192"/>
  <c r="H45" i="4192"/>
  <c r="H44" i="4192"/>
  <c r="H43" i="4192"/>
  <c r="H42" i="4192"/>
  <c r="H41" i="4192"/>
  <c r="H40" i="4192"/>
  <c r="H39" i="4192"/>
  <c r="H38" i="4192"/>
  <c r="H37" i="4192"/>
  <c r="H36" i="4192"/>
  <c r="H35" i="4192"/>
  <c r="H34" i="4192"/>
  <c r="H33" i="4192"/>
  <c r="H21" i="4192"/>
  <c r="H15" i="4192"/>
  <c r="H32" i="4192"/>
  <c r="H8" i="4192"/>
  <c r="H26" i="4192"/>
  <c r="H25" i="4192"/>
  <c r="H12" i="4192"/>
  <c r="H20" i="4192"/>
  <c r="C25" i="4192"/>
  <c r="H19" i="4192"/>
  <c r="H13" i="4192"/>
  <c r="H31" i="4192"/>
  <c r="B22" i="4192"/>
  <c r="H14" i="4192"/>
  <c r="H24" i="4192"/>
  <c r="C20" i="4192"/>
  <c r="H30" i="4192"/>
  <c r="H18" i="4192"/>
  <c r="H17" i="4192"/>
  <c r="B17" i="4192"/>
  <c r="B21" i="4192" s="1"/>
  <c r="H29" i="4192"/>
  <c r="C16" i="4192"/>
  <c r="H28" i="4192"/>
  <c r="C15" i="4192"/>
  <c r="H27" i="4192"/>
  <c r="C14" i="4192"/>
  <c r="H23" i="4192"/>
  <c r="C13" i="4192"/>
  <c r="O12" i="4192"/>
  <c r="H22" i="4192"/>
  <c r="C12" i="4192"/>
  <c r="O11" i="4192"/>
  <c r="H5" i="4192"/>
  <c r="C11" i="4192"/>
  <c r="O10" i="4192"/>
  <c r="H16" i="4192"/>
  <c r="C10" i="4192"/>
  <c r="H11" i="4192"/>
  <c r="C9" i="4192"/>
  <c r="H9" i="4192"/>
  <c r="C8" i="4192"/>
  <c r="O7" i="4192"/>
  <c r="H6" i="4192"/>
  <c r="C7" i="4192"/>
  <c r="O6" i="4192"/>
  <c r="H2" i="4192"/>
  <c r="B6" i="4192"/>
  <c r="O5" i="4192"/>
  <c r="H7" i="4192"/>
  <c r="B5" i="4192"/>
  <c r="O4" i="4192"/>
  <c r="H3" i="4192"/>
  <c r="O3" i="4192"/>
  <c r="H10" i="4192"/>
  <c r="O2" i="4192"/>
  <c r="H4" i="4192"/>
  <c r="M1" i="4192"/>
  <c r="O25" i="4186"/>
  <c r="O22" i="4186"/>
  <c r="O25" i="4184"/>
  <c r="O22" i="4184"/>
  <c r="C19" i="4194" l="1"/>
  <c r="C17" i="4194"/>
  <c r="B21" i="4194"/>
  <c r="C18" i="4192"/>
  <c r="C19" i="4192"/>
  <c r="C17" i="4192"/>
  <c r="O15" i="4190" l="1"/>
  <c r="O17" i="4190"/>
  <c r="H51" i="4190"/>
  <c r="H50" i="4190"/>
  <c r="H49" i="4190"/>
  <c r="H48" i="4190"/>
  <c r="H47" i="4190"/>
  <c r="H46" i="4190"/>
  <c r="H45" i="4190"/>
  <c r="H44" i="4190"/>
  <c r="H43" i="4190"/>
  <c r="H42" i="4190"/>
  <c r="H41" i="4190"/>
  <c r="H40" i="4190"/>
  <c r="H39" i="4190"/>
  <c r="H38" i="4190"/>
  <c r="H37" i="4190"/>
  <c r="H36" i="4190"/>
  <c r="H35" i="4190"/>
  <c r="H34" i="4190"/>
  <c r="H33" i="4190"/>
  <c r="H32" i="4190"/>
  <c r="H31" i="4190"/>
  <c r="H30" i="4190"/>
  <c r="H7" i="4190"/>
  <c r="H29" i="4190"/>
  <c r="H28" i="4190"/>
  <c r="H12" i="4190"/>
  <c r="H27" i="4190"/>
  <c r="C25" i="4190"/>
  <c r="H26" i="4190"/>
  <c r="H11" i="4190"/>
  <c r="H25" i="4190"/>
  <c r="B22" i="4190"/>
  <c r="H24" i="4190"/>
  <c r="H23" i="4190"/>
  <c r="C20" i="4190"/>
  <c r="H22" i="4190"/>
  <c r="H21" i="4190"/>
  <c r="H20" i="4190"/>
  <c r="B17" i="4190"/>
  <c r="B21" i="4190" s="1"/>
  <c r="H19" i="4190"/>
  <c r="C16" i="4190"/>
  <c r="H18" i="4190"/>
  <c r="C15" i="4190"/>
  <c r="H17" i="4190"/>
  <c r="C14" i="4190"/>
  <c r="H16" i="4190"/>
  <c r="C13" i="4190"/>
  <c r="O12" i="4190"/>
  <c r="H15" i="4190"/>
  <c r="C12" i="4190"/>
  <c r="O11" i="4190"/>
  <c r="H3" i="4190"/>
  <c r="C11" i="4190"/>
  <c r="O10" i="4190"/>
  <c r="H10" i="4190"/>
  <c r="C10" i="4190"/>
  <c r="H14" i="4190"/>
  <c r="C9" i="4190"/>
  <c r="H9" i="4190"/>
  <c r="C8" i="4190"/>
  <c r="O7" i="4190"/>
  <c r="H8" i="4190"/>
  <c r="C7" i="4190"/>
  <c r="O6" i="4190"/>
  <c r="H6" i="4190"/>
  <c r="B6" i="4190"/>
  <c r="O5" i="4190"/>
  <c r="H5" i="4190"/>
  <c r="B5" i="4190"/>
  <c r="O4" i="4190"/>
  <c r="H2" i="4190"/>
  <c r="O3" i="4190"/>
  <c r="H13" i="4190"/>
  <c r="O2" i="4190"/>
  <c r="H4" i="4190"/>
  <c r="M1" i="4190"/>
  <c r="O17" i="4188"/>
  <c r="O16" i="4188"/>
  <c r="H51" i="4188"/>
  <c r="H50" i="4188"/>
  <c r="H49" i="4188"/>
  <c r="H48" i="4188"/>
  <c r="H47" i="4188"/>
  <c r="H46" i="4188"/>
  <c r="H45" i="4188"/>
  <c r="H44" i="4188"/>
  <c r="H43" i="4188"/>
  <c r="H42" i="4188"/>
  <c r="H41" i="4188"/>
  <c r="H40" i="4188"/>
  <c r="H39" i="4188"/>
  <c r="H38" i="4188"/>
  <c r="H37" i="4188"/>
  <c r="H36" i="4188"/>
  <c r="H35" i="4188"/>
  <c r="H34" i="4188"/>
  <c r="H33" i="4188"/>
  <c r="H32" i="4188"/>
  <c r="H31" i="4188"/>
  <c r="H30" i="4188"/>
  <c r="H29" i="4188"/>
  <c r="H28" i="4188"/>
  <c r="H27" i="4188"/>
  <c r="H26" i="4188"/>
  <c r="H25" i="4188"/>
  <c r="C25" i="4188"/>
  <c r="H24" i="4188"/>
  <c r="H23" i="4188"/>
  <c r="H22" i="4188"/>
  <c r="B22" i="4188"/>
  <c r="H21" i="4188"/>
  <c r="H20" i="4188"/>
  <c r="C20" i="4188"/>
  <c r="H19" i="4188"/>
  <c r="H18" i="4188"/>
  <c r="H17" i="4188"/>
  <c r="C17" i="4188"/>
  <c r="B17" i="4188"/>
  <c r="C19" i="4188" s="1"/>
  <c r="H16" i="4188"/>
  <c r="C16" i="4188"/>
  <c r="H15" i="4188"/>
  <c r="C15" i="4188"/>
  <c r="H14" i="4188"/>
  <c r="C14" i="4188"/>
  <c r="H13" i="4188"/>
  <c r="C13" i="4188"/>
  <c r="O12" i="4188"/>
  <c r="H12" i="4188"/>
  <c r="C12" i="4188"/>
  <c r="O11" i="4188"/>
  <c r="H11" i="4188"/>
  <c r="C11" i="4188"/>
  <c r="O10" i="4188"/>
  <c r="H10" i="4188"/>
  <c r="C10" i="4188"/>
  <c r="H9" i="4188"/>
  <c r="C9" i="4188"/>
  <c r="H8" i="4188"/>
  <c r="C8" i="4188"/>
  <c r="O7" i="4188"/>
  <c r="H7" i="4188"/>
  <c r="C7" i="4188"/>
  <c r="O6" i="4188"/>
  <c r="H6" i="4188"/>
  <c r="B6" i="4188"/>
  <c r="O5" i="4188"/>
  <c r="H5" i="4188"/>
  <c r="B5" i="4188"/>
  <c r="O4" i="4188"/>
  <c r="H4" i="4188"/>
  <c r="O3" i="4188"/>
  <c r="H3" i="4188"/>
  <c r="O2" i="4188"/>
  <c r="H2" i="4188"/>
  <c r="M1" i="4188"/>
  <c r="O26" i="4184"/>
  <c r="O23" i="4186"/>
  <c r="O16" i="4186"/>
  <c r="H51" i="4186"/>
  <c r="H50" i="4186"/>
  <c r="H49" i="4186"/>
  <c r="H48" i="4186"/>
  <c r="H47" i="4186"/>
  <c r="H29" i="4186"/>
  <c r="H46" i="4186"/>
  <c r="H45" i="4186"/>
  <c r="H44" i="4186"/>
  <c r="H43" i="4186"/>
  <c r="H42" i="4186"/>
  <c r="H41" i="4186"/>
  <c r="H40" i="4186"/>
  <c r="H39" i="4186"/>
  <c r="H38" i="4186"/>
  <c r="H37" i="4186"/>
  <c r="H28" i="4186"/>
  <c r="H36" i="4186"/>
  <c r="H27" i="4186"/>
  <c r="H22" i="4186"/>
  <c r="H16" i="4186"/>
  <c r="H26" i="4186"/>
  <c r="H8" i="4186"/>
  <c r="H35" i="4186"/>
  <c r="H24" i="4186"/>
  <c r="H13" i="4186"/>
  <c r="H25" i="4186"/>
  <c r="C25" i="4186"/>
  <c r="H34" i="4186"/>
  <c r="H14" i="4186"/>
  <c r="H33" i="4186"/>
  <c r="B22" i="4186"/>
  <c r="H15" i="4186"/>
  <c r="H32" i="4186"/>
  <c r="C20" i="4186"/>
  <c r="H31" i="4186"/>
  <c r="H18" i="4186"/>
  <c r="H17" i="4186"/>
  <c r="B17" i="4186"/>
  <c r="B21" i="4186" s="1"/>
  <c r="H20" i="4186"/>
  <c r="C16" i="4186"/>
  <c r="H30" i="4186"/>
  <c r="C15" i="4186"/>
  <c r="H19" i="4186"/>
  <c r="C14" i="4186"/>
  <c r="H23" i="4186"/>
  <c r="C13" i="4186"/>
  <c r="O12" i="4186"/>
  <c r="H21" i="4186"/>
  <c r="C12" i="4186"/>
  <c r="O11" i="4186"/>
  <c r="H5" i="4186"/>
  <c r="C11" i="4186"/>
  <c r="O10" i="4186"/>
  <c r="H12" i="4186"/>
  <c r="C10" i="4186"/>
  <c r="H11" i="4186"/>
  <c r="C9" i="4186"/>
  <c r="H9" i="4186"/>
  <c r="C8" i="4186"/>
  <c r="O7" i="4186"/>
  <c r="H7" i="4186"/>
  <c r="C7" i="4186"/>
  <c r="O6" i="4186"/>
  <c r="H2" i="4186"/>
  <c r="B6" i="4186"/>
  <c r="O5" i="4186"/>
  <c r="H6" i="4186"/>
  <c r="B5" i="4186"/>
  <c r="O4" i="4186"/>
  <c r="H3" i="4186"/>
  <c r="O3" i="4186"/>
  <c r="H10" i="4186"/>
  <c r="O2" i="4186"/>
  <c r="H4" i="4186"/>
  <c r="O21" i="4184"/>
  <c r="O15" i="4184"/>
  <c r="H51" i="4184"/>
  <c r="H50" i="4184"/>
  <c r="H49" i="4184"/>
  <c r="H48" i="4184"/>
  <c r="H47" i="4184"/>
  <c r="H32" i="4184"/>
  <c r="H46" i="4184"/>
  <c r="H45" i="4184"/>
  <c r="H44" i="4184"/>
  <c r="H43" i="4184"/>
  <c r="H42" i="4184"/>
  <c r="H41" i="4184"/>
  <c r="H40" i="4184"/>
  <c r="H39" i="4184"/>
  <c r="H38" i="4184"/>
  <c r="H37" i="4184"/>
  <c r="H31" i="4184"/>
  <c r="H36" i="4184"/>
  <c r="H23" i="4184"/>
  <c r="H22" i="4184"/>
  <c r="H17" i="4184"/>
  <c r="H28" i="4184"/>
  <c r="H8" i="4184"/>
  <c r="H30" i="4184"/>
  <c r="H27" i="4184"/>
  <c r="H12" i="4184"/>
  <c r="H25" i="4184"/>
  <c r="C25" i="4184"/>
  <c r="H26" i="4184"/>
  <c r="H14" i="4184"/>
  <c r="H35" i="4184"/>
  <c r="B22" i="4184"/>
  <c r="H16" i="4184"/>
  <c r="H29" i="4184"/>
  <c r="C20" i="4184"/>
  <c r="H34" i="4184"/>
  <c r="H18" i="4184"/>
  <c r="H15" i="4184"/>
  <c r="B17" i="4184"/>
  <c r="B21" i="4184" s="1"/>
  <c r="H21" i="4184"/>
  <c r="C16" i="4184"/>
  <c r="H33" i="4184"/>
  <c r="C15" i="4184"/>
  <c r="H20" i="4184"/>
  <c r="C14" i="4184"/>
  <c r="H24" i="4184"/>
  <c r="C13" i="4184"/>
  <c r="O12" i="4184"/>
  <c r="H19" i="4184"/>
  <c r="C12" i="4184"/>
  <c r="O11" i="4184"/>
  <c r="H4" i="4184"/>
  <c r="C11" i="4184"/>
  <c r="O10" i="4184"/>
  <c r="H13" i="4184"/>
  <c r="C10" i="4184"/>
  <c r="H11" i="4184"/>
  <c r="C9" i="4184"/>
  <c r="H9" i="4184"/>
  <c r="C8" i="4184"/>
  <c r="O7" i="4184"/>
  <c r="H6" i="4184"/>
  <c r="C7" i="4184"/>
  <c r="O6" i="4184"/>
  <c r="H2" i="4184"/>
  <c r="B6" i="4184"/>
  <c r="O5" i="4184"/>
  <c r="H7" i="4184"/>
  <c r="B5" i="4184"/>
  <c r="O4" i="4184"/>
  <c r="H3" i="4184"/>
  <c r="O3" i="4184"/>
  <c r="H10" i="4184"/>
  <c r="O2" i="4184"/>
  <c r="H5" i="4184"/>
  <c r="M1" i="4184"/>
  <c r="C17" i="4190" l="1"/>
  <c r="C19" i="4190"/>
  <c r="C18" i="4190"/>
  <c r="B21" i="4188"/>
  <c r="C18" i="4188"/>
  <c r="C18" i="4186"/>
  <c r="C17" i="4186"/>
  <c r="C19" i="4186"/>
  <c r="C18" i="4184"/>
  <c r="C17" i="4184"/>
  <c r="C19" i="4184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<sst xmlns="http://schemas.openxmlformats.org/spreadsheetml/2006/main" count="3593" uniqueCount="260">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</sst>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93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79" fontId="0" fillId="0" borderId="46" xfId="0" applyNumberFormat="1" applyBorder="1" applyAlignment="1">
      <alignment horizontal="center" vertical="center" shrinkToFit="1"/>
    </xf>
    <xf numFmtId="179" fontId="0" fillId="0" borderId="47" xfId="0" applyNumberFormat="1" applyBorder="1" applyAlignment="1">
      <alignment horizontal="center" vertical="center" shrinkToFit="1"/>
    </xf>
    <xf numFmtId="179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93" fontId="0" fillId="0" borderId="0" xfId="0" applyNumberFormat="1" applyBorder="1" applyAlignment="1">
      <alignment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全体!$K$2:$K$827</c:f>
              <c:numCache>
                <c:formatCode>General</c:formatCode>
                <c:ptCount val="8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</c:numCache>
            </c:numRef>
          </c:xVal>
          <c:yVal>
            <c:numRef>
              <c:f>全体!$L$2:$L$827</c:f>
              <c:numCache>
                <c:formatCode>\+0.0;\-0.0;\±0</c:formatCode>
                <c:ptCount val="826"/>
                <c:pt idx="0">
                  <c:v>0</c:v>
                </c:pt>
                <c:pt idx="1">
                  <c:v>15</c:v>
                </c:pt>
                <c:pt idx="2">
                  <c:v>-22</c:v>
                </c:pt>
                <c:pt idx="3">
                  <c:v>7</c:v>
                </c:pt>
                <c:pt idx="4">
                  <c:v>-1</c:v>
                </c:pt>
                <c:pt idx="5">
                  <c:v>40.9</c:v>
                </c:pt>
                <c:pt idx="6">
                  <c:v>-39.9</c:v>
                </c:pt>
                <c:pt idx="7">
                  <c:v>15.1</c:v>
                </c:pt>
                <c:pt idx="8">
                  <c:v>-41.8</c:v>
                </c:pt>
                <c:pt idx="9">
                  <c:v>26.7</c:v>
                </c:pt>
                <c:pt idx="10">
                  <c:v>85.2</c:v>
                </c:pt>
                <c:pt idx="11">
                  <c:v>-40.700000000000003</c:v>
                </c:pt>
                <c:pt idx="12">
                  <c:v>-44.5</c:v>
                </c:pt>
                <c:pt idx="13">
                  <c:v>31.5</c:v>
                </c:pt>
                <c:pt idx="14">
                  <c:v>-35.5</c:v>
                </c:pt>
                <c:pt idx="15">
                  <c:v>4</c:v>
                </c:pt>
                <c:pt idx="16">
                  <c:v>-48</c:v>
                </c:pt>
                <c:pt idx="17">
                  <c:v>40</c:v>
                </c:pt>
                <c:pt idx="18">
                  <c:v>8</c:v>
                </c:pt>
                <c:pt idx="19">
                  <c:v>-6.1</c:v>
                </c:pt>
                <c:pt idx="20">
                  <c:v>11</c:v>
                </c:pt>
                <c:pt idx="21">
                  <c:v>-4.9000000000000004</c:v>
                </c:pt>
                <c:pt idx="22">
                  <c:v>-36</c:v>
                </c:pt>
                <c:pt idx="23">
                  <c:v>33</c:v>
                </c:pt>
                <c:pt idx="24">
                  <c:v>3</c:v>
                </c:pt>
                <c:pt idx="25">
                  <c:v>-41</c:v>
                </c:pt>
                <c:pt idx="26">
                  <c:v>52.5</c:v>
                </c:pt>
                <c:pt idx="27">
                  <c:v>-11.5</c:v>
                </c:pt>
                <c:pt idx="28">
                  <c:v>-31.5</c:v>
                </c:pt>
                <c:pt idx="29">
                  <c:v>68.2</c:v>
                </c:pt>
                <c:pt idx="30">
                  <c:v>-36.700000000000003</c:v>
                </c:pt>
                <c:pt idx="31">
                  <c:v>18.3</c:v>
                </c:pt>
                <c:pt idx="32">
                  <c:v>-9.6999999999999993</c:v>
                </c:pt>
                <c:pt idx="33">
                  <c:v>-8.6</c:v>
                </c:pt>
                <c:pt idx="34">
                  <c:v>12.8</c:v>
                </c:pt>
                <c:pt idx="35">
                  <c:v>23.6</c:v>
                </c:pt>
                <c:pt idx="36">
                  <c:v>-36.4</c:v>
                </c:pt>
                <c:pt idx="37">
                  <c:v>57</c:v>
                </c:pt>
                <c:pt idx="38">
                  <c:v>-24.4</c:v>
                </c:pt>
                <c:pt idx="39">
                  <c:v>-32.6</c:v>
                </c:pt>
                <c:pt idx="40">
                  <c:v>-44</c:v>
                </c:pt>
                <c:pt idx="41">
                  <c:v>66</c:v>
                </c:pt>
                <c:pt idx="42">
                  <c:v>-22</c:v>
                </c:pt>
                <c:pt idx="43">
                  <c:v>-37</c:v>
                </c:pt>
                <c:pt idx="44">
                  <c:v>1.5</c:v>
                </c:pt>
                <c:pt idx="45">
                  <c:v>35.5</c:v>
                </c:pt>
                <c:pt idx="46">
                  <c:v>1.6</c:v>
                </c:pt>
                <c:pt idx="47">
                  <c:v>3.8</c:v>
                </c:pt>
                <c:pt idx="48">
                  <c:v>-5.4</c:v>
                </c:pt>
                <c:pt idx="49">
                  <c:v>-21.4</c:v>
                </c:pt>
                <c:pt idx="50">
                  <c:v>-32.5</c:v>
                </c:pt>
                <c:pt idx="51">
                  <c:v>53.9</c:v>
                </c:pt>
                <c:pt idx="52">
                  <c:v>14.9</c:v>
                </c:pt>
                <c:pt idx="53">
                  <c:v>-13.7</c:v>
                </c:pt>
                <c:pt idx="54">
                  <c:v>-1.2</c:v>
                </c:pt>
                <c:pt idx="55">
                  <c:v>57.2</c:v>
                </c:pt>
                <c:pt idx="56">
                  <c:v>-38.4</c:v>
                </c:pt>
                <c:pt idx="57">
                  <c:v>-18.8</c:v>
                </c:pt>
                <c:pt idx="58">
                  <c:v>26.2</c:v>
                </c:pt>
                <c:pt idx="59">
                  <c:v>-25.2</c:v>
                </c:pt>
                <c:pt idx="60">
                  <c:v>-1</c:v>
                </c:pt>
                <c:pt idx="61">
                  <c:v>56.5</c:v>
                </c:pt>
                <c:pt idx="62">
                  <c:v>-46.5</c:v>
                </c:pt>
                <c:pt idx="63">
                  <c:v>-10</c:v>
                </c:pt>
                <c:pt idx="64">
                  <c:v>-25.5</c:v>
                </c:pt>
                <c:pt idx="65">
                  <c:v>-39.9</c:v>
                </c:pt>
                <c:pt idx="66">
                  <c:v>65.400000000000006</c:v>
                </c:pt>
                <c:pt idx="67">
                  <c:v>24.7</c:v>
                </c:pt>
                <c:pt idx="68">
                  <c:v>-35.799999999999997</c:v>
                </c:pt>
                <c:pt idx="69">
                  <c:v>11.1</c:v>
                </c:pt>
                <c:pt idx="70">
                  <c:v>-6.5</c:v>
                </c:pt>
                <c:pt idx="71">
                  <c:v>-44.5</c:v>
                </c:pt>
                <c:pt idx="72">
                  <c:v>51</c:v>
                </c:pt>
                <c:pt idx="73">
                  <c:v>-33.700000000000003</c:v>
                </c:pt>
                <c:pt idx="74">
                  <c:v>16.5</c:v>
                </c:pt>
                <c:pt idx="75">
                  <c:v>17.2</c:v>
                </c:pt>
                <c:pt idx="76">
                  <c:v>23.9</c:v>
                </c:pt>
                <c:pt idx="77">
                  <c:v>-8.4</c:v>
                </c:pt>
                <c:pt idx="78">
                  <c:v>-15.5</c:v>
                </c:pt>
                <c:pt idx="79">
                  <c:v>-37</c:v>
                </c:pt>
                <c:pt idx="80">
                  <c:v>61.5</c:v>
                </c:pt>
                <c:pt idx="81">
                  <c:v>-24.5</c:v>
                </c:pt>
                <c:pt idx="82">
                  <c:v>58</c:v>
                </c:pt>
                <c:pt idx="83">
                  <c:v>-16.5</c:v>
                </c:pt>
                <c:pt idx="84">
                  <c:v>-41.5</c:v>
                </c:pt>
                <c:pt idx="85">
                  <c:v>-8.4</c:v>
                </c:pt>
                <c:pt idx="86">
                  <c:v>27.7</c:v>
                </c:pt>
                <c:pt idx="87">
                  <c:v>-19.3</c:v>
                </c:pt>
                <c:pt idx="88">
                  <c:v>53.3</c:v>
                </c:pt>
                <c:pt idx="89">
                  <c:v>-38.9</c:v>
                </c:pt>
                <c:pt idx="90">
                  <c:v>-14.4</c:v>
                </c:pt>
                <c:pt idx="91">
                  <c:v>-14</c:v>
                </c:pt>
                <c:pt idx="92">
                  <c:v>-38</c:v>
                </c:pt>
                <c:pt idx="93">
                  <c:v>52</c:v>
                </c:pt>
                <c:pt idx="94">
                  <c:v>60.7</c:v>
                </c:pt>
                <c:pt idx="95">
                  <c:v>-20.3</c:v>
                </c:pt>
                <c:pt idx="96">
                  <c:v>-40.4</c:v>
                </c:pt>
                <c:pt idx="97">
                  <c:v>50</c:v>
                </c:pt>
                <c:pt idx="98">
                  <c:v>-8.5</c:v>
                </c:pt>
                <c:pt idx="99">
                  <c:v>-41.5</c:v>
                </c:pt>
                <c:pt idx="100">
                  <c:v>-14</c:v>
                </c:pt>
                <c:pt idx="101">
                  <c:v>-38.5</c:v>
                </c:pt>
                <c:pt idx="102">
                  <c:v>52.5</c:v>
                </c:pt>
                <c:pt idx="103">
                  <c:v>-3.4</c:v>
                </c:pt>
                <c:pt idx="104">
                  <c:v>-11.6</c:v>
                </c:pt>
                <c:pt idx="105">
                  <c:v>15</c:v>
                </c:pt>
                <c:pt idx="106">
                  <c:v>-17.100000000000001</c:v>
                </c:pt>
                <c:pt idx="107">
                  <c:v>0.3</c:v>
                </c:pt>
                <c:pt idx="108">
                  <c:v>16.8</c:v>
                </c:pt>
                <c:pt idx="109">
                  <c:v>21.1</c:v>
                </c:pt>
                <c:pt idx="110">
                  <c:v>14.7</c:v>
                </c:pt>
                <c:pt idx="111">
                  <c:v>-35.799999999999997</c:v>
                </c:pt>
                <c:pt idx="112">
                  <c:v>-50.6</c:v>
                </c:pt>
                <c:pt idx="113">
                  <c:v>48</c:v>
                </c:pt>
                <c:pt idx="114">
                  <c:v>2.6</c:v>
                </c:pt>
                <c:pt idx="115">
                  <c:v>-8.1999999999999993</c:v>
                </c:pt>
                <c:pt idx="116">
                  <c:v>-41.8</c:v>
                </c:pt>
                <c:pt idx="117">
                  <c:v>50</c:v>
                </c:pt>
                <c:pt idx="118">
                  <c:v>-7</c:v>
                </c:pt>
                <c:pt idx="119">
                  <c:v>-5.5</c:v>
                </c:pt>
                <c:pt idx="120">
                  <c:v>12.5</c:v>
                </c:pt>
                <c:pt idx="121">
                  <c:v>-36.4</c:v>
                </c:pt>
                <c:pt idx="122">
                  <c:v>24.9</c:v>
                </c:pt>
                <c:pt idx="123">
                  <c:v>11.5</c:v>
                </c:pt>
                <c:pt idx="124">
                  <c:v>-8.5</c:v>
                </c:pt>
                <c:pt idx="125">
                  <c:v>3</c:v>
                </c:pt>
                <c:pt idx="126">
                  <c:v>5.5</c:v>
                </c:pt>
                <c:pt idx="127">
                  <c:v>8.4</c:v>
                </c:pt>
                <c:pt idx="128">
                  <c:v>15.5</c:v>
                </c:pt>
                <c:pt idx="129">
                  <c:v>-23.9</c:v>
                </c:pt>
                <c:pt idx="130">
                  <c:v>-10.4</c:v>
                </c:pt>
                <c:pt idx="131">
                  <c:v>11.1</c:v>
                </c:pt>
                <c:pt idx="132">
                  <c:v>-0.7</c:v>
                </c:pt>
                <c:pt idx="133">
                  <c:v>27.9</c:v>
                </c:pt>
                <c:pt idx="134">
                  <c:v>-35.9</c:v>
                </c:pt>
                <c:pt idx="135">
                  <c:v>8</c:v>
                </c:pt>
                <c:pt idx="136">
                  <c:v>-20.5</c:v>
                </c:pt>
                <c:pt idx="137">
                  <c:v>-4.7</c:v>
                </c:pt>
                <c:pt idx="138">
                  <c:v>25.2</c:v>
                </c:pt>
                <c:pt idx="139">
                  <c:v>-31.1</c:v>
                </c:pt>
                <c:pt idx="140">
                  <c:v>-31.2</c:v>
                </c:pt>
                <c:pt idx="141">
                  <c:v>62.3</c:v>
                </c:pt>
                <c:pt idx="142">
                  <c:v>16.2</c:v>
                </c:pt>
                <c:pt idx="143">
                  <c:v>-24.8</c:v>
                </c:pt>
                <c:pt idx="144">
                  <c:v>8.6</c:v>
                </c:pt>
                <c:pt idx="145">
                  <c:v>-4.9000000000000004</c:v>
                </c:pt>
                <c:pt idx="146">
                  <c:v>-11.9</c:v>
                </c:pt>
                <c:pt idx="147">
                  <c:v>14.8</c:v>
                </c:pt>
                <c:pt idx="148">
                  <c:v>12.8</c:v>
                </c:pt>
                <c:pt idx="149">
                  <c:v>3.9</c:v>
                </c:pt>
                <c:pt idx="150">
                  <c:v>-16.7</c:v>
                </c:pt>
                <c:pt idx="151">
                  <c:v>0.7</c:v>
                </c:pt>
                <c:pt idx="152">
                  <c:v>43.2</c:v>
                </c:pt>
                <c:pt idx="153">
                  <c:v>-43.9</c:v>
                </c:pt>
                <c:pt idx="154">
                  <c:v>-6.7</c:v>
                </c:pt>
                <c:pt idx="155">
                  <c:v>-2.8</c:v>
                </c:pt>
                <c:pt idx="156">
                  <c:v>9.5</c:v>
                </c:pt>
                <c:pt idx="157">
                  <c:v>-28</c:v>
                </c:pt>
                <c:pt idx="158">
                  <c:v>-55</c:v>
                </c:pt>
                <c:pt idx="159">
                  <c:v>83</c:v>
                </c:pt>
                <c:pt idx="160">
                  <c:v>16.7</c:v>
                </c:pt>
                <c:pt idx="161">
                  <c:v>-37.700000000000003</c:v>
                </c:pt>
                <c:pt idx="162">
                  <c:v>21</c:v>
                </c:pt>
                <c:pt idx="163">
                  <c:v>-7</c:v>
                </c:pt>
                <c:pt idx="164">
                  <c:v>-5.9</c:v>
                </c:pt>
                <c:pt idx="165">
                  <c:v>11.9</c:v>
                </c:pt>
                <c:pt idx="166">
                  <c:v>31.6</c:v>
                </c:pt>
                <c:pt idx="167">
                  <c:v>6.2</c:v>
                </c:pt>
                <c:pt idx="168">
                  <c:v>-37.799999999999997</c:v>
                </c:pt>
                <c:pt idx="169">
                  <c:v>15.8</c:v>
                </c:pt>
                <c:pt idx="170">
                  <c:v>-46.1</c:v>
                </c:pt>
                <c:pt idx="171">
                  <c:v>30.3</c:v>
                </c:pt>
                <c:pt idx="172">
                  <c:v>57</c:v>
                </c:pt>
                <c:pt idx="173">
                  <c:v>-50.5</c:v>
                </c:pt>
                <c:pt idx="174">
                  <c:v>-6.5</c:v>
                </c:pt>
                <c:pt idx="175">
                  <c:v>5.3</c:v>
                </c:pt>
                <c:pt idx="176">
                  <c:v>6.3</c:v>
                </c:pt>
                <c:pt idx="177">
                  <c:v>-11.6</c:v>
                </c:pt>
                <c:pt idx="178">
                  <c:v>-36.200000000000003</c:v>
                </c:pt>
                <c:pt idx="179">
                  <c:v>18.7</c:v>
                </c:pt>
                <c:pt idx="180">
                  <c:v>17.5</c:v>
                </c:pt>
                <c:pt idx="181">
                  <c:v>-46.1</c:v>
                </c:pt>
                <c:pt idx="182">
                  <c:v>5.0999999999999996</c:v>
                </c:pt>
                <c:pt idx="183">
                  <c:v>41</c:v>
                </c:pt>
                <c:pt idx="184">
                  <c:v>35</c:v>
                </c:pt>
                <c:pt idx="185">
                  <c:v>-24.5</c:v>
                </c:pt>
                <c:pt idx="186">
                  <c:v>-10.5</c:v>
                </c:pt>
                <c:pt idx="187">
                  <c:v>21.1</c:v>
                </c:pt>
                <c:pt idx="188">
                  <c:v>-13.9</c:v>
                </c:pt>
                <c:pt idx="189">
                  <c:v>-7.2</c:v>
                </c:pt>
                <c:pt idx="190">
                  <c:v>-66</c:v>
                </c:pt>
                <c:pt idx="191">
                  <c:v>-8.3000000000000007</c:v>
                </c:pt>
                <c:pt idx="192">
                  <c:v>74.3</c:v>
                </c:pt>
                <c:pt idx="193">
                  <c:v>-5</c:v>
                </c:pt>
                <c:pt idx="194">
                  <c:v>-45</c:v>
                </c:pt>
                <c:pt idx="195">
                  <c:v>50</c:v>
                </c:pt>
                <c:pt idx="196">
                  <c:v>1</c:v>
                </c:pt>
                <c:pt idx="197">
                  <c:v>-36</c:v>
                </c:pt>
                <c:pt idx="198">
                  <c:v>35</c:v>
                </c:pt>
                <c:pt idx="199">
                  <c:v>31.6</c:v>
                </c:pt>
                <c:pt idx="200">
                  <c:v>-31.3</c:v>
                </c:pt>
                <c:pt idx="201">
                  <c:v>-0.3</c:v>
                </c:pt>
                <c:pt idx="202">
                  <c:v>-19</c:v>
                </c:pt>
                <c:pt idx="203">
                  <c:v>64</c:v>
                </c:pt>
                <c:pt idx="204">
                  <c:v>-45</c:v>
                </c:pt>
                <c:pt idx="205">
                  <c:v>-9.9</c:v>
                </c:pt>
                <c:pt idx="206">
                  <c:v>3.1</c:v>
                </c:pt>
                <c:pt idx="207">
                  <c:v>6.8</c:v>
                </c:pt>
                <c:pt idx="208">
                  <c:v>0.9</c:v>
                </c:pt>
                <c:pt idx="209">
                  <c:v>1.2</c:v>
                </c:pt>
                <c:pt idx="210">
                  <c:v>-2.1</c:v>
                </c:pt>
                <c:pt idx="211">
                  <c:v>32.299999999999997</c:v>
                </c:pt>
                <c:pt idx="212">
                  <c:v>2.8</c:v>
                </c:pt>
                <c:pt idx="213">
                  <c:v>-35.1</c:v>
                </c:pt>
                <c:pt idx="214">
                  <c:v>-46</c:v>
                </c:pt>
                <c:pt idx="215">
                  <c:v>44.6</c:v>
                </c:pt>
                <c:pt idx="216">
                  <c:v>1.4</c:v>
                </c:pt>
                <c:pt idx="217">
                  <c:v>28.4</c:v>
                </c:pt>
                <c:pt idx="218">
                  <c:v>-1.4</c:v>
                </c:pt>
                <c:pt idx="219">
                  <c:v>-27</c:v>
                </c:pt>
                <c:pt idx="220">
                  <c:v>-7.4</c:v>
                </c:pt>
                <c:pt idx="221">
                  <c:v>-39.700000000000003</c:v>
                </c:pt>
                <c:pt idx="222">
                  <c:v>47.1</c:v>
                </c:pt>
                <c:pt idx="223">
                  <c:v>18.3</c:v>
                </c:pt>
                <c:pt idx="224">
                  <c:v>-33.1</c:v>
                </c:pt>
                <c:pt idx="225">
                  <c:v>14.8</c:v>
                </c:pt>
                <c:pt idx="226">
                  <c:v>-13.9</c:v>
                </c:pt>
                <c:pt idx="227">
                  <c:v>-18.2</c:v>
                </c:pt>
                <c:pt idx="228">
                  <c:v>32.1</c:v>
                </c:pt>
                <c:pt idx="229">
                  <c:v>40</c:v>
                </c:pt>
                <c:pt idx="230">
                  <c:v>-40.4</c:v>
                </c:pt>
                <c:pt idx="231">
                  <c:v>0.4</c:v>
                </c:pt>
                <c:pt idx="232">
                  <c:v>5.2</c:v>
                </c:pt>
                <c:pt idx="233">
                  <c:v>-11</c:v>
                </c:pt>
                <c:pt idx="234">
                  <c:v>5.8</c:v>
                </c:pt>
                <c:pt idx="235">
                  <c:v>-13.7</c:v>
                </c:pt>
                <c:pt idx="236">
                  <c:v>-15.8</c:v>
                </c:pt>
                <c:pt idx="237">
                  <c:v>29.5</c:v>
                </c:pt>
                <c:pt idx="238">
                  <c:v>-23</c:v>
                </c:pt>
                <c:pt idx="239">
                  <c:v>-21.9</c:v>
                </c:pt>
                <c:pt idx="240">
                  <c:v>44.9</c:v>
                </c:pt>
                <c:pt idx="241">
                  <c:v>5.0999999999999996</c:v>
                </c:pt>
                <c:pt idx="242">
                  <c:v>11.3</c:v>
                </c:pt>
                <c:pt idx="243">
                  <c:v>-16.399999999999999</c:v>
                </c:pt>
                <c:pt idx="244">
                  <c:v>31.9</c:v>
                </c:pt>
                <c:pt idx="245">
                  <c:v>6.1</c:v>
                </c:pt>
                <c:pt idx="246">
                  <c:v>-38</c:v>
                </c:pt>
                <c:pt idx="247">
                  <c:v>40</c:v>
                </c:pt>
                <c:pt idx="248">
                  <c:v>-44</c:v>
                </c:pt>
                <c:pt idx="249">
                  <c:v>4</c:v>
                </c:pt>
                <c:pt idx="250">
                  <c:v>22.5</c:v>
                </c:pt>
                <c:pt idx="251">
                  <c:v>-41</c:v>
                </c:pt>
                <c:pt idx="252">
                  <c:v>18.5</c:v>
                </c:pt>
                <c:pt idx="253">
                  <c:v>31.5</c:v>
                </c:pt>
                <c:pt idx="254">
                  <c:v>-10.8</c:v>
                </c:pt>
                <c:pt idx="255">
                  <c:v>-20.7</c:v>
                </c:pt>
                <c:pt idx="256">
                  <c:v>59.8</c:v>
                </c:pt>
                <c:pt idx="257">
                  <c:v>-35.5</c:v>
                </c:pt>
                <c:pt idx="258">
                  <c:v>-24.3</c:v>
                </c:pt>
                <c:pt idx="259">
                  <c:v>11.1</c:v>
                </c:pt>
                <c:pt idx="260">
                  <c:v>-27.1</c:v>
                </c:pt>
                <c:pt idx="261">
                  <c:v>16</c:v>
                </c:pt>
                <c:pt idx="262">
                  <c:v>1.6</c:v>
                </c:pt>
                <c:pt idx="263">
                  <c:v>22.6</c:v>
                </c:pt>
                <c:pt idx="264">
                  <c:v>-24.2</c:v>
                </c:pt>
                <c:pt idx="265">
                  <c:v>-21.4</c:v>
                </c:pt>
                <c:pt idx="266">
                  <c:v>15.6</c:v>
                </c:pt>
                <c:pt idx="267">
                  <c:v>5.8</c:v>
                </c:pt>
                <c:pt idx="268">
                  <c:v>3.5</c:v>
                </c:pt>
                <c:pt idx="269">
                  <c:v>0.6</c:v>
                </c:pt>
                <c:pt idx="270">
                  <c:v>-4.0999999999999996</c:v>
                </c:pt>
                <c:pt idx="271">
                  <c:v>-43.4</c:v>
                </c:pt>
                <c:pt idx="272">
                  <c:v>40.200000000000003</c:v>
                </c:pt>
                <c:pt idx="273">
                  <c:v>3.2</c:v>
                </c:pt>
                <c:pt idx="274">
                  <c:v>-45.5</c:v>
                </c:pt>
                <c:pt idx="275">
                  <c:v>17.5</c:v>
                </c:pt>
                <c:pt idx="276">
                  <c:v>28</c:v>
                </c:pt>
                <c:pt idx="277">
                  <c:v>-0.6</c:v>
                </c:pt>
                <c:pt idx="278">
                  <c:v>-38.5</c:v>
                </c:pt>
                <c:pt idx="279">
                  <c:v>39.1</c:v>
                </c:pt>
                <c:pt idx="280">
                  <c:v>26.4</c:v>
                </c:pt>
                <c:pt idx="281">
                  <c:v>-28.4</c:v>
                </c:pt>
                <c:pt idx="282">
                  <c:v>2</c:v>
                </c:pt>
                <c:pt idx="283">
                  <c:v>9.6999999999999993</c:v>
                </c:pt>
                <c:pt idx="284">
                  <c:v>-42.4</c:v>
                </c:pt>
                <c:pt idx="285">
                  <c:v>32.700000000000003</c:v>
                </c:pt>
                <c:pt idx="286">
                  <c:v>21.1</c:v>
                </c:pt>
                <c:pt idx="287">
                  <c:v>-35.700000000000003</c:v>
                </c:pt>
                <c:pt idx="288">
                  <c:v>14.6</c:v>
                </c:pt>
                <c:pt idx="289">
                  <c:v>-48.7</c:v>
                </c:pt>
                <c:pt idx="290">
                  <c:v>0.7</c:v>
                </c:pt>
                <c:pt idx="291">
                  <c:v>48</c:v>
                </c:pt>
                <c:pt idx="292">
                  <c:v>-16</c:v>
                </c:pt>
                <c:pt idx="293">
                  <c:v>12.2</c:v>
                </c:pt>
                <c:pt idx="294">
                  <c:v>3.8</c:v>
                </c:pt>
                <c:pt idx="295">
                  <c:v>43.1</c:v>
                </c:pt>
                <c:pt idx="296">
                  <c:v>-37.299999999999997</c:v>
                </c:pt>
                <c:pt idx="297">
                  <c:v>-5.8</c:v>
                </c:pt>
                <c:pt idx="298">
                  <c:v>-6</c:v>
                </c:pt>
                <c:pt idx="299">
                  <c:v>-51.9</c:v>
                </c:pt>
                <c:pt idx="300">
                  <c:v>57.9</c:v>
                </c:pt>
                <c:pt idx="301">
                  <c:v>-37.5</c:v>
                </c:pt>
                <c:pt idx="302">
                  <c:v>-12</c:v>
                </c:pt>
                <c:pt idx="303">
                  <c:v>49.5</c:v>
                </c:pt>
                <c:pt idx="304">
                  <c:v>-39.5</c:v>
                </c:pt>
                <c:pt idx="305">
                  <c:v>49</c:v>
                </c:pt>
                <c:pt idx="306">
                  <c:v>-9.5</c:v>
                </c:pt>
                <c:pt idx="307">
                  <c:v>11.1</c:v>
                </c:pt>
                <c:pt idx="308">
                  <c:v>-13.8</c:v>
                </c:pt>
                <c:pt idx="309">
                  <c:v>2.7</c:v>
                </c:pt>
                <c:pt idx="310">
                  <c:v>-2</c:v>
                </c:pt>
                <c:pt idx="311">
                  <c:v>41</c:v>
                </c:pt>
                <c:pt idx="312">
                  <c:v>-39</c:v>
                </c:pt>
                <c:pt idx="313">
                  <c:v>43.5</c:v>
                </c:pt>
                <c:pt idx="314">
                  <c:v>-3.4</c:v>
                </c:pt>
                <c:pt idx="315">
                  <c:v>-40.1</c:v>
                </c:pt>
                <c:pt idx="316">
                  <c:v>-5.6</c:v>
                </c:pt>
                <c:pt idx="317">
                  <c:v>71.599999999999994</c:v>
                </c:pt>
                <c:pt idx="318">
                  <c:v>-66</c:v>
                </c:pt>
                <c:pt idx="319">
                  <c:v>-7.4</c:v>
                </c:pt>
                <c:pt idx="320">
                  <c:v>31.5</c:v>
                </c:pt>
                <c:pt idx="321">
                  <c:v>-24.1</c:v>
                </c:pt>
                <c:pt idx="322">
                  <c:v>-38</c:v>
                </c:pt>
                <c:pt idx="323">
                  <c:v>35.4</c:v>
                </c:pt>
                <c:pt idx="324">
                  <c:v>2.6</c:v>
                </c:pt>
                <c:pt idx="325">
                  <c:v>-18.8</c:v>
                </c:pt>
                <c:pt idx="326">
                  <c:v>11.5</c:v>
                </c:pt>
                <c:pt idx="327">
                  <c:v>7.3</c:v>
                </c:pt>
                <c:pt idx="328">
                  <c:v>27</c:v>
                </c:pt>
                <c:pt idx="329">
                  <c:v>9.1</c:v>
                </c:pt>
                <c:pt idx="330">
                  <c:v>-36.1</c:v>
                </c:pt>
                <c:pt idx="331">
                  <c:v>44.6</c:v>
                </c:pt>
                <c:pt idx="332">
                  <c:v>-5.2</c:v>
                </c:pt>
                <c:pt idx="333">
                  <c:v>-39.4</c:v>
                </c:pt>
                <c:pt idx="334">
                  <c:v>7</c:v>
                </c:pt>
                <c:pt idx="335">
                  <c:v>33</c:v>
                </c:pt>
                <c:pt idx="336">
                  <c:v>-40</c:v>
                </c:pt>
                <c:pt idx="337">
                  <c:v>-11.3</c:v>
                </c:pt>
                <c:pt idx="338">
                  <c:v>5.2</c:v>
                </c:pt>
                <c:pt idx="339">
                  <c:v>6.1</c:v>
                </c:pt>
                <c:pt idx="340">
                  <c:v>-15.5</c:v>
                </c:pt>
                <c:pt idx="341">
                  <c:v>-35.5</c:v>
                </c:pt>
                <c:pt idx="342">
                  <c:v>51</c:v>
                </c:pt>
                <c:pt idx="343">
                  <c:v>-19.3</c:v>
                </c:pt>
                <c:pt idx="344">
                  <c:v>16.2</c:v>
                </c:pt>
                <c:pt idx="345">
                  <c:v>3.1</c:v>
                </c:pt>
                <c:pt idx="346">
                  <c:v>24</c:v>
                </c:pt>
                <c:pt idx="347">
                  <c:v>-5.9</c:v>
                </c:pt>
                <c:pt idx="348">
                  <c:v>-18.100000000000001</c:v>
                </c:pt>
                <c:pt idx="349">
                  <c:v>28.3</c:v>
                </c:pt>
                <c:pt idx="350">
                  <c:v>-20.2</c:v>
                </c:pt>
                <c:pt idx="351">
                  <c:v>-8.1</c:v>
                </c:pt>
                <c:pt idx="352">
                  <c:v>-31.5</c:v>
                </c:pt>
                <c:pt idx="353">
                  <c:v>50</c:v>
                </c:pt>
                <c:pt idx="354">
                  <c:v>-18.5</c:v>
                </c:pt>
                <c:pt idx="355">
                  <c:v>19.5</c:v>
                </c:pt>
                <c:pt idx="356">
                  <c:v>-12.1</c:v>
                </c:pt>
                <c:pt idx="357">
                  <c:v>-7.4</c:v>
                </c:pt>
                <c:pt idx="358">
                  <c:v>-5.4</c:v>
                </c:pt>
                <c:pt idx="359">
                  <c:v>15.8</c:v>
                </c:pt>
                <c:pt idx="360">
                  <c:v>-10.4</c:v>
                </c:pt>
                <c:pt idx="361">
                  <c:v>56</c:v>
                </c:pt>
                <c:pt idx="362">
                  <c:v>-18</c:v>
                </c:pt>
                <c:pt idx="363">
                  <c:v>-38</c:v>
                </c:pt>
                <c:pt idx="364">
                  <c:v>43</c:v>
                </c:pt>
                <c:pt idx="365">
                  <c:v>-41</c:v>
                </c:pt>
                <c:pt idx="366">
                  <c:v>-2</c:v>
                </c:pt>
                <c:pt idx="367">
                  <c:v>-14</c:v>
                </c:pt>
                <c:pt idx="368">
                  <c:v>-7.2</c:v>
                </c:pt>
                <c:pt idx="369">
                  <c:v>21.2</c:v>
                </c:pt>
                <c:pt idx="370">
                  <c:v>-48.4</c:v>
                </c:pt>
                <c:pt idx="371">
                  <c:v>33.4</c:v>
                </c:pt>
                <c:pt idx="372">
                  <c:v>15</c:v>
                </c:pt>
                <c:pt idx="373">
                  <c:v>44.9</c:v>
                </c:pt>
                <c:pt idx="374">
                  <c:v>-5.6</c:v>
                </c:pt>
                <c:pt idx="375">
                  <c:v>-39.299999999999997</c:v>
                </c:pt>
                <c:pt idx="376">
                  <c:v>17.100000000000001</c:v>
                </c:pt>
                <c:pt idx="377">
                  <c:v>-27</c:v>
                </c:pt>
                <c:pt idx="378">
                  <c:v>9.9</c:v>
                </c:pt>
                <c:pt idx="379">
                  <c:v>-38</c:v>
                </c:pt>
                <c:pt idx="380">
                  <c:v>5.2</c:v>
                </c:pt>
                <c:pt idx="381">
                  <c:v>32.799999999999997</c:v>
                </c:pt>
                <c:pt idx="382">
                  <c:v>16.5</c:v>
                </c:pt>
                <c:pt idx="383">
                  <c:v>-7.7</c:v>
                </c:pt>
                <c:pt idx="384">
                  <c:v>-8.8000000000000007</c:v>
                </c:pt>
                <c:pt idx="385">
                  <c:v>8.6999999999999993</c:v>
                </c:pt>
                <c:pt idx="386">
                  <c:v>11.6</c:v>
                </c:pt>
                <c:pt idx="387">
                  <c:v>-20.3</c:v>
                </c:pt>
                <c:pt idx="388">
                  <c:v>20.7</c:v>
                </c:pt>
                <c:pt idx="389">
                  <c:v>-43.5</c:v>
                </c:pt>
                <c:pt idx="390">
                  <c:v>22.8</c:v>
                </c:pt>
                <c:pt idx="391">
                  <c:v>15.3</c:v>
                </c:pt>
                <c:pt idx="392">
                  <c:v>-6.8</c:v>
                </c:pt>
                <c:pt idx="393">
                  <c:v>-8.5</c:v>
                </c:pt>
                <c:pt idx="394">
                  <c:v>11.6</c:v>
                </c:pt>
                <c:pt idx="395">
                  <c:v>19.600000000000001</c:v>
                </c:pt>
                <c:pt idx="396">
                  <c:v>-31.2</c:v>
                </c:pt>
                <c:pt idx="397">
                  <c:v>7.2</c:v>
                </c:pt>
                <c:pt idx="398">
                  <c:v>-20</c:v>
                </c:pt>
                <c:pt idx="399">
                  <c:v>11.8</c:v>
                </c:pt>
                <c:pt idx="400">
                  <c:v>24.5</c:v>
                </c:pt>
                <c:pt idx="401">
                  <c:v>-4.9000000000000004</c:v>
                </c:pt>
                <c:pt idx="402">
                  <c:v>-19.600000000000001</c:v>
                </c:pt>
                <c:pt idx="403">
                  <c:v>16.899999999999999</c:v>
                </c:pt>
                <c:pt idx="404">
                  <c:v>1.2</c:v>
                </c:pt>
                <c:pt idx="405">
                  <c:v>-18.100000000000001</c:v>
                </c:pt>
                <c:pt idx="406">
                  <c:v>-37.5</c:v>
                </c:pt>
                <c:pt idx="407">
                  <c:v>25.5</c:v>
                </c:pt>
                <c:pt idx="408">
                  <c:v>12</c:v>
                </c:pt>
                <c:pt idx="409">
                  <c:v>38.5</c:v>
                </c:pt>
                <c:pt idx="410">
                  <c:v>-38</c:v>
                </c:pt>
                <c:pt idx="411">
                  <c:v>-0.5</c:v>
                </c:pt>
                <c:pt idx="412">
                  <c:v>-46.5</c:v>
                </c:pt>
                <c:pt idx="413">
                  <c:v>4.5</c:v>
                </c:pt>
                <c:pt idx="414">
                  <c:v>42</c:v>
                </c:pt>
                <c:pt idx="415">
                  <c:v>13.2</c:v>
                </c:pt>
                <c:pt idx="416">
                  <c:v>-7.4</c:v>
                </c:pt>
                <c:pt idx="417">
                  <c:v>-5.8</c:v>
                </c:pt>
                <c:pt idx="418">
                  <c:v>-19.5</c:v>
                </c:pt>
                <c:pt idx="419">
                  <c:v>17.8</c:v>
                </c:pt>
                <c:pt idx="420">
                  <c:v>1.7</c:v>
                </c:pt>
                <c:pt idx="421">
                  <c:v>41.4</c:v>
                </c:pt>
                <c:pt idx="422">
                  <c:v>-26.4</c:v>
                </c:pt>
                <c:pt idx="423">
                  <c:v>-15</c:v>
                </c:pt>
                <c:pt idx="424">
                  <c:v>27.1</c:v>
                </c:pt>
                <c:pt idx="425">
                  <c:v>-50.6</c:v>
                </c:pt>
                <c:pt idx="426">
                  <c:v>23.5</c:v>
                </c:pt>
                <c:pt idx="427">
                  <c:v>8.5</c:v>
                </c:pt>
                <c:pt idx="428">
                  <c:v>25.7</c:v>
                </c:pt>
                <c:pt idx="429">
                  <c:v>-34.200000000000003</c:v>
                </c:pt>
                <c:pt idx="430">
                  <c:v>4.8</c:v>
                </c:pt>
                <c:pt idx="431">
                  <c:v>-16.8</c:v>
                </c:pt>
                <c:pt idx="432">
                  <c:v>12</c:v>
                </c:pt>
                <c:pt idx="433">
                  <c:v>43.3</c:v>
                </c:pt>
                <c:pt idx="434">
                  <c:v>-7.8</c:v>
                </c:pt>
                <c:pt idx="435">
                  <c:v>-35.5</c:v>
                </c:pt>
                <c:pt idx="436">
                  <c:v>26</c:v>
                </c:pt>
                <c:pt idx="437">
                  <c:v>-5.3</c:v>
                </c:pt>
                <c:pt idx="438">
                  <c:v>-20.7</c:v>
                </c:pt>
                <c:pt idx="439">
                  <c:v>11</c:v>
                </c:pt>
                <c:pt idx="440">
                  <c:v>-32.799999999999997</c:v>
                </c:pt>
                <c:pt idx="441">
                  <c:v>21.8</c:v>
                </c:pt>
                <c:pt idx="442">
                  <c:v>41</c:v>
                </c:pt>
                <c:pt idx="443">
                  <c:v>-45.5</c:v>
                </c:pt>
                <c:pt idx="444">
                  <c:v>4.5</c:v>
                </c:pt>
                <c:pt idx="445">
                  <c:v>25</c:v>
                </c:pt>
                <c:pt idx="446">
                  <c:v>-35.5</c:v>
                </c:pt>
                <c:pt idx="447">
                  <c:v>10.5</c:v>
                </c:pt>
                <c:pt idx="448">
                  <c:v>-19.8</c:v>
                </c:pt>
                <c:pt idx="449">
                  <c:v>-10</c:v>
                </c:pt>
                <c:pt idx="450">
                  <c:v>29.8</c:v>
                </c:pt>
                <c:pt idx="451">
                  <c:v>37.6</c:v>
                </c:pt>
                <c:pt idx="452">
                  <c:v>-1.1000000000000001</c:v>
                </c:pt>
                <c:pt idx="453">
                  <c:v>-36.5</c:v>
                </c:pt>
                <c:pt idx="454">
                  <c:v>7.8</c:v>
                </c:pt>
                <c:pt idx="455">
                  <c:v>-37.200000000000003</c:v>
                </c:pt>
                <c:pt idx="456">
                  <c:v>29.4</c:v>
                </c:pt>
                <c:pt idx="457">
                  <c:v>68.099999999999994</c:v>
                </c:pt>
                <c:pt idx="458">
                  <c:v>-41.3</c:v>
                </c:pt>
                <c:pt idx="459">
                  <c:v>-26.8</c:v>
                </c:pt>
                <c:pt idx="460">
                  <c:v>-2</c:v>
                </c:pt>
                <c:pt idx="461">
                  <c:v>-16.399999999999999</c:v>
                </c:pt>
                <c:pt idx="462">
                  <c:v>18.399999999999999</c:v>
                </c:pt>
                <c:pt idx="463">
                  <c:v>5.2</c:v>
                </c:pt>
                <c:pt idx="464">
                  <c:v>-31.7</c:v>
                </c:pt>
                <c:pt idx="465">
                  <c:v>26.5</c:v>
                </c:pt>
                <c:pt idx="466">
                  <c:v>16.2</c:v>
                </c:pt>
                <c:pt idx="467">
                  <c:v>-4.9000000000000004</c:v>
                </c:pt>
                <c:pt idx="468">
                  <c:v>-11.3</c:v>
                </c:pt>
                <c:pt idx="469">
                  <c:v>24.2</c:v>
                </c:pt>
                <c:pt idx="470">
                  <c:v>-14.9</c:v>
                </c:pt>
                <c:pt idx="471">
                  <c:v>-9.3000000000000007</c:v>
                </c:pt>
                <c:pt idx="472">
                  <c:v>20.6</c:v>
                </c:pt>
                <c:pt idx="473">
                  <c:v>-45.7</c:v>
                </c:pt>
                <c:pt idx="474">
                  <c:v>25.1</c:v>
                </c:pt>
                <c:pt idx="475">
                  <c:v>7.3</c:v>
                </c:pt>
                <c:pt idx="476">
                  <c:v>26.2</c:v>
                </c:pt>
                <c:pt idx="477">
                  <c:v>-33.5</c:v>
                </c:pt>
                <c:pt idx="478">
                  <c:v>4.8</c:v>
                </c:pt>
                <c:pt idx="479">
                  <c:v>32.700000000000003</c:v>
                </c:pt>
                <c:pt idx="480">
                  <c:v>-37.5</c:v>
                </c:pt>
                <c:pt idx="481">
                  <c:v>4.0999999999999996</c:v>
                </c:pt>
                <c:pt idx="482">
                  <c:v>5.3</c:v>
                </c:pt>
                <c:pt idx="483">
                  <c:v>-9.4</c:v>
                </c:pt>
                <c:pt idx="484">
                  <c:v>-12</c:v>
                </c:pt>
                <c:pt idx="485">
                  <c:v>10.5</c:v>
                </c:pt>
                <c:pt idx="486">
                  <c:v>0.5</c:v>
                </c:pt>
                <c:pt idx="487">
                  <c:v>12.5</c:v>
                </c:pt>
                <c:pt idx="488">
                  <c:v>-12.1</c:v>
                </c:pt>
                <c:pt idx="489">
                  <c:v>-0.4</c:v>
                </c:pt>
                <c:pt idx="490">
                  <c:v>-12.9</c:v>
                </c:pt>
                <c:pt idx="491">
                  <c:v>-5.2</c:v>
                </c:pt>
                <c:pt idx="492">
                  <c:v>18.100000000000001</c:v>
                </c:pt>
                <c:pt idx="493">
                  <c:v>15.6</c:v>
                </c:pt>
                <c:pt idx="494">
                  <c:v>-38.4</c:v>
                </c:pt>
                <c:pt idx="495">
                  <c:v>22.8</c:v>
                </c:pt>
                <c:pt idx="496">
                  <c:v>15.6</c:v>
                </c:pt>
                <c:pt idx="497">
                  <c:v>-12.8</c:v>
                </c:pt>
                <c:pt idx="498">
                  <c:v>-2.8</c:v>
                </c:pt>
                <c:pt idx="499">
                  <c:v>-36</c:v>
                </c:pt>
                <c:pt idx="500">
                  <c:v>36</c:v>
                </c:pt>
                <c:pt idx="501">
                  <c:v>0</c:v>
                </c:pt>
                <c:pt idx="502">
                  <c:v>-29.6</c:v>
                </c:pt>
                <c:pt idx="503">
                  <c:v>-49.1</c:v>
                </c:pt>
                <c:pt idx="504">
                  <c:v>78.7</c:v>
                </c:pt>
                <c:pt idx="505">
                  <c:v>6.8</c:v>
                </c:pt>
                <c:pt idx="506">
                  <c:v>-2.6</c:v>
                </c:pt>
                <c:pt idx="507">
                  <c:v>-4.2</c:v>
                </c:pt>
                <c:pt idx="508">
                  <c:v>-14</c:v>
                </c:pt>
                <c:pt idx="509">
                  <c:v>-12.5</c:v>
                </c:pt>
                <c:pt idx="510">
                  <c:v>26.5</c:v>
                </c:pt>
                <c:pt idx="511">
                  <c:v>-10</c:v>
                </c:pt>
                <c:pt idx="512">
                  <c:v>60.5</c:v>
                </c:pt>
                <c:pt idx="513">
                  <c:v>-50.5</c:v>
                </c:pt>
                <c:pt idx="514">
                  <c:v>44.6</c:v>
                </c:pt>
                <c:pt idx="515">
                  <c:v>-29.5</c:v>
                </c:pt>
                <c:pt idx="516">
                  <c:v>-15.1</c:v>
                </c:pt>
                <c:pt idx="517">
                  <c:v>-4.7</c:v>
                </c:pt>
                <c:pt idx="518">
                  <c:v>18.600000000000001</c:v>
                </c:pt>
                <c:pt idx="519">
                  <c:v>-13.9</c:v>
                </c:pt>
                <c:pt idx="520">
                  <c:v>12.5</c:v>
                </c:pt>
                <c:pt idx="521">
                  <c:v>-14.2</c:v>
                </c:pt>
                <c:pt idx="522">
                  <c:v>1.7</c:v>
                </c:pt>
                <c:pt idx="523">
                  <c:v>14.4</c:v>
                </c:pt>
                <c:pt idx="524">
                  <c:v>12.3</c:v>
                </c:pt>
                <c:pt idx="525">
                  <c:v>-26.7</c:v>
                </c:pt>
                <c:pt idx="526">
                  <c:v>-14</c:v>
                </c:pt>
                <c:pt idx="527">
                  <c:v>-60.3</c:v>
                </c:pt>
                <c:pt idx="528">
                  <c:v>74.3</c:v>
                </c:pt>
                <c:pt idx="529">
                  <c:v>7.1</c:v>
                </c:pt>
                <c:pt idx="530">
                  <c:v>-8</c:v>
                </c:pt>
                <c:pt idx="531">
                  <c:v>0.9</c:v>
                </c:pt>
                <c:pt idx="532">
                  <c:v>19.7</c:v>
                </c:pt>
                <c:pt idx="533">
                  <c:v>-15.9</c:v>
                </c:pt>
                <c:pt idx="534">
                  <c:v>-3.8</c:v>
                </c:pt>
                <c:pt idx="535">
                  <c:v>23.8</c:v>
                </c:pt>
                <c:pt idx="536">
                  <c:v>1.7</c:v>
                </c:pt>
                <c:pt idx="537">
                  <c:v>-25.5</c:v>
                </c:pt>
                <c:pt idx="538">
                  <c:v>3.5</c:v>
                </c:pt>
                <c:pt idx="539">
                  <c:v>-9.5</c:v>
                </c:pt>
                <c:pt idx="540">
                  <c:v>6</c:v>
                </c:pt>
                <c:pt idx="541">
                  <c:v>-4.8</c:v>
                </c:pt>
                <c:pt idx="542">
                  <c:v>25.8</c:v>
                </c:pt>
                <c:pt idx="543">
                  <c:v>-21</c:v>
                </c:pt>
                <c:pt idx="544">
                  <c:v>32.5</c:v>
                </c:pt>
                <c:pt idx="545">
                  <c:v>-20.6</c:v>
                </c:pt>
                <c:pt idx="546">
                  <c:v>-11.9</c:v>
                </c:pt>
                <c:pt idx="547">
                  <c:v>17.100000000000001</c:v>
                </c:pt>
                <c:pt idx="548">
                  <c:v>0.4</c:v>
                </c:pt>
                <c:pt idx="549">
                  <c:v>-17.5</c:v>
                </c:pt>
                <c:pt idx="550">
                  <c:v>12.3</c:v>
                </c:pt>
                <c:pt idx="551">
                  <c:v>10.8</c:v>
                </c:pt>
                <c:pt idx="552">
                  <c:v>-23.1</c:v>
                </c:pt>
                <c:pt idx="553">
                  <c:v>24.3</c:v>
                </c:pt>
                <c:pt idx="554">
                  <c:v>-12.9</c:v>
                </c:pt>
                <c:pt idx="555">
                  <c:v>-11.4</c:v>
                </c:pt>
                <c:pt idx="556">
                  <c:v>-12.2</c:v>
                </c:pt>
                <c:pt idx="557">
                  <c:v>4.9000000000000004</c:v>
                </c:pt>
                <c:pt idx="558">
                  <c:v>7.3</c:v>
                </c:pt>
                <c:pt idx="559">
                  <c:v>-2</c:v>
                </c:pt>
                <c:pt idx="560">
                  <c:v>6.6</c:v>
                </c:pt>
                <c:pt idx="561">
                  <c:v>-4.5999999999999996</c:v>
                </c:pt>
                <c:pt idx="562">
                  <c:v>-40.6</c:v>
                </c:pt>
                <c:pt idx="563">
                  <c:v>-35.9</c:v>
                </c:pt>
                <c:pt idx="564">
                  <c:v>76.5</c:v>
                </c:pt>
                <c:pt idx="565">
                  <c:v>21.7</c:v>
                </c:pt>
                <c:pt idx="566">
                  <c:v>14.1</c:v>
                </c:pt>
                <c:pt idx="567">
                  <c:v>-35.799999999999997</c:v>
                </c:pt>
                <c:pt idx="568">
                  <c:v>40.700000000000003</c:v>
                </c:pt>
                <c:pt idx="569">
                  <c:v>-38.5</c:v>
                </c:pt>
                <c:pt idx="570">
                  <c:v>-2.2000000000000002</c:v>
                </c:pt>
                <c:pt idx="571">
                  <c:v>8</c:v>
                </c:pt>
                <c:pt idx="572">
                  <c:v>8.9</c:v>
                </c:pt>
                <c:pt idx="573">
                  <c:v>-16.899999999999999</c:v>
                </c:pt>
                <c:pt idx="574">
                  <c:v>7.7</c:v>
                </c:pt>
                <c:pt idx="575">
                  <c:v>29.7</c:v>
                </c:pt>
                <c:pt idx="576">
                  <c:v>-37.4</c:v>
                </c:pt>
                <c:pt idx="577">
                  <c:v>-69</c:v>
                </c:pt>
                <c:pt idx="578">
                  <c:v>-20.7</c:v>
                </c:pt>
                <c:pt idx="579">
                  <c:v>89.7</c:v>
                </c:pt>
                <c:pt idx="580">
                  <c:v>-3</c:v>
                </c:pt>
                <c:pt idx="581">
                  <c:v>-28.2</c:v>
                </c:pt>
                <c:pt idx="582">
                  <c:v>31.2</c:v>
                </c:pt>
                <c:pt idx="583">
                  <c:v>-2.6</c:v>
                </c:pt>
                <c:pt idx="584">
                  <c:v>-37.6</c:v>
                </c:pt>
                <c:pt idx="585">
                  <c:v>40.200000000000003</c:v>
                </c:pt>
                <c:pt idx="586">
                  <c:v>59</c:v>
                </c:pt>
                <c:pt idx="587">
                  <c:v>-38</c:v>
                </c:pt>
                <c:pt idx="588">
                  <c:v>-21</c:v>
                </c:pt>
                <c:pt idx="589">
                  <c:v>0</c:v>
                </c:pt>
                <c:pt idx="590">
                  <c:v>36</c:v>
                </c:pt>
                <c:pt idx="591">
                  <c:v>-36</c:v>
                </c:pt>
                <c:pt idx="592">
                  <c:v>-20.5</c:v>
                </c:pt>
                <c:pt idx="593">
                  <c:v>29.9</c:v>
                </c:pt>
                <c:pt idx="594">
                  <c:v>-9.4</c:v>
                </c:pt>
                <c:pt idx="595">
                  <c:v>14.5</c:v>
                </c:pt>
                <c:pt idx="596">
                  <c:v>8.9</c:v>
                </c:pt>
                <c:pt idx="597">
                  <c:v>-23.4</c:v>
                </c:pt>
                <c:pt idx="598">
                  <c:v>15.9</c:v>
                </c:pt>
                <c:pt idx="599">
                  <c:v>23.5</c:v>
                </c:pt>
                <c:pt idx="600">
                  <c:v>-39.4</c:v>
                </c:pt>
                <c:pt idx="601">
                  <c:v>-3.4</c:v>
                </c:pt>
                <c:pt idx="602">
                  <c:v>-14.5</c:v>
                </c:pt>
                <c:pt idx="603">
                  <c:v>17.899999999999999</c:v>
                </c:pt>
                <c:pt idx="604">
                  <c:v>4.4000000000000004</c:v>
                </c:pt>
                <c:pt idx="605">
                  <c:v>-5.8</c:v>
                </c:pt>
                <c:pt idx="606">
                  <c:v>1.4</c:v>
                </c:pt>
                <c:pt idx="607">
                  <c:v>39.5</c:v>
                </c:pt>
                <c:pt idx="608">
                  <c:v>-36.700000000000003</c:v>
                </c:pt>
                <c:pt idx="609">
                  <c:v>-2.8</c:v>
                </c:pt>
                <c:pt idx="610">
                  <c:v>61</c:v>
                </c:pt>
                <c:pt idx="611">
                  <c:v>-47.5</c:v>
                </c:pt>
                <c:pt idx="612">
                  <c:v>-13.5</c:v>
                </c:pt>
                <c:pt idx="613">
                  <c:v>11.7</c:v>
                </c:pt>
                <c:pt idx="614">
                  <c:v>-23.5</c:v>
                </c:pt>
                <c:pt idx="615">
                  <c:v>11.8</c:v>
                </c:pt>
                <c:pt idx="616">
                  <c:v>16.100000000000001</c:v>
                </c:pt>
                <c:pt idx="617">
                  <c:v>-1</c:v>
                </c:pt>
                <c:pt idx="618">
                  <c:v>-15.1</c:v>
                </c:pt>
                <c:pt idx="619">
                  <c:v>57.5</c:v>
                </c:pt>
                <c:pt idx="620">
                  <c:v>-45.8</c:v>
                </c:pt>
                <c:pt idx="621">
                  <c:v>-11.7</c:v>
                </c:pt>
                <c:pt idx="622">
                  <c:v>-12.5</c:v>
                </c:pt>
                <c:pt idx="623">
                  <c:v>-43.9</c:v>
                </c:pt>
                <c:pt idx="624">
                  <c:v>56.4</c:v>
                </c:pt>
                <c:pt idx="625">
                  <c:v>-42</c:v>
                </c:pt>
                <c:pt idx="626">
                  <c:v>-3</c:v>
                </c:pt>
                <c:pt idx="627">
                  <c:v>45</c:v>
                </c:pt>
                <c:pt idx="628">
                  <c:v>10.7</c:v>
                </c:pt>
                <c:pt idx="629">
                  <c:v>-4</c:v>
                </c:pt>
                <c:pt idx="630">
                  <c:v>-6.7</c:v>
                </c:pt>
                <c:pt idx="631">
                  <c:v>31.1</c:v>
                </c:pt>
                <c:pt idx="632">
                  <c:v>-30.4</c:v>
                </c:pt>
                <c:pt idx="633">
                  <c:v>-0.7</c:v>
                </c:pt>
                <c:pt idx="634">
                  <c:v>10.199999999999999</c:v>
                </c:pt>
                <c:pt idx="635">
                  <c:v>-20.3</c:v>
                </c:pt>
                <c:pt idx="636">
                  <c:v>10.1</c:v>
                </c:pt>
                <c:pt idx="637">
                  <c:v>8.3000000000000007</c:v>
                </c:pt>
                <c:pt idx="638">
                  <c:v>27.5</c:v>
                </c:pt>
                <c:pt idx="639">
                  <c:v>-35.799999999999997</c:v>
                </c:pt>
                <c:pt idx="640">
                  <c:v>-1.9</c:v>
                </c:pt>
                <c:pt idx="641">
                  <c:v>5.7</c:v>
                </c:pt>
                <c:pt idx="642">
                  <c:v>-3.8</c:v>
                </c:pt>
                <c:pt idx="643">
                  <c:v>0.5</c:v>
                </c:pt>
                <c:pt idx="644">
                  <c:v>13.2</c:v>
                </c:pt>
                <c:pt idx="645">
                  <c:v>-13.7</c:v>
                </c:pt>
                <c:pt idx="646">
                  <c:v>48</c:v>
                </c:pt>
                <c:pt idx="647">
                  <c:v>-7</c:v>
                </c:pt>
                <c:pt idx="648">
                  <c:v>-41</c:v>
                </c:pt>
                <c:pt idx="649">
                  <c:v>22.8</c:v>
                </c:pt>
                <c:pt idx="650">
                  <c:v>20.3</c:v>
                </c:pt>
                <c:pt idx="651">
                  <c:v>-43.1</c:v>
                </c:pt>
                <c:pt idx="652">
                  <c:v>6</c:v>
                </c:pt>
                <c:pt idx="653">
                  <c:v>-6</c:v>
                </c:pt>
                <c:pt idx="654">
                  <c:v>0</c:v>
                </c:pt>
                <c:pt idx="655">
                  <c:v>-17</c:v>
                </c:pt>
                <c:pt idx="656">
                  <c:v>20.7</c:v>
                </c:pt>
                <c:pt idx="657">
                  <c:v>-3.7</c:v>
                </c:pt>
                <c:pt idx="658">
                  <c:v>-26.2</c:v>
                </c:pt>
                <c:pt idx="659">
                  <c:v>62.7</c:v>
                </c:pt>
                <c:pt idx="660">
                  <c:v>-36.5</c:v>
                </c:pt>
                <c:pt idx="661">
                  <c:v>-18.899999999999999</c:v>
                </c:pt>
                <c:pt idx="662">
                  <c:v>6.6</c:v>
                </c:pt>
                <c:pt idx="663">
                  <c:v>12.3</c:v>
                </c:pt>
                <c:pt idx="664">
                  <c:v>36</c:v>
                </c:pt>
                <c:pt idx="665">
                  <c:v>-20.5</c:v>
                </c:pt>
                <c:pt idx="666">
                  <c:v>-15.5</c:v>
                </c:pt>
                <c:pt idx="667">
                  <c:v>36.700000000000003</c:v>
                </c:pt>
                <c:pt idx="668">
                  <c:v>-37</c:v>
                </c:pt>
                <c:pt idx="669">
                  <c:v>0.3</c:v>
                </c:pt>
                <c:pt idx="670">
                  <c:v>12.4</c:v>
                </c:pt>
                <c:pt idx="671">
                  <c:v>-16.600000000000001</c:v>
                </c:pt>
                <c:pt idx="672">
                  <c:v>4.2</c:v>
                </c:pt>
                <c:pt idx="673">
                  <c:v>14</c:v>
                </c:pt>
                <c:pt idx="674">
                  <c:v>27.4</c:v>
                </c:pt>
                <c:pt idx="675">
                  <c:v>-41.4</c:v>
                </c:pt>
                <c:pt idx="676">
                  <c:v>6.8</c:v>
                </c:pt>
                <c:pt idx="677">
                  <c:v>27.7</c:v>
                </c:pt>
                <c:pt idx="678">
                  <c:v>-34.5</c:v>
                </c:pt>
                <c:pt idx="679">
                  <c:v>-7.6</c:v>
                </c:pt>
                <c:pt idx="680">
                  <c:v>-2</c:v>
                </c:pt>
                <c:pt idx="681">
                  <c:v>9.6</c:v>
                </c:pt>
                <c:pt idx="682">
                  <c:v>26.2</c:v>
                </c:pt>
                <c:pt idx="683">
                  <c:v>-28.4</c:v>
                </c:pt>
                <c:pt idx="684">
                  <c:v>2.2000000000000002</c:v>
                </c:pt>
                <c:pt idx="685">
                  <c:v>13.7</c:v>
                </c:pt>
                <c:pt idx="686">
                  <c:v>-13.8</c:v>
                </c:pt>
                <c:pt idx="687">
                  <c:v>0.1</c:v>
                </c:pt>
                <c:pt idx="688">
                  <c:v>0.3</c:v>
                </c:pt>
                <c:pt idx="689">
                  <c:v>-16.899999999999999</c:v>
                </c:pt>
                <c:pt idx="690">
                  <c:v>16.600000000000001</c:v>
                </c:pt>
                <c:pt idx="691">
                  <c:v>-5.4</c:v>
                </c:pt>
                <c:pt idx="692">
                  <c:v>-25.4</c:v>
                </c:pt>
                <c:pt idx="693">
                  <c:v>30.8</c:v>
                </c:pt>
                <c:pt idx="694">
                  <c:v>-43.2</c:v>
                </c:pt>
                <c:pt idx="695">
                  <c:v>-20.5</c:v>
                </c:pt>
                <c:pt idx="696">
                  <c:v>63.7</c:v>
                </c:pt>
                <c:pt idx="697">
                  <c:v>18.2</c:v>
                </c:pt>
                <c:pt idx="698">
                  <c:v>-30.7</c:v>
                </c:pt>
                <c:pt idx="699">
                  <c:v>12.5</c:v>
                </c:pt>
                <c:pt idx="700">
                  <c:v>22.8</c:v>
                </c:pt>
                <c:pt idx="701">
                  <c:v>-40</c:v>
                </c:pt>
                <c:pt idx="702">
                  <c:v>17.2</c:v>
                </c:pt>
                <c:pt idx="703">
                  <c:v>8.1</c:v>
                </c:pt>
                <c:pt idx="704">
                  <c:v>22.5</c:v>
                </c:pt>
                <c:pt idx="705">
                  <c:v>-30.6</c:v>
                </c:pt>
                <c:pt idx="706">
                  <c:v>5</c:v>
                </c:pt>
                <c:pt idx="707">
                  <c:v>-28.8</c:v>
                </c:pt>
                <c:pt idx="708">
                  <c:v>23.8</c:v>
                </c:pt>
                <c:pt idx="709">
                  <c:v>-39</c:v>
                </c:pt>
                <c:pt idx="710">
                  <c:v>15.5</c:v>
                </c:pt>
                <c:pt idx="711">
                  <c:v>23.5</c:v>
                </c:pt>
                <c:pt idx="712">
                  <c:v>7.5</c:v>
                </c:pt>
                <c:pt idx="713">
                  <c:v>43</c:v>
                </c:pt>
                <c:pt idx="714">
                  <c:v>-50.5</c:v>
                </c:pt>
                <c:pt idx="715">
                  <c:v>17.8</c:v>
                </c:pt>
                <c:pt idx="716">
                  <c:v>-19.600000000000001</c:v>
                </c:pt>
                <c:pt idx="717">
                  <c:v>1.8</c:v>
                </c:pt>
                <c:pt idx="718">
                  <c:v>8.1999999999999993</c:v>
                </c:pt>
                <c:pt idx="719">
                  <c:v>-21.8</c:v>
                </c:pt>
                <c:pt idx="720">
                  <c:v>13.6</c:v>
                </c:pt>
                <c:pt idx="721">
                  <c:v>13</c:v>
                </c:pt>
                <c:pt idx="722">
                  <c:v>2.1</c:v>
                </c:pt>
                <c:pt idx="723">
                  <c:v>-15.1</c:v>
                </c:pt>
                <c:pt idx="724">
                  <c:v>-39.1</c:v>
                </c:pt>
                <c:pt idx="725">
                  <c:v>-12.2</c:v>
                </c:pt>
                <c:pt idx="726">
                  <c:v>51.3</c:v>
                </c:pt>
                <c:pt idx="727">
                  <c:v>36.9</c:v>
                </c:pt>
                <c:pt idx="728">
                  <c:v>-11.8</c:v>
                </c:pt>
                <c:pt idx="729">
                  <c:v>-25.1</c:v>
                </c:pt>
                <c:pt idx="730">
                  <c:v>11</c:v>
                </c:pt>
                <c:pt idx="731">
                  <c:v>-11.5</c:v>
                </c:pt>
                <c:pt idx="732">
                  <c:v>0.5</c:v>
                </c:pt>
                <c:pt idx="733">
                  <c:v>-37</c:v>
                </c:pt>
                <c:pt idx="734">
                  <c:v>4</c:v>
                </c:pt>
                <c:pt idx="735">
                  <c:v>33</c:v>
                </c:pt>
                <c:pt idx="736">
                  <c:v>10.3</c:v>
                </c:pt>
                <c:pt idx="737">
                  <c:v>-0.3</c:v>
                </c:pt>
                <c:pt idx="738">
                  <c:v>-10</c:v>
                </c:pt>
                <c:pt idx="739">
                  <c:v>10.1</c:v>
                </c:pt>
                <c:pt idx="740">
                  <c:v>24.1</c:v>
                </c:pt>
                <c:pt idx="741">
                  <c:v>-34.200000000000003</c:v>
                </c:pt>
                <c:pt idx="742">
                  <c:v>21.7</c:v>
                </c:pt>
                <c:pt idx="743">
                  <c:v>24.5</c:v>
                </c:pt>
                <c:pt idx="744">
                  <c:v>-46.2</c:v>
                </c:pt>
                <c:pt idx="745">
                  <c:v>-40.4</c:v>
                </c:pt>
                <c:pt idx="746">
                  <c:v>41.3</c:v>
                </c:pt>
                <c:pt idx="747">
                  <c:v>-0.9</c:v>
                </c:pt>
                <c:pt idx="748">
                  <c:v>5.6</c:v>
                </c:pt>
                <c:pt idx="749">
                  <c:v>11.4</c:v>
                </c:pt>
                <c:pt idx="750">
                  <c:v>-17</c:v>
                </c:pt>
                <c:pt idx="751">
                  <c:v>-49</c:v>
                </c:pt>
                <c:pt idx="752">
                  <c:v>16.5</c:v>
                </c:pt>
                <c:pt idx="753">
                  <c:v>32.5</c:v>
                </c:pt>
                <c:pt idx="754">
                  <c:v>52.1</c:v>
                </c:pt>
                <c:pt idx="755">
                  <c:v>-15.4</c:v>
                </c:pt>
                <c:pt idx="756">
                  <c:v>-36.700000000000003</c:v>
                </c:pt>
                <c:pt idx="757">
                  <c:v>4.5</c:v>
                </c:pt>
                <c:pt idx="758">
                  <c:v>42.5</c:v>
                </c:pt>
                <c:pt idx="759">
                  <c:v>-47</c:v>
                </c:pt>
                <c:pt idx="760">
                  <c:v>-15</c:v>
                </c:pt>
                <c:pt idx="761">
                  <c:v>-43.2</c:v>
                </c:pt>
                <c:pt idx="762">
                  <c:v>58.2</c:v>
                </c:pt>
                <c:pt idx="763">
                  <c:v>7.8</c:v>
                </c:pt>
                <c:pt idx="764">
                  <c:v>9</c:v>
                </c:pt>
                <c:pt idx="765">
                  <c:v>-16.8</c:v>
                </c:pt>
                <c:pt idx="766">
                  <c:v>18.600000000000001</c:v>
                </c:pt>
                <c:pt idx="767">
                  <c:v>-2</c:v>
                </c:pt>
                <c:pt idx="768">
                  <c:v>-16.600000000000001</c:v>
                </c:pt>
                <c:pt idx="769">
                  <c:v>6.2</c:v>
                </c:pt>
                <c:pt idx="770">
                  <c:v>4.5</c:v>
                </c:pt>
                <c:pt idx="771">
                  <c:v>-10.7</c:v>
                </c:pt>
                <c:pt idx="772">
                  <c:v>12.6</c:v>
                </c:pt>
                <c:pt idx="773">
                  <c:v>0.8</c:v>
                </c:pt>
                <c:pt idx="774">
                  <c:v>-13.4</c:v>
                </c:pt>
                <c:pt idx="775">
                  <c:v>4</c:v>
                </c:pt>
                <c:pt idx="776">
                  <c:v>-37.299999999999997</c:v>
                </c:pt>
                <c:pt idx="777">
                  <c:v>33.299999999999997</c:v>
                </c:pt>
                <c:pt idx="778">
                  <c:v>35</c:v>
                </c:pt>
                <c:pt idx="779">
                  <c:v>-35.5</c:v>
                </c:pt>
                <c:pt idx="780">
                  <c:v>0.5</c:v>
                </c:pt>
                <c:pt idx="781">
                  <c:v>13.4</c:v>
                </c:pt>
                <c:pt idx="782">
                  <c:v>9</c:v>
                </c:pt>
                <c:pt idx="783">
                  <c:v>-22.4</c:v>
                </c:pt>
                <c:pt idx="784">
                  <c:v>6.1</c:v>
                </c:pt>
                <c:pt idx="785">
                  <c:v>-5.3</c:v>
                </c:pt>
                <c:pt idx="786">
                  <c:v>-0.8</c:v>
                </c:pt>
                <c:pt idx="787">
                  <c:v>66.7</c:v>
                </c:pt>
                <c:pt idx="788">
                  <c:v>-58.9</c:v>
                </c:pt>
                <c:pt idx="789">
                  <c:v>-7.8</c:v>
                </c:pt>
                <c:pt idx="790">
                  <c:v>-38.1</c:v>
                </c:pt>
                <c:pt idx="791">
                  <c:v>40.700000000000003</c:v>
                </c:pt>
                <c:pt idx="792">
                  <c:v>-2.6</c:v>
                </c:pt>
                <c:pt idx="793">
                  <c:v>23</c:v>
                </c:pt>
                <c:pt idx="794">
                  <c:v>-8.5</c:v>
                </c:pt>
                <c:pt idx="795">
                  <c:v>-14.5</c:v>
                </c:pt>
                <c:pt idx="796">
                  <c:v>9.5</c:v>
                </c:pt>
                <c:pt idx="797">
                  <c:v>-11.3</c:v>
                </c:pt>
                <c:pt idx="798">
                  <c:v>1.8</c:v>
                </c:pt>
                <c:pt idx="799">
                  <c:v>5</c:v>
                </c:pt>
                <c:pt idx="800">
                  <c:v>0.7</c:v>
                </c:pt>
                <c:pt idx="801">
                  <c:v>-5.7</c:v>
                </c:pt>
                <c:pt idx="802">
                  <c:v>7.8</c:v>
                </c:pt>
                <c:pt idx="803">
                  <c:v>-39.5</c:v>
                </c:pt>
                <c:pt idx="804">
                  <c:v>31.7</c:v>
                </c:pt>
                <c:pt idx="805">
                  <c:v>42.3</c:v>
                </c:pt>
                <c:pt idx="806">
                  <c:v>-45.3</c:v>
                </c:pt>
                <c:pt idx="807">
                  <c:v>3</c:v>
                </c:pt>
                <c:pt idx="808">
                  <c:v>40.700000000000003</c:v>
                </c:pt>
                <c:pt idx="809">
                  <c:v>-27.7</c:v>
                </c:pt>
                <c:pt idx="810">
                  <c:v>-13</c:v>
                </c:pt>
                <c:pt idx="811">
                  <c:v>0.1</c:v>
                </c:pt>
                <c:pt idx="812">
                  <c:v>8.5</c:v>
                </c:pt>
                <c:pt idx="813">
                  <c:v>-8.6</c:v>
                </c:pt>
                <c:pt idx="814">
                  <c:v>12.2</c:v>
                </c:pt>
                <c:pt idx="815">
                  <c:v>4.7</c:v>
                </c:pt>
                <c:pt idx="816">
                  <c:v>-16.899999999999999</c:v>
                </c:pt>
                <c:pt idx="817">
                  <c:v>9.5</c:v>
                </c:pt>
                <c:pt idx="818">
                  <c:v>-10.6</c:v>
                </c:pt>
                <c:pt idx="819">
                  <c:v>1.1000000000000001</c:v>
                </c:pt>
                <c:pt idx="820">
                  <c:v>27.2</c:v>
                </c:pt>
                <c:pt idx="821">
                  <c:v>5.8</c:v>
                </c:pt>
                <c:pt idx="822">
                  <c:v>-33</c:v>
                </c:pt>
                <c:pt idx="823">
                  <c:v>-12.6</c:v>
                </c:pt>
                <c:pt idx="824">
                  <c:v>20.100000000000001</c:v>
                </c:pt>
                <c:pt idx="825">
                  <c:v>-7.5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47-4924-98C2-E4F7B34B8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-15.990159901599016</c:v>
                </c:pt>
                <c:pt idx="1">
                  <c:v>-3.8314176245210727</c:v>
                </c:pt>
                <c:pt idx="2">
                  <c:v>6.8306010928961749</c:v>
                </c:pt>
                <c:pt idx="3">
                  <c:v>3.0441400304414001</c:v>
                </c:pt>
                <c:pt idx="4">
                  <c:v>10.416666666666666</c:v>
                </c:pt>
                <c:pt idx="5">
                  <c:v>-4.3572984749455337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D5-4365-AC95-ACBBB1697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だいち!$K$2:$K$237</c:f>
              <c:numCache>
                <c:formatCode>General</c:formatCode>
                <c:ptCount val="2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</c:numCache>
            </c:numRef>
          </c:xVal>
          <c:yVal>
            <c:numRef>
              <c:f>だいち!$L$2:$L$237</c:f>
              <c:numCache>
                <c:formatCode>\+0.0;\-0.0;\±0</c:formatCode>
                <c:ptCount val="236"/>
                <c:pt idx="0">
                  <c:v>0</c:v>
                </c:pt>
                <c:pt idx="1">
                  <c:v>15</c:v>
                </c:pt>
                <c:pt idx="2">
                  <c:v>-1</c:v>
                </c:pt>
                <c:pt idx="3">
                  <c:v>15.1</c:v>
                </c:pt>
                <c:pt idx="4">
                  <c:v>85.2</c:v>
                </c:pt>
                <c:pt idx="5">
                  <c:v>31.5</c:v>
                </c:pt>
                <c:pt idx="6">
                  <c:v>-48</c:v>
                </c:pt>
                <c:pt idx="7">
                  <c:v>-6.1</c:v>
                </c:pt>
                <c:pt idx="8">
                  <c:v>-36</c:v>
                </c:pt>
                <c:pt idx="9">
                  <c:v>-41</c:v>
                </c:pt>
                <c:pt idx="10">
                  <c:v>-31.5</c:v>
                </c:pt>
                <c:pt idx="11">
                  <c:v>18.3</c:v>
                </c:pt>
                <c:pt idx="12">
                  <c:v>12.8</c:v>
                </c:pt>
                <c:pt idx="13">
                  <c:v>57</c:v>
                </c:pt>
                <c:pt idx="14">
                  <c:v>-44</c:v>
                </c:pt>
                <c:pt idx="15">
                  <c:v>-37</c:v>
                </c:pt>
                <c:pt idx="16">
                  <c:v>1.6</c:v>
                </c:pt>
                <c:pt idx="17">
                  <c:v>-21.4</c:v>
                </c:pt>
                <c:pt idx="18">
                  <c:v>14.9</c:v>
                </c:pt>
                <c:pt idx="19">
                  <c:v>57.2</c:v>
                </c:pt>
                <c:pt idx="20">
                  <c:v>26.2</c:v>
                </c:pt>
                <c:pt idx="21">
                  <c:v>56.5</c:v>
                </c:pt>
                <c:pt idx="22">
                  <c:v>-25.5</c:v>
                </c:pt>
                <c:pt idx="23">
                  <c:v>24.7</c:v>
                </c:pt>
                <c:pt idx="24">
                  <c:v>-6.5</c:v>
                </c:pt>
                <c:pt idx="25">
                  <c:v>-33.700000000000003</c:v>
                </c:pt>
                <c:pt idx="26">
                  <c:v>23.9</c:v>
                </c:pt>
                <c:pt idx="27">
                  <c:v>-37</c:v>
                </c:pt>
                <c:pt idx="28">
                  <c:v>58</c:v>
                </c:pt>
                <c:pt idx="29">
                  <c:v>-8.4</c:v>
                </c:pt>
                <c:pt idx="30">
                  <c:v>53.3</c:v>
                </c:pt>
                <c:pt idx="31">
                  <c:v>-14</c:v>
                </c:pt>
                <c:pt idx="32">
                  <c:v>60.7</c:v>
                </c:pt>
                <c:pt idx="33">
                  <c:v>50</c:v>
                </c:pt>
                <c:pt idx="34">
                  <c:v>-14</c:v>
                </c:pt>
                <c:pt idx="35">
                  <c:v>-3.4</c:v>
                </c:pt>
                <c:pt idx="36">
                  <c:v>-17.100000000000001</c:v>
                </c:pt>
                <c:pt idx="37">
                  <c:v>21.1</c:v>
                </c:pt>
                <c:pt idx="38">
                  <c:v>-50.6</c:v>
                </c:pt>
                <c:pt idx="39">
                  <c:v>-8.1999999999999993</c:v>
                </c:pt>
                <c:pt idx="40">
                  <c:v>-7</c:v>
                </c:pt>
                <c:pt idx="41">
                  <c:v>-36.4</c:v>
                </c:pt>
                <c:pt idx="42">
                  <c:v>-8.5</c:v>
                </c:pt>
                <c:pt idx="43">
                  <c:v>8.4</c:v>
                </c:pt>
                <c:pt idx="44">
                  <c:v>-10.4</c:v>
                </c:pt>
                <c:pt idx="45">
                  <c:v>27.9</c:v>
                </c:pt>
                <c:pt idx="46">
                  <c:v>-20.5</c:v>
                </c:pt>
                <c:pt idx="47">
                  <c:v>-31.1</c:v>
                </c:pt>
                <c:pt idx="48">
                  <c:v>16.2</c:v>
                </c:pt>
                <c:pt idx="49">
                  <c:v>-4.9000000000000004</c:v>
                </c:pt>
                <c:pt idx="50">
                  <c:v>12.8</c:v>
                </c:pt>
                <c:pt idx="51">
                  <c:v>0.7</c:v>
                </c:pt>
                <c:pt idx="52">
                  <c:v>-6.7</c:v>
                </c:pt>
                <c:pt idx="53">
                  <c:v>-28</c:v>
                </c:pt>
                <c:pt idx="54">
                  <c:v>16.7</c:v>
                </c:pt>
                <c:pt idx="55">
                  <c:v>-7</c:v>
                </c:pt>
                <c:pt idx="56">
                  <c:v>31.6</c:v>
                </c:pt>
                <c:pt idx="57">
                  <c:v>15.8</c:v>
                </c:pt>
                <c:pt idx="58">
                  <c:v>57</c:v>
                </c:pt>
                <c:pt idx="59">
                  <c:v>5.3</c:v>
                </c:pt>
                <c:pt idx="60">
                  <c:v>-46.1</c:v>
                </c:pt>
                <c:pt idx="61">
                  <c:v>21.1</c:v>
                </c:pt>
                <c:pt idx="62">
                  <c:v>-66</c:v>
                </c:pt>
                <c:pt idx="63">
                  <c:v>-5</c:v>
                </c:pt>
                <c:pt idx="64">
                  <c:v>1</c:v>
                </c:pt>
                <c:pt idx="65">
                  <c:v>31.6</c:v>
                </c:pt>
                <c:pt idx="66">
                  <c:v>-19</c:v>
                </c:pt>
                <c:pt idx="67">
                  <c:v>-9.9</c:v>
                </c:pt>
                <c:pt idx="68">
                  <c:v>0.9</c:v>
                </c:pt>
                <c:pt idx="69">
                  <c:v>32.299999999999997</c:v>
                </c:pt>
                <c:pt idx="70">
                  <c:v>28.4</c:v>
                </c:pt>
                <c:pt idx="71">
                  <c:v>-7.4</c:v>
                </c:pt>
                <c:pt idx="72">
                  <c:v>18.3</c:v>
                </c:pt>
                <c:pt idx="73">
                  <c:v>-13.9</c:v>
                </c:pt>
                <c:pt idx="74">
                  <c:v>40</c:v>
                </c:pt>
                <c:pt idx="75">
                  <c:v>5.2</c:v>
                </c:pt>
                <c:pt idx="76">
                  <c:v>-13.7</c:v>
                </c:pt>
                <c:pt idx="77">
                  <c:v>5.0999999999999996</c:v>
                </c:pt>
                <c:pt idx="78">
                  <c:v>31.9</c:v>
                </c:pt>
                <c:pt idx="79">
                  <c:v>40</c:v>
                </c:pt>
                <c:pt idx="80">
                  <c:v>22.5</c:v>
                </c:pt>
                <c:pt idx="81">
                  <c:v>31.5</c:v>
                </c:pt>
                <c:pt idx="82">
                  <c:v>59.8</c:v>
                </c:pt>
                <c:pt idx="83">
                  <c:v>11.1</c:v>
                </c:pt>
                <c:pt idx="84">
                  <c:v>1.6</c:v>
                </c:pt>
                <c:pt idx="85">
                  <c:v>-21.4</c:v>
                </c:pt>
                <c:pt idx="86">
                  <c:v>3.5</c:v>
                </c:pt>
                <c:pt idx="87">
                  <c:v>-45.5</c:v>
                </c:pt>
                <c:pt idx="88">
                  <c:v>-0.6</c:v>
                </c:pt>
                <c:pt idx="89">
                  <c:v>26.4</c:v>
                </c:pt>
                <c:pt idx="90">
                  <c:v>9.6999999999999993</c:v>
                </c:pt>
                <c:pt idx="91">
                  <c:v>21.1</c:v>
                </c:pt>
                <c:pt idx="92">
                  <c:v>43.1</c:v>
                </c:pt>
                <c:pt idx="93">
                  <c:v>-6</c:v>
                </c:pt>
                <c:pt idx="94">
                  <c:v>-37.5</c:v>
                </c:pt>
                <c:pt idx="95">
                  <c:v>-39.5</c:v>
                </c:pt>
                <c:pt idx="96">
                  <c:v>11.1</c:v>
                </c:pt>
                <c:pt idx="97">
                  <c:v>-2</c:v>
                </c:pt>
                <c:pt idx="98">
                  <c:v>43.5</c:v>
                </c:pt>
                <c:pt idx="99">
                  <c:v>-5.6</c:v>
                </c:pt>
                <c:pt idx="100">
                  <c:v>-7.4</c:v>
                </c:pt>
                <c:pt idx="101">
                  <c:v>-38</c:v>
                </c:pt>
                <c:pt idx="102">
                  <c:v>-18.8</c:v>
                </c:pt>
                <c:pt idx="103">
                  <c:v>27</c:v>
                </c:pt>
                <c:pt idx="104">
                  <c:v>44.6</c:v>
                </c:pt>
                <c:pt idx="105">
                  <c:v>7</c:v>
                </c:pt>
                <c:pt idx="106">
                  <c:v>-11.3</c:v>
                </c:pt>
                <c:pt idx="107">
                  <c:v>-15.5</c:v>
                </c:pt>
                <c:pt idx="108">
                  <c:v>-19.3</c:v>
                </c:pt>
                <c:pt idx="109">
                  <c:v>24</c:v>
                </c:pt>
                <c:pt idx="110">
                  <c:v>19.5</c:v>
                </c:pt>
                <c:pt idx="111">
                  <c:v>-5.4</c:v>
                </c:pt>
                <c:pt idx="112">
                  <c:v>56</c:v>
                </c:pt>
                <c:pt idx="113">
                  <c:v>17.100000000000001</c:v>
                </c:pt>
                <c:pt idx="114">
                  <c:v>-38</c:v>
                </c:pt>
                <c:pt idx="115">
                  <c:v>16.5</c:v>
                </c:pt>
                <c:pt idx="116">
                  <c:v>15.3</c:v>
                </c:pt>
                <c:pt idx="117">
                  <c:v>11.6</c:v>
                </c:pt>
                <c:pt idx="118">
                  <c:v>16.899999999999999</c:v>
                </c:pt>
                <c:pt idx="119">
                  <c:v>-37.5</c:v>
                </c:pt>
                <c:pt idx="120">
                  <c:v>38.5</c:v>
                </c:pt>
                <c:pt idx="121">
                  <c:v>-46.5</c:v>
                </c:pt>
                <c:pt idx="122">
                  <c:v>13.2</c:v>
                </c:pt>
                <c:pt idx="123">
                  <c:v>-19.5</c:v>
                </c:pt>
                <c:pt idx="124">
                  <c:v>41.4</c:v>
                </c:pt>
                <c:pt idx="125">
                  <c:v>27.1</c:v>
                </c:pt>
                <c:pt idx="126">
                  <c:v>8.5</c:v>
                </c:pt>
                <c:pt idx="127">
                  <c:v>43.3</c:v>
                </c:pt>
                <c:pt idx="128">
                  <c:v>26</c:v>
                </c:pt>
                <c:pt idx="129">
                  <c:v>11</c:v>
                </c:pt>
                <c:pt idx="130">
                  <c:v>41</c:v>
                </c:pt>
                <c:pt idx="131">
                  <c:v>-19.8</c:v>
                </c:pt>
                <c:pt idx="132">
                  <c:v>37.6</c:v>
                </c:pt>
                <c:pt idx="133">
                  <c:v>7.8</c:v>
                </c:pt>
                <c:pt idx="134">
                  <c:v>68.099999999999994</c:v>
                </c:pt>
                <c:pt idx="135">
                  <c:v>5.2</c:v>
                </c:pt>
                <c:pt idx="136">
                  <c:v>16.2</c:v>
                </c:pt>
                <c:pt idx="137">
                  <c:v>24.2</c:v>
                </c:pt>
                <c:pt idx="138">
                  <c:v>20.6</c:v>
                </c:pt>
                <c:pt idx="139">
                  <c:v>7.3</c:v>
                </c:pt>
                <c:pt idx="140">
                  <c:v>4.8</c:v>
                </c:pt>
                <c:pt idx="141">
                  <c:v>4.0999999999999996</c:v>
                </c:pt>
                <c:pt idx="142">
                  <c:v>-12</c:v>
                </c:pt>
                <c:pt idx="143">
                  <c:v>12.5</c:v>
                </c:pt>
                <c:pt idx="144">
                  <c:v>-12.9</c:v>
                </c:pt>
                <c:pt idx="145">
                  <c:v>15.6</c:v>
                </c:pt>
                <c:pt idx="146">
                  <c:v>15.6</c:v>
                </c:pt>
                <c:pt idx="147">
                  <c:v>-36</c:v>
                </c:pt>
                <c:pt idx="148">
                  <c:v>-29.6</c:v>
                </c:pt>
                <c:pt idx="149">
                  <c:v>6.8</c:v>
                </c:pt>
                <c:pt idx="150">
                  <c:v>-14</c:v>
                </c:pt>
                <c:pt idx="151">
                  <c:v>-10</c:v>
                </c:pt>
                <c:pt idx="152">
                  <c:v>44.6</c:v>
                </c:pt>
                <c:pt idx="153">
                  <c:v>-4.7</c:v>
                </c:pt>
                <c:pt idx="154">
                  <c:v>14.4</c:v>
                </c:pt>
                <c:pt idx="155">
                  <c:v>-14</c:v>
                </c:pt>
                <c:pt idx="156">
                  <c:v>7.1</c:v>
                </c:pt>
                <c:pt idx="157">
                  <c:v>19.7</c:v>
                </c:pt>
                <c:pt idx="158">
                  <c:v>23.8</c:v>
                </c:pt>
                <c:pt idx="159">
                  <c:v>-4.8</c:v>
                </c:pt>
                <c:pt idx="160">
                  <c:v>32.5</c:v>
                </c:pt>
                <c:pt idx="161">
                  <c:v>17.100000000000001</c:v>
                </c:pt>
                <c:pt idx="162">
                  <c:v>12.3</c:v>
                </c:pt>
                <c:pt idx="163">
                  <c:v>24.3</c:v>
                </c:pt>
                <c:pt idx="164">
                  <c:v>-12.2</c:v>
                </c:pt>
                <c:pt idx="165">
                  <c:v>-2</c:v>
                </c:pt>
                <c:pt idx="166">
                  <c:v>-40.6</c:v>
                </c:pt>
                <c:pt idx="167">
                  <c:v>21.7</c:v>
                </c:pt>
                <c:pt idx="168">
                  <c:v>40.700000000000003</c:v>
                </c:pt>
                <c:pt idx="169">
                  <c:v>8</c:v>
                </c:pt>
                <c:pt idx="170">
                  <c:v>7.7</c:v>
                </c:pt>
                <c:pt idx="171">
                  <c:v>-69</c:v>
                </c:pt>
                <c:pt idx="172">
                  <c:v>-3</c:v>
                </c:pt>
                <c:pt idx="173">
                  <c:v>-2.6</c:v>
                </c:pt>
                <c:pt idx="174">
                  <c:v>59</c:v>
                </c:pt>
                <c:pt idx="175">
                  <c:v>0</c:v>
                </c:pt>
                <c:pt idx="176">
                  <c:v>-20.5</c:v>
                </c:pt>
                <c:pt idx="177">
                  <c:v>-3.4</c:v>
                </c:pt>
                <c:pt idx="178">
                  <c:v>39.5</c:v>
                </c:pt>
                <c:pt idx="179">
                  <c:v>61</c:v>
                </c:pt>
                <c:pt idx="180">
                  <c:v>11.7</c:v>
                </c:pt>
                <c:pt idx="181">
                  <c:v>16.100000000000001</c:v>
                </c:pt>
                <c:pt idx="182">
                  <c:v>57.5</c:v>
                </c:pt>
                <c:pt idx="183">
                  <c:v>-12.5</c:v>
                </c:pt>
                <c:pt idx="184">
                  <c:v>10.7</c:v>
                </c:pt>
                <c:pt idx="185">
                  <c:v>31.1</c:v>
                </c:pt>
                <c:pt idx="186">
                  <c:v>10.199999999999999</c:v>
                </c:pt>
                <c:pt idx="187">
                  <c:v>8.3000000000000007</c:v>
                </c:pt>
                <c:pt idx="188">
                  <c:v>-1.9</c:v>
                </c:pt>
                <c:pt idx="189">
                  <c:v>0.5</c:v>
                </c:pt>
                <c:pt idx="190">
                  <c:v>48</c:v>
                </c:pt>
                <c:pt idx="191">
                  <c:v>22.8</c:v>
                </c:pt>
                <c:pt idx="192">
                  <c:v>6</c:v>
                </c:pt>
                <c:pt idx="193">
                  <c:v>-17</c:v>
                </c:pt>
                <c:pt idx="194">
                  <c:v>-18.899999999999999</c:v>
                </c:pt>
                <c:pt idx="195">
                  <c:v>36.700000000000003</c:v>
                </c:pt>
                <c:pt idx="196">
                  <c:v>12.4</c:v>
                </c:pt>
                <c:pt idx="197">
                  <c:v>14</c:v>
                </c:pt>
                <c:pt idx="198">
                  <c:v>6.8</c:v>
                </c:pt>
                <c:pt idx="199">
                  <c:v>-7.6</c:v>
                </c:pt>
                <c:pt idx="200">
                  <c:v>13.7</c:v>
                </c:pt>
                <c:pt idx="201">
                  <c:v>0.3</c:v>
                </c:pt>
                <c:pt idx="202">
                  <c:v>-5.4</c:v>
                </c:pt>
                <c:pt idx="203">
                  <c:v>-43.2</c:v>
                </c:pt>
                <c:pt idx="204">
                  <c:v>18.2</c:v>
                </c:pt>
                <c:pt idx="205">
                  <c:v>22.8</c:v>
                </c:pt>
                <c:pt idx="206">
                  <c:v>8.1</c:v>
                </c:pt>
                <c:pt idx="207">
                  <c:v>5</c:v>
                </c:pt>
                <c:pt idx="208">
                  <c:v>-39</c:v>
                </c:pt>
                <c:pt idx="209">
                  <c:v>8.1999999999999993</c:v>
                </c:pt>
                <c:pt idx="210">
                  <c:v>13</c:v>
                </c:pt>
                <c:pt idx="211">
                  <c:v>10.1</c:v>
                </c:pt>
                <c:pt idx="212">
                  <c:v>21.7</c:v>
                </c:pt>
                <c:pt idx="213">
                  <c:v>-40.4</c:v>
                </c:pt>
                <c:pt idx="214">
                  <c:v>52.1</c:v>
                </c:pt>
                <c:pt idx="215">
                  <c:v>4.5</c:v>
                </c:pt>
                <c:pt idx="216">
                  <c:v>-15</c:v>
                </c:pt>
                <c:pt idx="217">
                  <c:v>7.8</c:v>
                </c:pt>
                <c:pt idx="218">
                  <c:v>18.600000000000001</c:v>
                </c:pt>
                <c:pt idx="219">
                  <c:v>6.2</c:v>
                </c:pt>
                <c:pt idx="220">
                  <c:v>12.6</c:v>
                </c:pt>
                <c:pt idx="221">
                  <c:v>13.4</c:v>
                </c:pt>
                <c:pt idx="222">
                  <c:v>6.1</c:v>
                </c:pt>
                <c:pt idx="223">
                  <c:v>66.7</c:v>
                </c:pt>
                <c:pt idx="224">
                  <c:v>-38.1</c:v>
                </c:pt>
                <c:pt idx="225">
                  <c:v>23</c:v>
                </c:pt>
                <c:pt idx="226">
                  <c:v>9.5</c:v>
                </c:pt>
                <c:pt idx="227">
                  <c:v>5</c:v>
                </c:pt>
                <c:pt idx="228">
                  <c:v>7.8</c:v>
                </c:pt>
                <c:pt idx="229">
                  <c:v>42.3</c:v>
                </c:pt>
                <c:pt idx="230">
                  <c:v>40.700000000000003</c:v>
                </c:pt>
                <c:pt idx="231">
                  <c:v>0.1</c:v>
                </c:pt>
                <c:pt idx="232">
                  <c:v>12.2</c:v>
                </c:pt>
                <c:pt idx="233">
                  <c:v>9.5</c:v>
                </c:pt>
                <c:pt idx="234">
                  <c:v>27.2</c:v>
                </c:pt>
                <c:pt idx="235">
                  <c:v>-12.6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C-4B84-9914-836C9BF25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1416.4502164502164</c:v>
                </c:pt>
                <c:pt idx="1">
                  <c:v>390.13452914798205</c:v>
                </c:pt>
                <c:pt idx="2">
                  <c:v>1814.4230769230769</c:v>
                </c:pt>
                <c:pt idx="3">
                  <c:v>1363.6363636363637</c:v>
                </c:pt>
                <c:pt idx="4">
                  <c:v>1636.5853658536585</c:v>
                </c:pt>
                <c:pt idx="5">
                  <c:v>1722.9007633587787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B8-418E-B5C6-8067ED04E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-38.4</c:v>
                </c:pt>
                <c:pt idx="3">
                  <c:v>-25.2</c:v>
                </c:pt>
                <c:pt idx="4">
                  <c:v>-46.5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CB-491D-A066-45494955E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EA-45FD-8B11-22C0444AC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-31.5</c:v>
                </c:pt>
                <c:pt idx="3">
                  <c:v>-2</c:v>
                </c:pt>
                <c:pt idx="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0-498B-8F9A-A2C6E6817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F6-4A9C-BB10-51A875F9E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りくと!$L$2:$L$134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40.9</c:v>
                </c:pt>
                <c:pt idx="2">
                  <c:v>-41.8</c:v>
                </c:pt>
                <c:pt idx="3">
                  <c:v>-35.5</c:v>
                </c:pt>
                <c:pt idx="4">
                  <c:v>40</c:v>
                </c:pt>
                <c:pt idx="5">
                  <c:v>11</c:v>
                </c:pt>
                <c:pt idx="6">
                  <c:v>33</c:v>
                </c:pt>
                <c:pt idx="7">
                  <c:v>52.5</c:v>
                </c:pt>
                <c:pt idx="8">
                  <c:v>-39.9</c:v>
                </c:pt>
                <c:pt idx="9">
                  <c:v>-35.799999999999997</c:v>
                </c:pt>
                <c:pt idx="10">
                  <c:v>-44.5</c:v>
                </c:pt>
                <c:pt idx="11">
                  <c:v>16.5</c:v>
                </c:pt>
                <c:pt idx="12">
                  <c:v>-8.4</c:v>
                </c:pt>
                <c:pt idx="13">
                  <c:v>61.5</c:v>
                </c:pt>
                <c:pt idx="14">
                  <c:v>-16.5</c:v>
                </c:pt>
                <c:pt idx="15">
                  <c:v>5.5</c:v>
                </c:pt>
                <c:pt idx="16">
                  <c:v>-23.9</c:v>
                </c:pt>
                <c:pt idx="17">
                  <c:v>-0.7</c:v>
                </c:pt>
                <c:pt idx="18">
                  <c:v>-35.9</c:v>
                </c:pt>
                <c:pt idx="19">
                  <c:v>-4.7</c:v>
                </c:pt>
                <c:pt idx="20">
                  <c:v>-31.2</c:v>
                </c:pt>
                <c:pt idx="21">
                  <c:v>-24.8</c:v>
                </c:pt>
                <c:pt idx="22">
                  <c:v>-11.9</c:v>
                </c:pt>
                <c:pt idx="23">
                  <c:v>-16.7</c:v>
                </c:pt>
                <c:pt idx="24">
                  <c:v>43.2</c:v>
                </c:pt>
                <c:pt idx="25">
                  <c:v>-2.8</c:v>
                </c:pt>
                <c:pt idx="26">
                  <c:v>-55</c:v>
                </c:pt>
                <c:pt idx="27">
                  <c:v>-37.700000000000003</c:v>
                </c:pt>
                <c:pt idx="28">
                  <c:v>-5.9</c:v>
                </c:pt>
                <c:pt idx="29">
                  <c:v>6.2</c:v>
                </c:pt>
                <c:pt idx="30">
                  <c:v>-46.1</c:v>
                </c:pt>
                <c:pt idx="31">
                  <c:v>-50.5</c:v>
                </c:pt>
                <c:pt idx="32">
                  <c:v>6.3</c:v>
                </c:pt>
                <c:pt idx="33">
                  <c:v>18.7</c:v>
                </c:pt>
                <c:pt idx="34">
                  <c:v>5.0999999999999996</c:v>
                </c:pt>
                <c:pt idx="35">
                  <c:v>-24.5</c:v>
                </c:pt>
                <c:pt idx="36">
                  <c:v>50</c:v>
                </c:pt>
                <c:pt idx="37">
                  <c:v>-45</c:v>
                </c:pt>
                <c:pt idx="38">
                  <c:v>6.8</c:v>
                </c:pt>
                <c:pt idx="39">
                  <c:v>-2.1</c:v>
                </c:pt>
                <c:pt idx="40">
                  <c:v>-35.1</c:v>
                </c:pt>
                <c:pt idx="41">
                  <c:v>-40.4</c:v>
                </c:pt>
                <c:pt idx="42">
                  <c:v>5.8</c:v>
                </c:pt>
                <c:pt idx="43">
                  <c:v>29.5</c:v>
                </c:pt>
                <c:pt idx="44">
                  <c:v>44.9</c:v>
                </c:pt>
                <c:pt idx="45">
                  <c:v>-16.399999999999999</c:v>
                </c:pt>
                <c:pt idx="46">
                  <c:v>-24.3</c:v>
                </c:pt>
                <c:pt idx="47">
                  <c:v>16</c:v>
                </c:pt>
                <c:pt idx="48">
                  <c:v>-24.2</c:v>
                </c:pt>
                <c:pt idx="49">
                  <c:v>5.8</c:v>
                </c:pt>
                <c:pt idx="50">
                  <c:v>-4.0999999999999996</c:v>
                </c:pt>
                <c:pt idx="51">
                  <c:v>17.5</c:v>
                </c:pt>
                <c:pt idx="52">
                  <c:v>-38.5</c:v>
                </c:pt>
                <c:pt idx="53">
                  <c:v>-28.4</c:v>
                </c:pt>
                <c:pt idx="54">
                  <c:v>-42.4</c:v>
                </c:pt>
                <c:pt idx="55">
                  <c:v>14.6</c:v>
                </c:pt>
                <c:pt idx="56">
                  <c:v>48</c:v>
                </c:pt>
                <c:pt idx="57">
                  <c:v>3.8</c:v>
                </c:pt>
                <c:pt idx="58">
                  <c:v>57.9</c:v>
                </c:pt>
                <c:pt idx="59">
                  <c:v>49.5</c:v>
                </c:pt>
                <c:pt idx="60">
                  <c:v>-9.5</c:v>
                </c:pt>
                <c:pt idx="61">
                  <c:v>2.7</c:v>
                </c:pt>
                <c:pt idx="62">
                  <c:v>-39</c:v>
                </c:pt>
                <c:pt idx="63">
                  <c:v>-40.1</c:v>
                </c:pt>
                <c:pt idx="64">
                  <c:v>-66</c:v>
                </c:pt>
                <c:pt idx="65">
                  <c:v>-24.1</c:v>
                </c:pt>
                <c:pt idx="66">
                  <c:v>2.6</c:v>
                </c:pt>
                <c:pt idx="67">
                  <c:v>7.3</c:v>
                </c:pt>
                <c:pt idx="68">
                  <c:v>-36.1</c:v>
                </c:pt>
                <c:pt idx="69">
                  <c:v>-5.2</c:v>
                </c:pt>
                <c:pt idx="70">
                  <c:v>33</c:v>
                </c:pt>
                <c:pt idx="71">
                  <c:v>5.2</c:v>
                </c:pt>
                <c:pt idx="72">
                  <c:v>-35.5</c:v>
                </c:pt>
                <c:pt idx="73">
                  <c:v>16.2</c:v>
                </c:pt>
                <c:pt idx="74">
                  <c:v>-5.9</c:v>
                </c:pt>
                <c:pt idx="75">
                  <c:v>-20.2</c:v>
                </c:pt>
                <c:pt idx="76">
                  <c:v>50</c:v>
                </c:pt>
                <c:pt idx="77">
                  <c:v>-12.1</c:v>
                </c:pt>
                <c:pt idx="78">
                  <c:v>15.8</c:v>
                </c:pt>
                <c:pt idx="79">
                  <c:v>-18</c:v>
                </c:pt>
                <c:pt idx="80">
                  <c:v>-6.8</c:v>
                </c:pt>
                <c:pt idx="81">
                  <c:v>11.8</c:v>
                </c:pt>
                <c:pt idx="82">
                  <c:v>-19.600000000000001</c:v>
                </c:pt>
                <c:pt idx="83">
                  <c:v>1.2</c:v>
                </c:pt>
                <c:pt idx="84">
                  <c:v>25.5</c:v>
                </c:pt>
                <c:pt idx="85">
                  <c:v>-38</c:v>
                </c:pt>
                <c:pt idx="86">
                  <c:v>23.5</c:v>
                </c:pt>
                <c:pt idx="87">
                  <c:v>25.7</c:v>
                </c:pt>
                <c:pt idx="88">
                  <c:v>-16.8</c:v>
                </c:pt>
                <c:pt idx="89">
                  <c:v>-32.799999999999997</c:v>
                </c:pt>
                <c:pt idx="90">
                  <c:v>4.5</c:v>
                </c:pt>
                <c:pt idx="91">
                  <c:v>10.5</c:v>
                </c:pt>
                <c:pt idx="92">
                  <c:v>29.8</c:v>
                </c:pt>
                <c:pt idx="93">
                  <c:v>-36.5</c:v>
                </c:pt>
                <c:pt idx="94">
                  <c:v>29.4</c:v>
                </c:pt>
                <c:pt idx="95">
                  <c:v>-26.8</c:v>
                </c:pt>
                <c:pt idx="96">
                  <c:v>18.399999999999999</c:v>
                </c:pt>
                <c:pt idx="97">
                  <c:v>-12.5</c:v>
                </c:pt>
                <c:pt idx="98">
                  <c:v>60.5</c:v>
                </c:pt>
                <c:pt idx="99">
                  <c:v>-29.5</c:v>
                </c:pt>
                <c:pt idx="100">
                  <c:v>-13.9</c:v>
                </c:pt>
                <c:pt idx="101">
                  <c:v>1.7</c:v>
                </c:pt>
                <c:pt idx="102">
                  <c:v>-26.7</c:v>
                </c:pt>
                <c:pt idx="103">
                  <c:v>-25.5</c:v>
                </c:pt>
                <c:pt idx="104">
                  <c:v>-9.5</c:v>
                </c:pt>
                <c:pt idx="105">
                  <c:v>10.8</c:v>
                </c:pt>
                <c:pt idx="106">
                  <c:v>-12.9</c:v>
                </c:pt>
                <c:pt idx="107">
                  <c:v>4.9000000000000004</c:v>
                </c:pt>
                <c:pt idx="108">
                  <c:v>6.6</c:v>
                </c:pt>
                <c:pt idx="109">
                  <c:v>-35.9</c:v>
                </c:pt>
                <c:pt idx="110">
                  <c:v>-23.4</c:v>
                </c:pt>
                <c:pt idx="111">
                  <c:v>17.899999999999999</c:v>
                </c:pt>
                <c:pt idx="112">
                  <c:v>20.7</c:v>
                </c:pt>
                <c:pt idx="113">
                  <c:v>62.7</c:v>
                </c:pt>
                <c:pt idx="114">
                  <c:v>12.3</c:v>
                </c:pt>
                <c:pt idx="115">
                  <c:v>-15.5</c:v>
                </c:pt>
                <c:pt idx="116">
                  <c:v>4.2</c:v>
                </c:pt>
                <c:pt idx="117">
                  <c:v>9.6</c:v>
                </c:pt>
                <c:pt idx="118">
                  <c:v>0.1</c:v>
                </c:pt>
                <c:pt idx="119">
                  <c:v>-20.5</c:v>
                </c:pt>
                <c:pt idx="120">
                  <c:v>-39.1</c:v>
                </c:pt>
                <c:pt idx="121">
                  <c:v>36.9</c:v>
                </c:pt>
                <c:pt idx="122">
                  <c:v>-11.5</c:v>
                </c:pt>
                <c:pt idx="123">
                  <c:v>-43.2</c:v>
                </c:pt>
                <c:pt idx="124">
                  <c:v>9</c:v>
                </c:pt>
                <c:pt idx="125">
                  <c:v>-2</c:v>
                </c:pt>
                <c:pt idx="126">
                  <c:v>33.299999999999997</c:v>
                </c:pt>
                <c:pt idx="127">
                  <c:v>0.5</c:v>
                </c:pt>
                <c:pt idx="128">
                  <c:v>-5.3</c:v>
                </c:pt>
                <c:pt idx="129">
                  <c:v>-7.8</c:v>
                </c:pt>
                <c:pt idx="130">
                  <c:v>-2.6</c:v>
                </c:pt>
                <c:pt idx="131">
                  <c:v>-14.5</c:v>
                </c:pt>
                <c:pt idx="132">
                  <c:v>-8.6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5-41F7-93A9-1E9321E0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-596.15384615384619</c:v>
                </c:pt>
                <c:pt idx="1">
                  <c:v>-1070.6349206349207</c:v>
                </c:pt>
                <c:pt idx="2">
                  <c:v>1286.8852459016393</c:v>
                </c:pt>
                <c:pt idx="3">
                  <c:v>-1069.7247706422017</c:v>
                </c:pt>
                <c:pt idx="4">
                  <c:v>-1992.4731182795699</c:v>
                </c:pt>
                <c:pt idx="5">
                  <c:v>-1786.3013698630136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E-4C09-A253-87D4EB11B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いっしー!$L$2:$L$63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-39.9</c:v>
                </c:pt>
                <c:pt idx="2">
                  <c:v>26.7</c:v>
                </c:pt>
                <c:pt idx="3">
                  <c:v>-44.5</c:v>
                </c:pt>
                <c:pt idx="4">
                  <c:v>4</c:v>
                </c:pt>
                <c:pt idx="5">
                  <c:v>8</c:v>
                </c:pt>
                <c:pt idx="6">
                  <c:v>-4.9000000000000004</c:v>
                </c:pt>
                <c:pt idx="7">
                  <c:v>3</c:v>
                </c:pt>
                <c:pt idx="8">
                  <c:v>-11.5</c:v>
                </c:pt>
                <c:pt idx="9">
                  <c:v>-18.8</c:v>
                </c:pt>
                <c:pt idx="10">
                  <c:v>-1</c:v>
                </c:pt>
                <c:pt idx="11">
                  <c:v>-10</c:v>
                </c:pt>
                <c:pt idx="12">
                  <c:v>65.400000000000006</c:v>
                </c:pt>
                <c:pt idx="13">
                  <c:v>11.1</c:v>
                </c:pt>
                <c:pt idx="14">
                  <c:v>51</c:v>
                </c:pt>
                <c:pt idx="15">
                  <c:v>17.2</c:v>
                </c:pt>
                <c:pt idx="16">
                  <c:v>-15.5</c:v>
                </c:pt>
                <c:pt idx="17">
                  <c:v>-24.5</c:v>
                </c:pt>
                <c:pt idx="18">
                  <c:v>-41.5</c:v>
                </c:pt>
                <c:pt idx="19">
                  <c:v>8</c:v>
                </c:pt>
                <c:pt idx="20">
                  <c:v>25.2</c:v>
                </c:pt>
                <c:pt idx="21">
                  <c:v>62.3</c:v>
                </c:pt>
                <c:pt idx="22">
                  <c:v>8.6</c:v>
                </c:pt>
                <c:pt idx="23">
                  <c:v>14.8</c:v>
                </c:pt>
                <c:pt idx="24">
                  <c:v>-43.9</c:v>
                </c:pt>
                <c:pt idx="25">
                  <c:v>9.5</c:v>
                </c:pt>
                <c:pt idx="26">
                  <c:v>83</c:v>
                </c:pt>
                <c:pt idx="27">
                  <c:v>21</c:v>
                </c:pt>
                <c:pt idx="28">
                  <c:v>11.9</c:v>
                </c:pt>
                <c:pt idx="29">
                  <c:v>30.3</c:v>
                </c:pt>
                <c:pt idx="30">
                  <c:v>-6.5</c:v>
                </c:pt>
                <c:pt idx="31">
                  <c:v>-11.6</c:v>
                </c:pt>
                <c:pt idx="32">
                  <c:v>17.5</c:v>
                </c:pt>
                <c:pt idx="33">
                  <c:v>41</c:v>
                </c:pt>
                <c:pt idx="34">
                  <c:v>-10.5</c:v>
                </c:pt>
                <c:pt idx="35">
                  <c:v>-46</c:v>
                </c:pt>
                <c:pt idx="36">
                  <c:v>47.1</c:v>
                </c:pt>
                <c:pt idx="37">
                  <c:v>14.8</c:v>
                </c:pt>
                <c:pt idx="38">
                  <c:v>-18.2</c:v>
                </c:pt>
                <c:pt idx="39">
                  <c:v>0.4</c:v>
                </c:pt>
                <c:pt idx="40">
                  <c:v>3.1</c:v>
                </c:pt>
                <c:pt idx="41">
                  <c:v>-2</c:v>
                </c:pt>
                <c:pt idx="42">
                  <c:v>21.2</c:v>
                </c:pt>
                <c:pt idx="43">
                  <c:v>32.799999999999997</c:v>
                </c:pt>
                <c:pt idx="44">
                  <c:v>-8.8000000000000007</c:v>
                </c:pt>
                <c:pt idx="45">
                  <c:v>-31.2</c:v>
                </c:pt>
                <c:pt idx="46">
                  <c:v>-35.5</c:v>
                </c:pt>
                <c:pt idx="47">
                  <c:v>-20.7</c:v>
                </c:pt>
                <c:pt idx="48">
                  <c:v>21.8</c:v>
                </c:pt>
                <c:pt idx="49">
                  <c:v>-2.8</c:v>
                </c:pt>
                <c:pt idx="50">
                  <c:v>0</c:v>
                </c:pt>
                <c:pt idx="51">
                  <c:v>78.7</c:v>
                </c:pt>
                <c:pt idx="52">
                  <c:v>26.5</c:v>
                </c:pt>
                <c:pt idx="53">
                  <c:v>-50.5</c:v>
                </c:pt>
                <c:pt idx="54">
                  <c:v>-15.1</c:v>
                </c:pt>
                <c:pt idx="55">
                  <c:v>15.9</c:v>
                </c:pt>
                <c:pt idx="56">
                  <c:v>4.4000000000000004</c:v>
                </c:pt>
                <c:pt idx="57">
                  <c:v>-13.5</c:v>
                </c:pt>
                <c:pt idx="58">
                  <c:v>33</c:v>
                </c:pt>
                <c:pt idx="59">
                  <c:v>-10</c:v>
                </c:pt>
                <c:pt idx="60">
                  <c:v>-10.7</c:v>
                </c:pt>
                <c:pt idx="61">
                  <c:v>-13.4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3A-41A9-AF2E-956EA9D11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-408.19672131147541</c:v>
                </c:pt>
                <c:pt idx="1">
                  <c:v>2170.6896551724139</c:v>
                </c:pt>
                <c:pt idx="2">
                  <c:v>-1817.8571428571429</c:v>
                </c:pt>
                <c:pt idx="3">
                  <c:v>-312.7659574468085</c:v>
                </c:pt>
                <c:pt idx="4">
                  <c:v>7068.292682926829</c:v>
                </c:pt>
                <c:pt idx="5">
                  <c:v>-541.37931034482756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E-48BF-B183-0439EECAC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-41</c:v>
                </c:pt>
                <c:pt idx="3">
                  <c:v>-7.2</c:v>
                </c:pt>
                <c:pt idx="4">
                  <c:v>-20.3</c:v>
                </c:pt>
                <c:pt idx="5">
                  <c:v>22.8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3A-4D5D-B0BE-93B78F6D8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D-4D11-A66B-BF8F6EA64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たかの!$L$2:$L$73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68.2</c:v>
                </c:pt>
                <c:pt idx="2">
                  <c:v>-9.6999999999999993</c:v>
                </c:pt>
                <c:pt idx="3">
                  <c:v>23.6</c:v>
                </c:pt>
                <c:pt idx="4">
                  <c:v>-24.4</c:v>
                </c:pt>
                <c:pt idx="5">
                  <c:v>66</c:v>
                </c:pt>
                <c:pt idx="6">
                  <c:v>1.5</c:v>
                </c:pt>
                <c:pt idx="7">
                  <c:v>3.8</c:v>
                </c:pt>
                <c:pt idx="8">
                  <c:v>-32.5</c:v>
                </c:pt>
                <c:pt idx="9">
                  <c:v>-13.7</c:v>
                </c:pt>
                <c:pt idx="10">
                  <c:v>27.7</c:v>
                </c:pt>
                <c:pt idx="11">
                  <c:v>-38.9</c:v>
                </c:pt>
                <c:pt idx="12">
                  <c:v>-38</c:v>
                </c:pt>
                <c:pt idx="13">
                  <c:v>-20.3</c:v>
                </c:pt>
                <c:pt idx="14">
                  <c:v>-8.5</c:v>
                </c:pt>
                <c:pt idx="15">
                  <c:v>-38.5</c:v>
                </c:pt>
                <c:pt idx="16">
                  <c:v>-11.6</c:v>
                </c:pt>
                <c:pt idx="17">
                  <c:v>0.3</c:v>
                </c:pt>
                <c:pt idx="18">
                  <c:v>14.7</c:v>
                </c:pt>
                <c:pt idx="19">
                  <c:v>48</c:v>
                </c:pt>
                <c:pt idx="20">
                  <c:v>-41.8</c:v>
                </c:pt>
                <c:pt idx="21">
                  <c:v>-5.5</c:v>
                </c:pt>
                <c:pt idx="22">
                  <c:v>24.9</c:v>
                </c:pt>
                <c:pt idx="23">
                  <c:v>-13.9</c:v>
                </c:pt>
                <c:pt idx="24">
                  <c:v>-8.3000000000000007</c:v>
                </c:pt>
                <c:pt idx="25">
                  <c:v>-11</c:v>
                </c:pt>
                <c:pt idx="26">
                  <c:v>-21.9</c:v>
                </c:pt>
                <c:pt idx="27">
                  <c:v>6.1</c:v>
                </c:pt>
                <c:pt idx="28">
                  <c:v>0.6</c:v>
                </c:pt>
                <c:pt idx="29">
                  <c:v>40.200000000000003</c:v>
                </c:pt>
                <c:pt idx="30">
                  <c:v>-35.700000000000003</c:v>
                </c:pt>
                <c:pt idx="31">
                  <c:v>-16</c:v>
                </c:pt>
                <c:pt idx="32">
                  <c:v>-5.8</c:v>
                </c:pt>
                <c:pt idx="33">
                  <c:v>-51.9</c:v>
                </c:pt>
                <c:pt idx="34">
                  <c:v>-12</c:v>
                </c:pt>
                <c:pt idx="35">
                  <c:v>33.4</c:v>
                </c:pt>
                <c:pt idx="36">
                  <c:v>-5.6</c:v>
                </c:pt>
                <c:pt idx="37">
                  <c:v>-27</c:v>
                </c:pt>
                <c:pt idx="38">
                  <c:v>5.2</c:v>
                </c:pt>
                <c:pt idx="39">
                  <c:v>-7.7</c:v>
                </c:pt>
                <c:pt idx="40">
                  <c:v>-15</c:v>
                </c:pt>
                <c:pt idx="41">
                  <c:v>-50.6</c:v>
                </c:pt>
                <c:pt idx="42">
                  <c:v>4.8</c:v>
                </c:pt>
                <c:pt idx="43">
                  <c:v>-45.5</c:v>
                </c:pt>
                <c:pt idx="44">
                  <c:v>-1.1000000000000001</c:v>
                </c:pt>
                <c:pt idx="45">
                  <c:v>-37.200000000000003</c:v>
                </c:pt>
                <c:pt idx="46">
                  <c:v>-41.3</c:v>
                </c:pt>
                <c:pt idx="47">
                  <c:v>-4.2</c:v>
                </c:pt>
                <c:pt idx="48">
                  <c:v>-60.3</c:v>
                </c:pt>
                <c:pt idx="49">
                  <c:v>-15.9</c:v>
                </c:pt>
                <c:pt idx="50">
                  <c:v>6</c:v>
                </c:pt>
                <c:pt idx="51">
                  <c:v>-21</c:v>
                </c:pt>
                <c:pt idx="52">
                  <c:v>-4</c:v>
                </c:pt>
                <c:pt idx="53">
                  <c:v>-30.4</c:v>
                </c:pt>
                <c:pt idx="54">
                  <c:v>6.6</c:v>
                </c:pt>
                <c:pt idx="55">
                  <c:v>-20.5</c:v>
                </c:pt>
                <c:pt idx="56">
                  <c:v>-37</c:v>
                </c:pt>
                <c:pt idx="57">
                  <c:v>-30.7</c:v>
                </c:pt>
                <c:pt idx="58">
                  <c:v>-40</c:v>
                </c:pt>
                <c:pt idx="59">
                  <c:v>22.5</c:v>
                </c:pt>
                <c:pt idx="60">
                  <c:v>15.5</c:v>
                </c:pt>
                <c:pt idx="61">
                  <c:v>43</c:v>
                </c:pt>
                <c:pt idx="62">
                  <c:v>-19.600000000000001</c:v>
                </c:pt>
                <c:pt idx="63">
                  <c:v>-12.2</c:v>
                </c:pt>
                <c:pt idx="64">
                  <c:v>-11.8</c:v>
                </c:pt>
                <c:pt idx="65">
                  <c:v>41.3</c:v>
                </c:pt>
                <c:pt idx="66">
                  <c:v>11.4</c:v>
                </c:pt>
                <c:pt idx="67">
                  <c:v>16.5</c:v>
                </c:pt>
                <c:pt idx="68">
                  <c:v>4.7</c:v>
                </c:pt>
                <c:pt idx="69">
                  <c:v>-10.6</c:v>
                </c:pt>
                <c:pt idx="70">
                  <c:v>5.8</c:v>
                </c:pt>
                <c:pt idx="71">
                  <c:v>20.100000000000001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21-4045-AE64-D06F6B8C5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-1422.5352112676057</c:v>
                </c:pt>
                <c:pt idx="1">
                  <c:v>-3371.6417910447763</c:v>
                </c:pt>
                <c:pt idx="2">
                  <c:v>-1023.728813559322</c:v>
                </c:pt>
                <c:pt idx="3">
                  <c:v>1263.1578947368421</c:v>
                </c:pt>
                <c:pt idx="4">
                  <c:v>-2336.1702127659573</c:v>
                </c:pt>
                <c:pt idx="5">
                  <c:v>-583.78378378378375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C3-4A40-A4B0-472010927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ただ!$K$2:$K$114</c:f>
              <c:numCache>
                <c:formatCode>General</c:formatCode>
                <c:ptCount val="1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</c:numCache>
            </c:numRef>
          </c:xVal>
          <c:yVal>
            <c:numRef>
              <c:f>ただ!$L$2:$L$114</c:f>
              <c:numCache>
                <c:formatCode>\+0.0;\-0.0;\±0</c:formatCode>
                <c:ptCount val="113"/>
                <c:pt idx="0">
                  <c:v>0</c:v>
                </c:pt>
                <c:pt idx="1">
                  <c:v>-36.700000000000003</c:v>
                </c:pt>
                <c:pt idx="2">
                  <c:v>-8.6</c:v>
                </c:pt>
                <c:pt idx="3">
                  <c:v>-36.4</c:v>
                </c:pt>
                <c:pt idx="4">
                  <c:v>-32.6</c:v>
                </c:pt>
                <c:pt idx="5">
                  <c:v>-22</c:v>
                </c:pt>
                <c:pt idx="6">
                  <c:v>35.5</c:v>
                </c:pt>
                <c:pt idx="7">
                  <c:v>-5.4</c:v>
                </c:pt>
                <c:pt idx="8">
                  <c:v>53.9</c:v>
                </c:pt>
                <c:pt idx="9">
                  <c:v>-1.2</c:v>
                </c:pt>
                <c:pt idx="10">
                  <c:v>-19.3</c:v>
                </c:pt>
                <c:pt idx="11">
                  <c:v>3</c:v>
                </c:pt>
                <c:pt idx="12">
                  <c:v>15.5</c:v>
                </c:pt>
                <c:pt idx="13">
                  <c:v>11.1</c:v>
                </c:pt>
                <c:pt idx="14">
                  <c:v>-7.2</c:v>
                </c:pt>
                <c:pt idx="15">
                  <c:v>74.3</c:v>
                </c:pt>
                <c:pt idx="16">
                  <c:v>35</c:v>
                </c:pt>
                <c:pt idx="17">
                  <c:v>-0.3</c:v>
                </c:pt>
                <c:pt idx="18">
                  <c:v>64</c:v>
                </c:pt>
                <c:pt idx="19">
                  <c:v>3.1</c:v>
                </c:pt>
                <c:pt idx="20">
                  <c:v>1.2</c:v>
                </c:pt>
                <c:pt idx="21">
                  <c:v>2.8</c:v>
                </c:pt>
                <c:pt idx="22">
                  <c:v>44.6</c:v>
                </c:pt>
                <c:pt idx="23">
                  <c:v>-1.4</c:v>
                </c:pt>
                <c:pt idx="24">
                  <c:v>-39.700000000000003</c:v>
                </c:pt>
                <c:pt idx="25">
                  <c:v>-15.8</c:v>
                </c:pt>
                <c:pt idx="26">
                  <c:v>11.3</c:v>
                </c:pt>
                <c:pt idx="27">
                  <c:v>-44</c:v>
                </c:pt>
                <c:pt idx="28">
                  <c:v>-41</c:v>
                </c:pt>
                <c:pt idx="29">
                  <c:v>-10.8</c:v>
                </c:pt>
                <c:pt idx="30">
                  <c:v>15.6</c:v>
                </c:pt>
                <c:pt idx="31">
                  <c:v>-43.4</c:v>
                </c:pt>
                <c:pt idx="32">
                  <c:v>0.7</c:v>
                </c:pt>
                <c:pt idx="33">
                  <c:v>12.2</c:v>
                </c:pt>
                <c:pt idx="34">
                  <c:v>-37.299999999999997</c:v>
                </c:pt>
                <c:pt idx="35">
                  <c:v>49</c:v>
                </c:pt>
                <c:pt idx="36">
                  <c:v>-13.8</c:v>
                </c:pt>
                <c:pt idx="37">
                  <c:v>41</c:v>
                </c:pt>
                <c:pt idx="38">
                  <c:v>-3.4</c:v>
                </c:pt>
                <c:pt idx="39">
                  <c:v>71.599999999999994</c:v>
                </c:pt>
                <c:pt idx="40">
                  <c:v>31.5</c:v>
                </c:pt>
                <c:pt idx="41">
                  <c:v>35.4</c:v>
                </c:pt>
                <c:pt idx="42">
                  <c:v>11.5</c:v>
                </c:pt>
                <c:pt idx="43">
                  <c:v>9.1</c:v>
                </c:pt>
                <c:pt idx="44">
                  <c:v>-48.4</c:v>
                </c:pt>
                <c:pt idx="45">
                  <c:v>44.9</c:v>
                </c:pt>
                <c:pt idx="46">
                  <c:v>9.9</c:v>
                </c:pt>
                <c:pt idx="47">
                  <c:v>-20</c:v>
                </c:pt>
                <c:pt idx="48">
                  <c:v>-4.9000000000000004</c:v>
                </c:pt>
                <c:pt idx="49">
                  <c:v>17.8</c:v>
                </c:pt>
                <c:pt idx="50">
                  <c:v>-26.4</c:v>
                </c:pt>
                <c:pt idx="51">
                  <c:v>10.5</c:v>
                </c:pt>
                <c:pt idx="52">
                  <c:v>-0.4</c:v>
                </c:pt>
                <c:pt idx="53">
                  <c:v>18.100000000000001</c:v>
                </c:pt>
                <c:pt idx="54">
                  <c:v>22.8</c:v>
                </c:pt>
                <c:pt idx="55">
                  <c:v>-12.8</c:v>
                </c:pt>
                <c:pt idx="56">
                  <c:v>36</c:v>
                </c:pt>
                <c:pt idx="57">
                  <c:v>-49.1</c:v>
                </c:pt>
                <c:pt idx="58">
                  <c:v>-2.6</c:v>
                </c:pt>
                <c:pt idx="59">
                  <c:v>12.5</c:v>
                </c:pt>
                <c:pt idx="60">
                  <c:v>12.3</c:v>
                </c:pt>
                <c:pt idx="61">
                  <c:v>0.9</c:v>
                </c:pt>
                <c:pt idx="62">
                  <c:v>-3.8</c:v>
                </c:pt>
                <c:pt idx="63">
                  <c:v>-11.9</c:v>
                </c:pt>
                <c:pt idx="64">
                  <c:v>-17.5</c:v>
                </c:pt>
                <c:pt idx="65">
                  <c:v>7.3</c:v>
                </c:pt>
                <c:pt idx="66">
                  <c:v>-4.5999999999999996</c:v>
                </c:pt>
                <c:pt idx="67">
                  <c:v>14.1</c:v>
                </c:pt>
                <c:pt idx="68">
                  <c:v>-38.5</c:v>
                </c:pt>
                <c:pt idx="69">
                  <c:v>8.9</c:v>
                </c:pt>
                <c:pt idx="70">
                  <c:v>29.7</c:v>
                </c:pt>
                <c:pt idx="71">
                  <c:v>-20.7</c:v>
                </c:pt>
                <c:pt idx="72">
                  <c:v>-38</c:v>
                </c:pt>
                <c:pt idx="73">
                  <c:v>36</c:v>
                </c:pt>
                <c:pt idx="74">
                  <c:v>29.9</c:v>
                </c:pt>
                <c:pt idx="75">
                  <c:v>23.5</c:v>
                </c:pt>
                <c:pt idx="76">
                  <c:v>-5.8</c:v>
                </c:pt>
                <c:pt idx="77">
                  <c:v>-3</c:v>
                </c:pt>
                <c:pt idx="78">
                  <c:v>-6.7</c:v>
                </c:pt>
                <c:pt idx="79">
                  <c:v>-20.3</c:v>
                </c:pt>
                <c:pt idx="80">
                  <c:v>27.5</c:v>
                </c:pt>
                <c:pt idx="81">
                  <c:v>5.7</c:v>
                </c:pt>
                <c:pt idx="82">
                  <c:v>13.2</c:v>
                </c:pt>
                <c:pt idx="83">
                  <c:v>-7</c:v>
                </c:pt>
                <c:pt idx="84">
                  <c:v>20.3</c:v>
                </c:pt>
                <c:pt idx="85">
                  <c:v>-6</c:v>
                </c:pt>
                <c:pt idx="86">
                  <c:v>-26.2</c:v>
                </c:pt>
                <c:pt idx="87">
                  <c:v>36</c:v>
                </c:pt>
                <c:pt idx="88">
                  <c:v>0.3</c:v>
                </c:pt>
                <c:pt idx="89">
                  <c:v>-16.600000000000001</c:v>
                </c:pt>
                <c:pt idx="90">
                  <c:v>27.4</c:v>
                </c:pt>
                <c:pt idx="91">
                  <c:v>-34.5</c:v>
                </c:pt>
                <c:pt idx="92">
                  <c:v>26.2</c:v>
                </c:pt>
                <c:pt idx="93">
                  <c:v>-13.8</c:v>
                </c:pt>
                <c:pt idx="94">
                  <c:v>-16.899999999999999</c:v>
                </c:pt>
                <c:pt idx="95">
                  <c:v>-25.4</c:v>
                </c:pt>
                <c:pt idx="96">
                  <c:v>12.5</c:v>
                </c:pt>
                <c:pt idx="97">
                  <c:v>17.2</c:v>
                </c:pt>
                <c:pt idx="98">
                  <c:v>-30.6</c:v>
                </c:pt>
                <c:pt idx="99">
                  <c:v>23.8</c:v>
                </c:pt>
                <c:pt idx="100">
                  <c:v>7.5</c:v>
                </c:pt>
                <c:pt idx="101">
                  <c:v>17.8</c:v>
                </c:pt>
                <c:pt idx="102">
                  <c:v>-21.8</c:v>
                </c:pt>
                <c:pt idx="103">
                  <c:v>2.1</c:v>
                </c:pt>
                <c:pt idx="104">
                  <c:v>5.6</c:v>
                </c:pt>
                <c:pt idx="105">
                  <c:v>-49</c:v>
                </c:pt>
                <c:pt idx="106">
                  <c:v>-15.4</c:v>
                </c:pt>
                <c:pt idx="107">
                  <c:v>42.5</c:v>
                </c:pt>
                <c:pt idx="108">
                  <c:v>9</c:v>
                </c:pt>
                <c:pt idx="109">
                  <c:v>-58.9</c:v>
                </c:pt>
                <c:pt idx="110">
                  <c:v>40.700000000000003</c:v>
                </c:pt>
                <c:pt idx="111">
                  <c:v>-8.5</c:v>
                </c:pt>
                <c:pt idx="112">
                  <c:v>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C-438D-945C-A890E3E3F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1675.4545454545455</c:v>
                </c:pt>
                <c:pt idx="1">
                  <c:v>577.88461538461536</c:v>
                </c:pt>
                <c:pt idx="2">
                  <c:v>-29.166666666666668</c:v>
                </c:pt>
                <c:pt idx="3">
                  <c:v>-1273.3333333333333</c:v>
                </c:pt>
                <c:pt idx="4">
                  <c:v>997.43589743589746</c:v>
                </c:pt>
                <c:pt idx="5">
                  <c:v>-303.030303030303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6-4F67-ADC2-F4F6149C8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やがさき!$L$2:$L$34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-14.4</c:v>
                </c:pt>
                <c:pt idx="2">
                  <c:v>52</c:v>
                </c:pt>
                <c:pt idx="3">
                  <c:v>-40.4</c:v>
                </c:pt>
                <c:pt idx="4">
                  <c:v>-41.5</c:v>
                </c:pt>
                <c:pt idx="5">
                  <c:v>52.5</c:v>
                </c:pt>
                <c:pt idx="6">
                  <c:v>15</c:v>
                </c:pt>
                <c:pt idx="7">
                  <c:v>16.8</c:v>
                </c:pt>
                <c:pt idx="8">
                  <c:v>-35.799999999999997</c:v>
                </c:pt>
                <c:pt idx="9">
                  <c:v>2.6</c:v>
                </c:pt>
                <c:pt idx="10">
                  <c:v>50</c:v>
                </c:pt>
                <c:pt idx="11">
                  <c:v>12.5</c:v>
                </c:pt>
                <c:pt idx="12">
                  <c:v>11.5</c:v>
                </c:pt>
                <c:pt idx="13">
                  <c:v>74.3</c:v>
                </c:pt>
                <c:pt idx="14">
                  <c:v>-8</c:v>
                </c:pt>
                <c:pt idx="15">
                  <c:v>1.7</c:v>
                </c:pt>
                <c:pt idx="16">
                  <c:v>3.5</c:v>
                </c:pt>
                <c:pt idx="17">
                  <c:v>25.8</c:v>
                </c:pt>
                <c:pt idx="18">
                  <c:v>-23.1</c:v>
                </c:pt>
                <c:pt idx="19">
                  <c:v>-11.4</c:v>
                </c:pt>
                <c:pt idx="20">
                  <c:v>8.9</c:v>
                </c:pt>
                <c:pt idx="21">
                  <c:v>-14.5</c:v>
                </c:pt>
                <c:pt idx="22">
                  <c:v>-36.700000000000003</c:v>
                </c:pt>
                <c:pt idx="23">
                  <c:v>-47.5</c:v>
                </c:pt>
                <c:pt idx="24">
                  <c:v>27.7</c:v>
                </c:pt>
                <c:pt idx="25">
                  <c:v>-2</c:v>
                </c:pt>
                <c:pt idx="26">
                  <c:v>-28.4</c:v>
                </c:pt>
                <c:pt idx="27">
                  <c:v>13.6</c:v>
                </c:pt>
                <c:pt idx="28">
                  <c:v>-15.1</c:v>
                </c:pt>
                <c:pt idx="29">
                  <c:v>-34.200000000000003</c:v>
                </c:pt>
                <c:pt idx="30">
                  <c:v>-46.2</c:v>
                </c:pt>
                <c:pt idx="31">
                  <c:v>4</c:v>
                </c:pt>
                <c:pt idx="32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27-40FA-A5B7-02EFF877C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543.75</c:v>
                </c:pt>
                <c:pt idx="1">
                  <c:v>2250</c:v>
                </c:pt>
                <c:pt idx="2">
                  <c:v>-900</c:v>
                </c:pt>
                <c:pt idx="3">
                  <c:v>608</c:v>
                </c:pt>
                <c:pt idx="4">
                  <c:v>-1685.7142857142858</c:v>
                </c:pt>
                <c:pt idx="5">
                  <c:v>-1788.8888888888889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B-4F9C-AEA1-17E341BD1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れんたろう!$L$2:$L$123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3.9</c:v>
                </c:pt>
                <c:pt idx="2">
                  <c:v>-37.799999999999997</c:v>
                </c:pt>
                <c:pt idx="3">
                  <c:v>-36.200000000000003</c:v>
                </c:pt>
                <c:pt idx="4">
                  <c:v>35</c:v>
                </c:pt>
                <c:pt idx="5">
                  <c:v>-45</c:v>
                </c:pt>
                <c:pt idx="6">
                  <c:v>-36</c:v>
                </c:pt>
                <c:pt idx="7">
                  <c:v>-31.3</c:v>
                </c:pt>
                <c:pt idx="8">
                  <c:v>1.4</c:v>
                </c:pt>
                <c:pt idx="9">
                  <c:v>-27</c:v>
                </c:pt>
                <c:pt idx="10">
                  <c:v>-33.1</c:v>
                </c:pt>
                <c:pt idx="11">
                  <c:v>32.1</c:v>
                </c:pt>
                <c:pt idx="12">
                  <c:v>-23</c:v>
                </c:pt>
                <c:pt idx="13">
                  <c:v>-38</c:v>
                </c:pt>
                <c:pt idx="14">
                  <c:v>4</c:v>
                </c:pt>
                <c:pt idx="15">
                  <c:v>18.5</c:v>
                </c:pt>
                <c:pt idx="16">
                  <c:v>-20.7</c:v>
                </c:pt>
                <c:pt idx="17">
                  <c:v>-35.5</c:v>
                </c:pt>
                <c:pt idx="18">
                  <c:v>-27.1</c:v>
                </c:pt>
                <c:pt idx="19">
                  <c:v>22.6</c:v>
                </c:pt>
                <c:pt idx="20">
                  <c:v>3.2</c:v>
                </c:pt>
                <c:pt idx="21">
                  <c:v>28</c:v>
                </c:pt>
                <c:pt idx="22">
                  <c:v>39.1</c:v>
                </c:pt>
                <c:pt idx="23">
                  <c:v>2</c:v>
                </c:pt>
                <c:pt idx="24">
                  <c:v>32.700000000000003</c:v>
                </c:pt>
                <c:pt idx="25">
                  <c:v>-48.7</c:v>
                </c:pt>
                <c:pt idx="26">
                  <c:v>-39.4</c:v>
                </c:pt>
                <c:pt idx="27">
                  <c:v>-40</c:v>
                </c:pt>
                <c:pt idx="28">
                  <c:v>6.1</c:v>
                </c:pt>
                <c:pt idx="29">
                  <c:v>51</c:v>
                </c:pt>
                <c:pt idx="30">
                  <c:v>-18.100000000000001</c:v>
                </c:pt>
                <c:pt idx="31">
                  <c:v>-8.1</c:v>
                </c:pt>
                <c:pt idx="32">
                  <c:v>-18.5</c:v>
                </c:pt>
                <c:pt idx="33">
                  <c:v>-7.4</c:v>
                </c:pt>
                <c:pt idx="34">
                  <c:v>-10.4</c:v>
                </c:pt>
                <c:pt idx="35">
                  <c:v>-38</c:v>
                </c:pt>
                <c:pt idx="36">
                  <c:v>11.6</c:v>
                </c:pt>
                <c:pt idx="37">
                  <c:v>-43.5</c:v>
                </c:pt>
                <c:pt idx="38">
                  <c:v>-8.5</c:v>
                </c:pt>
                <c:pt idx="39">
                  <c:v>19.600000000000001</c:v>
                </c:pt>
                <c:pt idx="40">
                  <c:v>-18.100000000000001</c:v>
                </c:pt>
                <c:pt idx="41">
                  <c:v>12</c:v>
                </c:pt>
                <c:pt idx="42">
                  <c:v>-0.5</c:v>
                </c:pt>
                <c:pt idx="43">
                  <c:v>42</c:v>
                </c:pt>
                <c:pt idx="44">
                  <c:v>-5.8</c:v>
                </c:pt>
                <c:pt idx="45">
                  <c:v>1.7</c:v>
                </c:pt>
                <c:pt idx="46">
                  <c:v>-34.200000000000003</c:v>
                </c:pt>
                <c:pt idx="47">
                  <c:v>12</c:v>
                </c:pt>
                <c:pt idx="48">
                  <c:v>-7.8</c:v>
                </c:pt>
                <c:pt idx="49">
                  <c:v>-5.3</c:v>
                </c:pt>
                <c:pt idx="50">
                  <c:v>-35.5</c:v>
                </c:pt>
                <c:pt idx="51">
                  <c:v>-10</c:v>
                </c:pt>
                <c:pt idx="52">
                  <c:v>-16.399999999999999</c:v>
                </c:pt>
                <c:pt idx="53">
                  <c:v>26.5</c:v>
                </c:pt>
                <c:pt idx="54">
                  <c:v>-11.3</c:v>
                </c:pt>
                <c:pt idx="55">
                  <c:v>-9.3000000000000007</c:v>
                </c:pt>
                <c:pt idx="56">
                  <c:v>25.1</c:v>
                </c:pt>
                <c:pt idx="57">
                  <c:v>-33.5</c:v>
                </c:pt>
                <c:pt idx="58">
                  <c:v>-37.5</c:v>
                </c:pt>
                <c:pt idx="59">
                  <c:v>-9.4</c:v>
                </c:pt>
                <c:pt idx="60">
                  <c:v>0.5</c:v>
                </c:pt>
                <c:pt idx="61">
                  <c:v>-12.1</c:v>
                </c:pt>
                <c:pt idx="62">
                  <c:v>-5.2</c:v>
                </c:pt>
                <c:pt idx="63">
                  <c:v>76.5</c:v>
                </c:pt>
                <c:pt idx="64">
                  <c:v>-35.799999999999997</c:v>
                </c:pt>
                <c:pt idx="65">
                  <c:v>-2.2000000000000002</c:v>
                </c:pt>
                <c:pt idx="66">
                  <c:v>-16.899999999999999</c:v>
                </c:pt>
                <c:pt idx="67">
                  <c:v>-37.4</c:v>
                </c:pt>
                <c:pt idx="68">
                  <c:v>89.7</c:v>
                </c:pt>
                <c:pt idx="69">
                  <c:v>31.2</c:v>
                </c:pt>
                <c:pt idx="70">
                  <c:v>40.200000000000003</c:v>
                </c:pt>
                <c:pt idx="71">
                  <c:v>-21</c:v>
                </c:pt>
                <c:pt idx="72">
                  <c:v>-36</c:v>
                </c:pt>
                <c:pt idx="73">
                  <c:v>-9.4</c:v>
                </c:pt>
                <c:pt idx="74">
                  <c:v>14.5</c:v>
                </c:pt>
                <c:pt idx="75">
                  <c:v>-39.4</c:v>
                </c:pt>
                <c:pt idx="76">
                  <c:v>1.4</c:v>
                </c:pt>
                <c:pt idx="77">
                  <c:v>-2.8</c:v>
                </c:pt>
                <c:pt idx="78">
                  <c:v>11.8</c:v>
                </c:pt>
                <c:pt idx="79">
                  <c:v>-15.1</c:v>
                </c:pt>
                <c:pt idx="80">
                  <c:v>-11.7</c:v>
                </c:pt>
                <c:pt idx="81">
                  <c:v>56.4</c:v>
                </c:pt>
                <c:pt idx="82">
                  <c:v>45</c:v>
                </c:pt>
                <c:pt idx="83">
                  <c:v>-0.7</c:v>
                </c:pt>
                <c:pt idx="84">
                  <c:v>10.1</c:v>
                </c:pt>
                <c:pt idx="85">
                  <c:v>-35.799999999999997</c:v>
                </c:pt>
                <c:pt idx="86">
                  <c:v>-3.8</c:v>
                </c:pt>
                <c:pt idx="87">
                  <c:v>-13.7</c:v>
                </c:pt>
                <c:pt idx="88">
                  <c:v>-41</c:v>
                </c:pt>
                <c:pt idx="89">
                  <c:v>-43.1</c:v>
                </c:pt>
                <c:pt idx="90">
                  <c:v>0</c:v>
                </c:pt>
                <c:pt idx="91">
                  <c:v>-3.7</c:v>
                </c:pt>
                <c:pt idx="92">
                  <c:v>-36.5</c:v>
                </c:pt>
                <c:pt idx="93">
                  <c:v>-41.4</c:v>
                </c:pt>
                <c:pt idx="94">
                  <c:v>2.2000000000000002</c:v>
                </c:pt>
                <c:pt idx="95">
                  <c:v>16.600000000000001</c:v>
                </c:pt>
                <c:pt idx="96">
                  <c:v>30.8</c:v>
                </c:pt>
                <c:pt idx="97">
                  <c:v>63.7</c:v>
                </c:pt>
                <c:pt idx="98">
                  <c:v>-28.8</c:v>
                </c:pt>
                <c:pt idx="99">
                  <c:v>23.5</c:v>
                </c:pt>
                <c:pt idx="100">
                  <c:v>-50.5</c:v>
                </c:pt>
                <c:pt idx="101">
                  <c:v>1.8</c:v>
                </c:pt>
                <c:pt idx="102">
                  <c:v>51.3</c:v>
                </c:pt>
                <c:pt idx="103">
                  <c:v>-25.1</c:v>
                </c:pt>
                <c:pt idx="104">
                  <c:v>0.5</c:v>
                </c:pt>
                <c:pt idx="105">
                  <c:v>-0.9</c:v>
                </c:pt>
                <c:pt idx="106">
                  <c:v>58.2</c:v>
                </c:pt>
                <c:pt idx="107">
                  <c:v>-16.8</c:v>
                </c:pt>
                <c:pt idx="108">
                  <c:v>-16.600000000000001</c:v>
                </c:pt>
                <c:pt idx="109">
                  <c:v>4.5</c:v>
                </c:pt>
                <c:pt idx="110">
                  <c:v>0.8</c:v>
                </c:pt>
                <c:pt idx="111">
                  <c:v>-22.4</c:v>
                </c:pt>
                <c:pt idx="112">
                  <c:v>-0.8</c:v>
                </c:pt>
                <c:pt idx="113">
                  <c:v>1.8</c:v>
                </c:pt>
                <c:pt idx="114">
                  <c:v>-5.7</c:v>
                </c:pt>
                <c:pt idx="115">
                  <c:v>31.7</c:v>
                </c:pt>
                <c:pt idx="116">
                  <c:v>3</c:v>
                </c:pt>
                <c:pt idx="117">
                  <c:v>-13</c:v>
                </c:pt>
                <c:pt idx="118">
                  <c:v>-16.899999999999999</c:v>
                </c:pt>
                <c:pt idx="119">
                  <c:v>1.1000000000000001</c:v>
                </c:pt>
                <c:pt idx="120">
                  <c:v>-33</c:v>
                </c:pt>
                <c:pt idx="121">
                  <c:v>-7.5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0B-4179-907B-14041EDF4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-1787.1794871794871</c:v>
                </c:pt>
                <c:pt idx="1">
                  <c:v>759.13043478260875</c:v>
                </c:pt>
                <c:pt idx="2">
                  <c:v>-199.08256880733944</c:v>
                </c:pt>
                <c:pt idx="3">
                  <c:v>-578.78787878787875</c:v>
                </c:pt>
                <c:pt idx="4">
                  <c:v>-2642.391304347826</c:v>
                </c:pt>
                <c:pt idx="5">
                  <c:v>628.37837837837833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D-434C-9F6D-153817300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43</c:v>
                </c:pt>
                <c:pt idx="3">
                  <c:v>-14</c:v>
                </c:pt>
                <c:pt idx="4">
                  <c:v>7.2</c:v>
                </c:pt>
                <c:pt idx="5">
                  <c:v>24.5</c:v>
                </c:pt>
                <c:pt idx="6">
                  <c:v>-42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4-46D3-93B3-0558AE7D3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7D-4432-97FD-D8D277308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15</c:v>
                </c:pt>
                <c:pt idx="2">
                  <c:v>-39.299999999999997</c:v>
                </c:pt>
                <c:pt idx="3">
                  <c:v>8.6999999999999993</c:v>
                </c:pt>
                <c:pt idx="4">
                  <c:v>20.7</c:v>
                </c:pt>
                <c:pt idx="5">
                  <c:v>4.5</c:v>
                </c:pt>
                <c:pt idx="6">
                  <c:v>-7.4</c:v>
                </c:pt>
                <c:pt idx="7">
                  <c:v>25</c:v>
                </c:pt>
                <c:pt idx="8">
                  <c:v>-31.7</c:v>
                </c:pt>
                <c:pt idx="9">
                  <c:v>-4.9000000000000004</c:v>
                </c:pt>
                <c:pt idx="10">
                  <c:v>-14.9</c:v>
                </c:pt>
                <c:pt idx="11">
                  <c:v>-45.7</c:v>
                </c:pt>
                <c:pt idx="12">
                  <c:v>26.2</c:v>
                </c:pt>
                <c:pt idx="13">
                  <c:v>32.700000000000003</c:v>
                </c:pt>
                <c:pt idx="14">
                  <c:v>5.3</c:v>
                </c:pt>
                <c:pt idx="15">
                  <c:v>-38.4</c:v>
                </c:pt>
                <c:pt idx="16">
                  <c:v>18.600000000000001</c:v>
                </c:pt>
                <c:pt idx="17">
                  <c:v>-14.2</c:v>
                </c:pt>
                <c:pt idx="18">
                  <c:v>-20.6</c:v>
                </c:pt>
                <c:pt idx="19">
                  <c:v>0.4</c:v>
                </c:pt>
                <c:pt idx="20">
                  <c:v>-28.2</c:v>
                </c:pt>
                <c:pt idx="21">
                  <c:v>-37.6</c:v>
                </c:pt>
                <c:pt idx="22">
                  <c:v>-23.5</c:v>
                </c:pt>
                <c:pt idx="23">
                  <c:v>-1</c:v>
                </c:pt>
                <c:pt idx="24">
                  <c:v>-45.8</c:v>
                </c:pt>
                <c:pt idx="25">
                  <c:v>-43.9</c:v>
                </c:pt>
                <c:pt idx="26">
                  <c:v>-37</c:v>
                </c:pt>
                <c:pt idx="27">
                  <c:v>10.3</c:v>
                </c:pt>
                <c:pt idx="28">
                  <c:v>-17</c:v>
                </c:pt>
                <c:pt idx="29">
                  <c:v>32.5</c:v>
                </c:pt>
                <c:pt idx="30">
                  <c:v>-36.700000000000003</c:v>
                </c:pt>
                <c:pt idx="31">
                  <c:v>-47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97-4A32-AF19-D71AA2D08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-2948.3870967741937</c:v>
                </c:pt>
                <c:pt idx="1">
                  <c:v>1164.516129032258</c:v>
                </c:pt>
                <c:pt idx="2">
                  <c:v>-4366.666666666667</c:v>
                </c:pt>
                <c:pt idx="3">
                  <c:v>-2141.6666666666665</c:v>
                </c:pt>
                <c:pt idx="4">
                  <c:v>-3491.304347826087</c:v>
                </c:pt>
                <c:pt idx="5">
                  <c:v>-1764.7058823529412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0-4441-8E94-68869D961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-0.3</c:v>
                </c:pt>
                <c:pt idx="3">
                  <c:v>24.1</c:v>
                </c:pt>
                <c:pt idx="4">
                  <c:v>24.5</c:v>
                </c:pt>
                <c:pt idx="5">
                  <c:v>-37.299999999999997</c:v>
                </c:pt>
                <c:pt idx="6">
                  <c:v>-35.5</c:v>
                </c:pt>
                <c:pt idx="7">
                  <c:v>-11.3</c:v>
                </c:pt>
                <c:pt idx="8">
                  <c:v>0.7</c:v>
                </c:pt>
                <c:pt idx="9">
                  <c:v>-39.5</c:v>
                </c:pt>
                <c:pt idx="10">
                  <c:v>-45.3</c:v>
                </c:pt>
                <c:pt idx="11">
                  <c:v>-27.7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A-410A-AF9F-CDB31B635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-381.81818181818181</c:v>
                </c:pt>
                <c:pt idx="1">
                  <c:v>-3318.181818181818</c:v>
                </c:pt>
                <c:pt idx="2">
                  <c:v>-8363.636363636364</c:v>
                </c:pt>
                <c:pt idx="3">
                  <c:v>662.5</c:v>
                </c:pt>
                <c:pt idx="4">
                  <c:v>-1985.7142857142858</c:v>
                </c:pt>
                <c:pt idx="5">
                  <c:v>-460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D-45AD-A32B-6507D71E6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ぱぱ2!$B$3:$B$14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ぱぱ2!$C$3:$C$14</c:f>
              <c:numCache>
                <c:formatCode>\+0.0;\-0.0;\±0</c:formatCode>
                <c:ptCount val="12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ぱぱ2!$D$3:$D$14</c:f>
              <c:numCache>
                <c:formatCode>0.00\ "位"</c:formatCode>
                <c:ptCount val="12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ぱぱ2!$E$3:$E$14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ぱぱ2!$F$3:$F$14</c:f>
              <c:numCache>
                <c:formatCode>0.0%</c:formatCode>
                <c:ptCount val="12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ぱぱ2!$G$3:$G$14</c:f>
              <c:numCache>
                <c:formatCode>0.0%</c:formatCode>
                <c:ptCount val="12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ぱぱ2!$H$3:$H$14</c:f>
              <c:numCache>
                <c:formatCode>0</c:formatCode>
                <c:ptCount val="12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ぱぱ2!$I$3:$I$14</c:f>
              <c:numCache>
                <c:formatCode>0</c:formatCode>
                <c:ptCount val="12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ぱぱ2!$J$3:$J$14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ぱぱ2!$K$3:$K$14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ぱぱ2!$M$3:$M$14</c:f>
              <c:numCache>
                <c:formatCode>0.0%</c:formatCode>
                <c:ptCount val="12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ぱぱ2!$N$3:$N$14</c:f>
              <c:numCache>
                <c:formatCode>0.0%</c:formatCode>
                <c:ptCount val="12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ぱぱ2!$O$3:$O$14</c:f>
              <c:numCache>
                <c:formatCode>0.0%</c:formatCode>
                <c:ptCount val="1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ぱぱ2!$P$3:$P$14</c:f>
              <c:numCache>
                <c:formatCode>0.0%</c:formatCode>
                <c:ptCount val="12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ぱぱ2!$Q$3:$Q$14</c:f>
              <c:numCache>
                <c:formatCode>0.0%</c:formatCode>
                <c:ptCount val="12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ぱぱ2!$L$3:$L$14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5F8563-AD39-4FC3-8677-2F21BF6A0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71EB61-0D96-443C-9F67-6050B0C340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7D83EA-1268-4738-BA40-D2A13EAC7E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C61BB4-8412-4B99-91A6-1924D8F330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049DAE-0C84-4EDE-9F36-4CB84C483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D51DD42-5528-477C-B4C9-60248A3CA1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7570EB-3990-4441-BEE1-197EBA35A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AEE86A-DA20-4568-AE6B-47E2B1E1F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67C63D-0688-4FDF-B458-43E201BC2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9AD232-C66D-4459-BBDB-B38B304C1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A16056-54C1-46BA-90A9-47F9D5438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9C7981-B52F-49E4-A53E-CCBAE1E2A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71B7BE-17EA-4571-B9AE-EEB5F4AEA3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A4B0CD-9D10-41F2-9042-6ACCB19034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10A9DC-EA4C-4980-BDD8-08E51AD23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4EA131C-A293-4CEF-895A-2861F058C4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57A217-B2BE-496C-A28B-173FCA0C97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D3DEEE-10B2-4627-A721-10F02D166D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92C3C1-2521-48E9-935B-DA03FE6A60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0E07DA-4DE2-46A0-960A-A5B42E906D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4EE7B3-A833-4EEB-98FF-D58C2A5FBC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07FC31-66B0-4A3D-A634-1BDFF3505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5470D5-3043-4329-84D5-8B488F2BD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D4717A4-C278-41C7-892D-C2787FD42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2FFDA1C-139D-41B5-B832-AB0D7ED66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44D344-14D6-4E67-8AB3-D60AEC99E4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74E34E8-E9AD-4B8A-AC37-26856EFED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794843-238B-45A1-AA91-BED916D783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52"/>
      <c r="C1" s="153"/>
      <c r="E1" s="135" t="s">
        <v>256</v>
      </c>
      <c r="F1" s="12" t="s">
        <v>120</v>
      </c>
      <c r="G1" s="27" t="s">
        <v>121</v>
      </c>
      <c r="H1" s="136" t="s">
        <v>122</v>
      </c>
      <c r="I1" s="106" t="s">
        <v>227</v>
      </c>
      <c r="K1" s="2" t="s">
        <v>20</v>
      </c>
      <c r="L1" s="37" t="s">
        <v>125</v>
      </c>
      <c r="M1" s="166"/>
      <c r="N1" s="119" t="s">
        <v>153</v>
      </c>
      <c r="O1" s="36" t="s">
        <v>154</v>
      </c>
      <c r="P1" s="123" t="s">
        <v>121</v>
      </c>
      <c r="Q1" s="107" t="s">
        <v>235</v>
      </c>
    </row>
    <row r="2" spans="1:17" x14ac:dyDescent="0.4">
      <c r="A2" s="22" t="s">
        <v>9</v>
      </c>
      <c r="B2" s="148">
        <v>0</v>
      </c>
      <c r="C2" s="149"/>
      <c r="E2" s="64" t="s">
        <v>67</v>
      </c>
      <c r="F2" s="28" t="s">
        <v>21</v>
      </c>
      <c r="G2" s="14">
        <v>0</v>
      </c>
      <c r="H2" s="137">
        <f t="shared" ref="H2:H33" si="0">IF(B$27=0,0,G2/B$27)</f>
        <v>0</v>
      </c>
      <c r="I2" s="99"/>
      <c r="K2" s="3">
        <v>0</v>
      </c>
      <c r="L2" s="104">
        <v>0</v>
      </c>
      <c r="N2" s="120" t="s">
        <v>147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54">
        <v>0</v>
      </c>
      <c r="C3" s="155"/>
      <c r="E3" s="65" t="s">
        <v>68</v>
      </c>
      <c r="F3" s="29" t="s">
        <v>22</v>
      </c>
      <c r="G3" s="15">
        <v>0</v>
      </c>
      <c r="H3" s="138">
        <f t="shared" si="0"/>
        <v>0</v>
      </c>
      <c r="I3" s="100"/>
      <c r="N3" s="121" t="s">
        <v>148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56">
        <v>0</v>
      </c>
      <c r="C4" s="157"/>
      <c r="E4" s="65" t="s">
        <v>69</v>
      </c>
      <c r="F4" s="29" t="s">
        <v>23</v>
      </c>
      <c r="G4" s="15">
        <v>0</v>
      </c>
      <c r="H4" s="138">
        <f t="shared" si="0"/>
        <v>0</v>
      </c>
      <c r="I4" s="100"/>
      <c r="N4" s="121" t="s">
        <v>149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8">
        <f>IF(B$2=0,0,B$4/B$2)</f>
        <v>0</v>
      </c>
      <c r="C5" s="159"/>
      <c r="E5" s="65" t="s">
        <v>70</v>
      </c>
      <c r="F5" s="29" t="s">
        <v>24</v>
      </c>
      <c r="G5" s="15">
        <v>0</v>
      </c>
      <c r="H5" s="138">
        <f t="shared" si="0"/>
        <v>0</v>
      </c>
      <c r="I5" s="100"/>
      <c r="N5" s="121" t="s">
        <v>150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46">
        <f>IF(B$2=0,0,(B$7*1+B$8*2+B$9*3)/B$2)</f>
        <v>0</v>
      </c>
      <c r="C6" s="147"/>
      <c r="E6" s="65" t="s">
        <v>71</v>
      </c>
      <c r="F6" s="29" t="s">
        <v>25</v>
      </c>
      <c r="G6" s="15">
        <v>0</v>
      </c>
      <c r="H6" s="138">
        <f t="shared" si="0"/>
        <v>0</v>
      </c>
      <c r="I6" s="100"/>
      <c r="N6" s="121" t="s">
        <v>151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8">
        <f t="shared" si="0"/>
        <v>0</v>
      </c>
      <c r="I7" s="100"/>
      <c r="N7" s="122" t="s">
        <v>152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8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8">
        <f t="shared" si="0"/>
        <v>0</v>
      </c>
      <c r="I9" s="100"/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8">
        <f t="shared" si="0"/>
        <v>0</v>
      </c>
      <c r="I10" s="100"/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8">
        <f t="shared" si="0"/>
        <v>0</v>
      </c>
      <c r="I11" s="100"/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8">
        <f t="shared" si="0"/>
        <v>0</v>
      </c>
      <c r="I12" s="100"/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8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8">
        <f t="shared" si="0"/>
        <v>0</v>
      </c>
      <c r="I14" s="100"/>
      <c r="N14" s="119" t="s">
        <v>231</v>
      </c>
      <c r="O14" s="36" t="s">
        <v>232</v>
      </c>
      <c r="P14" s="123" t="s">
        <v>233</v>
      </c>
      <c r="Q14" s="111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8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8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8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8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8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8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8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8">
        <f t="shared" si="0"/>
        <v>0</v>
      </c>
      <c r="I22" s="100"/>
    </row>
    <row r="23" spans="1:9" x14ac:dyDescent="0.4">
      <c r="A23" s="96" t="s">
        <v>158</v>
      </c>
      <c r="B23" s="144">
        <v>0</v>
      </c>
      <c r="C23" s="145"/>
      <c r="E23" s="65" t="s">
        <v>88</v>
      </c>
      <c r="F23" s="29" t="s">
        <v>41</v>
      </c>
      <c r="G23" s="15">
        <v>0</v>
      </c>
      <c r="H23" s="138">
        <f t="shared" si="0"/>
        <v>0</v>
      </c>
      <c r="I23" s="100"/>
    </row>
    <row r="24" spans="1:9" x14ac:dyDescent="0.4">
      <c r="A24" s="60" t="s">
        <v>199</v>
      </c>
      <c r="B24" s="142">
        <v>0</v>
      </c>
      <c r="C24" s="143"/>
      <c r="E24" s="65" t="s">
        <v>89</v>
      </c>
      <c r="F24" s="29" t="s">
        <v>42</v>
      </c>
      <c r="G24" s="15">
        <v>0</v>
      </c>
      <c r="H24" s="138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8">
        <f t="shared" si="0"/>
        <v>0</v>
      </c>
      <c r="I25" s="100"/>
    </row>
    <row r="26" spans="1:9" x14ac:dyDescent="0.4">
      <c r="A26" s="22" t="s">
        <v>126</v>
      </c>
      <c r="B26" s="148">
        <v>0</v>
      </c>
      <c r="C26" s="149"/>
      <c r="E26" s="65" t="s">
        <v>91</v>
      </c>
      <c r="F26" s="29" t="s">
        <v>44</v>
      </c>
      <c r="G26" s="15">
        <v>0</v>
      </c>
      <c r="H26" s="138">
        <f t="shared" si="0"/>
        <v>0</v>
      </c>
      <c r="I26" s="100"/>
    </row>
    <row r="27" spans="1:9" x14ac:dyDescent="0.4">
      <c r="A27" s="25" t="s">
        <v>127</v>
      </c>
      <c r="B27" s="150">
        <v>0</v>
      </c>
      <c r="C27" s="151"/>
      <c r="E27" s="65" t="s">
        <v>92</v>
      </c>
      <c r="F27" s="29" t="s">
        <v>45</v>
      </c>
      <c r="G27" s="15">
        <v>0</v>
      </c>
      <c r="H27" s="138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8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8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8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8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8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8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8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8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8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8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8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8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8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8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8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8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8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8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8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8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8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8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8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39">
        <f t="shared" si="3"/>
        <v>0</v>
      </c>
      <c r="I51" s="101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3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257</v>
      </c>
      <c r="B61" s="33">
        <v>43513.867638888885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258</v>
      </c>
      <c r="B62" s="33">
        <v>43514.699583333335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259</v>
      </c>
      <c r="B63" s="33">
        <v>43516.112210648149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246</v>
      </c>
      <c r="K1" s="161"/>
      <c r="L1" s="160" t="s">
        <v>195</v>
      </c>
      <c r="M1" s="161"/>
      <c r="N1" s="160" t="s">
        <v>196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156</v>
      </c>
      <c r="W1" s="161"/>
      <c r="X1" s="160" t="s">
        <v>241</v>
      </c>
      <c r="Y1" s="161"/>
      <c r="Z1" s="160" t="s">
        <v>129</v>
      </c>
      <c r="AA1" s="161"/>
      <c r="AB1" s="160" t="s">
        <v>124</v>
      </c>
      <c r="AC1" s="161"/>
      <c r="AD1" s="160" t="s">
        <v>132</v>
      </c>
      <c r="AE1" s="161"/>
      <c r="AF1" s="160" t="s">
        <v>197</v>
      </c>
      <c r="AG1" s="161"/>
      <c r="AH1" s="160" t="s">
        <v>160</v>
      </c>
      <c r="AI1" s="161"/>
      <c r="AJ1" s="160" t="s">
        <v>198</v>
      </c>
      <c r="AK1" s="161"/>
      <c r="AL1" s="160" t="s">
        <v>200</v>
      </c>
      <c r="AM1" s="161"/>
      <c r="AN1" s="160" t="s">
        <v>247</v>
      </c>
      <c r="AO1" s="161"/>
    </row>
    <row r="2" spans="1:41" x14ac:dyDescent="0.4">
      <c r="A2" s="74" t="s">
        <v>245</v>
      </c>
      <c r="B2" s="162"/>
      <c r="C2" s="163"/>
      <c r="D2" s="162"/>
      <c r="E2" s="163"/>
      <c r="F2" s="164">
        <v>0.987340759775309</v>
      </c>
      <c r="G2" s="165"/>
      <c r="H2" s="164">
        <v>0.94017898756603457</v>
      </c>
      <c r="I2" s="165"/>
      <c r="J2" s="164">
        <v>0.97946511443734141</v>
      </c>
      <c r="K2" s="165"/>
      <c r="L2" s="164">
        <v>0.95832663667040552</v>
      </c>
      <c r="M2" s="165"/>
      <c r="N2" s="164">
        <v>0.90355551757494457</v>
      </c>
      <c r="O2" s="165"/>
      <c r="P2" s="164">
        <v>0.47692766218885191</v>
      </c>
      <c r="Q2" s="165"/>
      <c r="R2" s="164">
        <v>0.1151408220670323</v>
      </c>
      <c r="S2" s="165"/>
      <c r="T2" s="164">
        <v>0.93552191805896212</v>
      </c>
      <c r="U2" s="165"/>
      <c r="V2" s="164">
        <v>0.99119837964812318</v>
      </c>
      <c r="W2" s="165"/>
      <c r="X2" s="164">
        <v>0.3973307921801017</v>
      </c>
      <c r="Y2" s="165"/>
      <c r="Z2" s="164">
        <v>0.72709955165765561</v>
      </c>
      <c r="AA2" s="165"/>
      <c r="AB2" s="164">
        <v>-0.45759898143075334</v>
      </c>
      <c r="AC2" s="165"/>
      <c r="AD2" s="164">
        <v>0.8680904784047645</v>
      </c>
      <c r="AE2" s="165"/>
      <c r="AF2" s="164">
        <v>0.5466787025989096</v>
      </c>
      <c r="AG2" s="165"/>
      <c r="AH2" s="164">
        <v>0.15028319019865172</v>
      </c>
      <c r="AI2" s="165"/>
      <c r="AJ2" s="164">
        <v>0.73709773617367047</v>
      </c>
      <c r="AK2" s="165"/>
      <c r="AL2" s="164">
        <v>0.83398919503870605</v>
      </c>
      <c r="AM2" s="165"/>
      <c r="AN2" s="164">
        <v>9.9502369505113791E-2</v>
      </c>
      <c r="AO2" s="165"/>
    </row>
    <row r="3" spans="1:41" x14ac:dyDescent="0.4">
      <c r="A3" s="76">
        <v>1</v>
      </c>
      <c r="B3" s="77" t="s">
        <v>133</v>
      </c>
      <c r="C3" s="78">
        <v>1576.6999999999998</v>
      </c>
      <c r="D3" s="79" t="s">
        <v>194</v>
      </c>
      <c r="E3" s="102">
        <v>7.833333333333333</v>
      </c>
      <c r="F3" s="79" t="s">
        <v>133</v>
      </c>
      <c r="G3" s="80">
        <v>1.7659574468085106</v>
      </c>
      <c r="H3" s="79" t="s">
        <v>194</v>
      </c>
      <c r="I3" s="81">
        <v>0.5</v>
      </c>
      <c r="J3" s="79" t="s">
        <v>133</v>
      </c>
      <c r="K3" s="81">
        <v>0.20851063829787234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0.40336134453781514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256.20000000000005</v>
      </c>
      <c r="D4" s="89" t="s">
        <v>133</v>
      </c>
      <c r="E4" s="103">
        <v>6.7093617021276586</v>
      </c>
      <c r="F4" s="89" t="s">
        <v>194</v>
      </c>
      <c r="G4" s="90">
        <v>1.8333333333333333</v>
      </c>
      <c r="H4" s="89" t="s">
        <v>133</v>
      </c>
      <c r="I4" s="91">
        <v>0.44255319148936167</v>
      </c>
      <c r="J4" s="89" t="s">
        <v>167</v>
      </c>
      <c r="K4" s="91">
        <v>0.25</v>
      </c>
      <c r="L4" s="89" t="s">
        <v>133</v>
      </c>
      <c r="M4" s="92">
        <v>0.35376827896512936</v>
      </c>
      <c r="N4" s="89" t="s">
        <v>133</v>
      </c>
      <c r="O4" s="92">
        <v>0.14116985376827895</v>
      </c>
      <c r="P4" s="89" t="s">
        <v>138</v>
      </c>
      <c r="Q4" s="93">
        <v>11041.666666666666</v>
      </c>
      <c r="R4" s="89" t="s">
        <v>157</v>
      </c>
      <c r="S4" s="93">
        <v>-8586.95652173913</v>
      </c>
      <c r="T4" s="89" t="s">
        <v>133</v>
      </c>
      <c r="U4" s="91">
        <v>0.10212765957446808</v>
      </c>
      <c r="V4" s="89" t="s">
        <v>133</v>
      </c>
      <c r="W4" s="91">
        <v>0.19148936170212766</v>
      </c>
      <c r="X4" s="89" t="s">
        <v>133</v>
      </c>
      <c r="Y4" s="91">
        <v>0.10212765957446808</v>
      </c>
      <c r="Z4" s="89" t="s">
        <v>194</v>
      </c>
      <c r="AA4" s="92">
        <v>0.42</v>
      </c>
      <c r="AB4" s="89" t="s">
        <v>135</v>
      </c>
      <c r="AC4" s="92">
        <v>0.31527093596059114</v>
      </c>
      <c r="AD4" s="89" t="s">
        <v>133</v>
      </c>
      <c r="AE4" s="92">
        <v>0.63771712158808935</v>
      </c>
      <c r="AF4" s="89" t="s">
        <v>194</v>
      </c>
      <c r="AG4" s="92">
        <v>0.5</v>
      </c>
      <c r="AH4" s="89" t="s">
        <v>136</v>
      </c>
      <c r="AI4" s="92">
        <v>0.46938775510204084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225.49999999999983</v>
      </c>
      <c r="D5" s="89" t="s">
        <v>135</v>
      </c>
      <c r="E5" s="103">
        <v>4.2000000000000011</v>
      </c>
      <c r="F5" s="89" t="s">
        <v>135</v>
      </c>
      <c r="G5" s="90">
        <v>1.9180327868852458</v>
      </c>
      <c r="H5" s="89" t="s">
        <v>137</v>
      </c>
      <c r="I5" s="91">
        <v>0.375</v>
      </c>
      <c r="J5" s="89" t="s">
        <v>135</v>
      </c>
      <c r="K5" s="91">
        <v>0.26229508196721313</v>
      </c>
      <c r="L5" s="89" t="s">
        <v>135</v>
      </c>
      <c r="M5" s="92">
        <v>0.34693877551020408</v>
      </c>
      <c r="N5" s="89" t="s">
        <v>135</v>
      </c>
      <c r="O5" s="92">
        <v>0.15646258503401361</v>
      </c>
      <c r="P5" s="89" t="s">
        <v>134</v>
      </c>
      <c r="Q5" s="93">
        <v>11027.509293680298</v>
      </c>
      <c r="R5" s="89" t="s">
        <v>138</v>
      </c>
      <c r="S5" s="93">
        <v>-8928.8888888888887</v>
      </c>
      <c r="T5" s="89" t="s">
        <v>135</v>
      </c>
      <c r="U5" s="91">
        <v>0.11475409836065574</v>
      </c>
      <c r="V5" s="89" t="s">
        <v>135</v>
      </c>
      <c r="W5" s="91">
        <v>0.18032786885245902</v>
      </c>
      <c r="X5" s="89" t="s">
        <v>139</v>
      </c>
      <c r="Y5" s="91">
        <v>9.9173553719008267E-2</v>
      </c>
      <c r="Z5" s="89" t="s">
        <v>138</v>
      </c>
      <c r="AA5" s="92">
        <v>0.31111111111111112</v>
      </c>
      <c r="AB5" s="89" t="s">
        <v>250</v>
      </c>
      <c r="AC5" s="92">
        <v>0.28048780487804881</v>
      </c>
      <c r="AD5" s="89" t="s">
        <v>194</v>
      </c>
      <c r="AE5" s="92">
        <v>0.61904761904761907</v>
      </c>
      <c r="AF5" s="89" t="s">
        <v>133</v>
      </c>
      <c r="AG5" s="92">
        <v>0.4907749077490775</v>
      </c>
      <c r="AH5" s="89" t="s">
        <v>138</v>
      </c>
      <c r="AI5" s="92">
        <v>0.45833333333333331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2.0133928571428554</v>
      </c>
      <c r="F6" s="89" t="s">
        <v>137</v>
      </c>
      <c r="G6" s="90">
        <v>1.9285714285714286</v>
      </c>
      <c r="H6" s="89" t="s">
        <v>135</v>
      </c>
      <c r="I6" s="91">
        <v>0.34426229508196721</v>
      </c>
      <c r="J6" s="89" t="s">
        <v>137</v>
      </c>
      <c r="K6" s="91">
        <v>0.30357142857142855</v>
      </c>
      <c r="L6" s="89" t="s">
        <v>137</v>
      </c>
      <c r="M6" s="92">
        <v>0.30106257378984652</v>
      </c>
      <c r="N6" s="89" t="s">
        <v>137</v>
      </c>
      <c r="O6" s="92">
        <v>0.16292798110979928</v>
      </c>
      <c r="P6" s="89" t="s">
        <v>137</v>
      </c>
      <c r="Q6" s="93">
        <v>10497.64705882353</v>
      </c>
      <c r="R6" s="89" t="s">
        <v>135</v>
      </c>
      <c r="S6" s="93">
        <v>-8992.753623188406</v>
      </c>
      <c r="T6" s="89" t="s">
        <v>137</v>
      </c>
      <c r="U6" s="91">
        <v>0.11607142857142858</v>
      </c>
      <c r="V6" s="89" t="s">
        <v>137</v>
      </c>
      <c r="W6" s="91">
        <v>0.16964285714285715</v>
      </c>
      <c r="X6" s="89" t="s">
        <v>137</v>
      </c>
      <c r="Y6" s="91">
        <v>9.8214285714285712E-2</v>
      </c>
      <c r="Z6" s="89" t="s">
        <v>137</v>
      </c>
      <c r="AA6" s="92">
        <v>0.30651872399445212</v>
      </c>
      <c r="AB6" s="89" t="s">
        <v>136</v>
      </c>
      <c r="AC6" s="92">
        <v>0.27567567567567569</v>
      </c>
      <c r="AD6" s="89" t="s">
        <v>139</v>
      </c>
      <c r="AE6" s="92">
        <v>0.58736059479553904</v>
      </c>
      <c r="AF6" s="89" t="s">
        <v>135</v>
      </c>
      <c r="AG6" s="92">
        <v>0.40625</v>
      </c>
      <c r="AH6" s="89" t="s">
        <v>135</v>
      </c>
      <c r="AI6" s="92">
        <v>0.44444444444444442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138</v>
      </c>
      <c r="C7" s="88">
        <v>8.2000000000000242</v>
      </c>
      <c r="D7" s="89" t="s">
        <v>138</v>
      </c>
      <c r="E7" s="103">
        <v>0.25625000000000075</v>
      </c>
      <c r="F7" s="89" t="s">
        <v>161</v>
      </c>
      <c r="G7" s="90">
        <v>2</v>
      </c>
      <c r="H7" s="89" t="s">
        <v>138</v>
      </c>
      <c r="I7" s="91">
        <v>0.34375</v>
      </c>
      <c r="J7" s="89" t="s">
        <v>161</v>
      </c>
      <c r="K7" s="91">
        <v>0.33333333333333331</v>
      </c>
      <c r="L7" s="89" t="s">
        <v>161</v>
      </c>
      <c r="M7" s="92">
        <v>0.30063492063492064</v>
      </c>
      <c r="N7" s="89" t="s">
        <v>167</v>
      </c>
      <c r="O7" s="92">
        <v>0.16666666666666666</v>
      </c>
      <c r="P7" s="89" t="s">
        <v>139</v>
      </c>
      <c r="Q7" s="93">
        <v>10486.142322097377</v>
      </c>
      <c r="R7" s="89" t="s">
        <v>137</v>
      </c>
      <c r="S7" s="93">
        <v>-9266.6666666666661</v>
      </c>
      <c r="T7" s="89" t="s">
        <v>161</v>
      </c>
      <c r="U7" s="91">
        <v>0.15636363636363637</v>
      </c>
      <c r="V7" s="89" t="s">
        <v>194</v>
      </c>
      <c r="W7" s="91">
        <v>0.16666666666666666</v>
      </c>
      <c r="X7" s="89" t="s">
        <v>138</v>
      </c>
      <c r="Y7" s="91">
        <v>9.375E-2</v>
      </c>
      <c r="Z7" s="89" t="s">
        <v>133</v>
      </c>
      <c r="AA7" s="92">
        <v>0.30484114977307109</v>
      </c>
      <c r="AB7" s="89" t="s">
        <v>161</v>
      </c>
      <c r="AC7" s="92">
        <v>0.21928746928746928</v>
      </c>
      <c r="AD7" s="89" t="s">
        <v>135</v>
      </c>
      <c r="AE7" s="92">
        <v>0.58333333333333337</v>
      </c>
      <c r="AF7" s="89" t="s">
        <v>161</v>
      </c>
      <c r="AG7" s="92">
        <v>0.39589169000933705</v>
      </c>
      <c r="AH7" s="89" t="s">
        <v>137</v>
      </c>
      <c r="AI7" s="92">
        <v>0.44313725490196076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161</v>
      </c>
      <c r="C8" s="88">
        <v>-4.9999999999999361</v>
      </c>
      <c r="D8" s="89" t="s">
        <v>161</v>
      </c>
      <c r="E8" s="103">
        <v>-6.0606060606059834E-3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0.28434504792332266</v>
      </c>
      <c r="N8" s="89" t="s">
        <v>161</v>
      </c>
      <c r="O8" s="92">
        <v>0.17174603174603176</v>
      </c>
      <c r="P8" s="89" t="s">
        <v>161</v>
      </c>
      <c r="Q8" s="93">
        <v>10137.486800422386</v>
      </c>
      <c r="R8" s="89" t="s">
        <v>133</v>
      </c>
      <c r="S8" s="93">
        <v>-9292.0318725099605</v>
      </c>
      <c r="T8" s="89" t="s">
        <v>194</v>
      </c>
      <c r="U8" s="91">
        <v>0.16666666666666666</v>
      </c>
      <c r="V8" s="89" t="s">
        <v>161</v>
      </c>
      <c r="W8" s="91">
        <v>0.15636363636363637</v>
      </c>
      <c r="X8" s="89" t="s">
        <v>250</v>
      </c>
      <c r="Y8" s="91">
        <v>9.0909090909090912E-2</v>
      </c>
      <c r="Z8" s="89" t="s">
        <v>139</v>
      </c>
      <c r="AA8" s="92">
        <v>0.29822616407982261</v>
      </c>
      <c r="AB8" s="89" t="s">
        <v>137</v>
      </c>
      <c r="AC8" s="92">
        <v>0.21359223300970873</v>
      </c>
      <c r="AD8" s="89" t="s">
        <v>161</v>
      </c>
      <c r="AE8" s="92">
        <v>0.58096590909090906</v>
      </c>
      <c r="AF8" s="89" t="s">
        <v>139</v>
      </c>
      <c r="AG8" s="92">
        <v>0.38857142857142857</v>
      </c>
      <c r="AH8" s="89" t="s">
        <v>134</v>
      </c>
      <c r="AI8" s="92">
        <v>0.44237918215613381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134</v>
      </c>
      <c r="E9" s="103">
        <v>-3.4068181818181817</v>
      </c>
      <c r="F9" s="89" t="s">
        <v>138</v>
      </c>
      <c r="G9" s="90">
        <v>2.03125</v>
      </c>
      <c r="H9" s="89" t="s">
        <v>134</v>
      </c>
      <c r="I9" s="91">
        <v>0.29545454545454547</v>
      </c>
      <c r="J9" s="89" t="s">
        <v>138</v>
      </c>
      <c r="K9" s="91">
        <v>0.375</v>
      </c>
      <c r="L9" s="89" t="s">
        <v>138</v>
      </c>
      <c r="M9" s="92">
        <v>0.27480916030534353</v>
      </c>
      <c r="N9" s="89" t="s">
        <v>138</v>
      </c>
      <c r="O9" s="92">
        <v>0.1717557251908397</v>
      </c>
      <c r="P9" s="89" t="s">
        <v>133</v>
      </c>
      <c r="Q9" s="93">
        <v>9847.5357710651824</v>
      </c>
      <c r="R9" s="89" t="s">
        <v>161</v>
      </c>
      <c r="S9" s="93">
        <v>-9380.6839186691304</v>
      </c>
      <c r="T9" s="89" t="s">
        <v>136</v>
      </c>
      <c r="U9" s="91">
        <v>0.18309859154929578</v>
      </c>
      <c r="V9" s="89" t="s">
        <v>138</v>
      </c>
      <c r="W9" s="91">
        <v>0.15625</v>
      </c>
      <c r="X9" s="89" t="s">
        <v>161</v>
      </c>
      <c r="Y9" s="91">
        <v>8.3636363636363634E-2</v>
      </c>
      <c r="Z9" s="89" t="s">
        <v>134</v>
      </c>
      <c r="AA9" s="92">
        <v>0.29765013054830286</v>
      </c>
      <c r="AB9" s="89" t="s">
        <v>138</v>
      </c>
      <c r="AC9" s="92">
        <v>0.20555555555555555</v>
      </c>
      <c r="AD9" s="89" t="s">
        <v>134</v>
      </c>
      <c r="AE9" s="92">
        <v>0.57894736842105265</v>
      </c>
      <c r="AF9" s="89" t="s">
        <v>137</v>
      </c>
      <c r="AG9" s="92">
        <v>0.38311688311688313</v>
      </c>
      <c r="AH9" s="89" t="s">
        <v>139</v>
      </c>
      <c r="AI9" s="92">
        <v>0.43820224719101125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171</v>
      </c>
      <c r="C10" s="88">
        <v>-86.4</v>
      </c>
      <c r="D10" s="89" t="s">
        <v>167</v>
      </c>
      <c r="E10" s="103">
        <v>-3.875</v>
      </c>
      <c r="F10" s="89" t="s">
        <v>134</v>
      </c>
      <c r="G10" s="90">
        <v>2.0984848484848486</v>
      </c>
      <c r="H10" s="89" t="s">
        <v>167</v>
      </c>
      <c r="I10" s="91">
        <v>0.25</v>
      </c>
      <c r="J10" s="89" t="s">
        <v>134</v>
      </c>
      <c r="K10" s="91">
        <v>0.39393939393939392</v>
      </c>
      <c r="L10" s="89" t="s">
        <v>171</v>
      </c>
      <c r="M10" s="92">
        <v>0.27027027027027029</v>
      </c>
      <c r="N10" s="89" t="s">
        <v>136</v>
      </c>
      <c r="O10" s="92">
        <v>0.18181818181818182</v>
      </c>
      <c r="P10" s="89" t="s">
        <v>135</v>
      </c>
      <c r="Q10" s="93">
        <v>9726.1437908496737</v>
      </c>
      <c r="R10" s="89" t="s">
        <v>139</v>
      </c>
      <c r="S10" s="93">
        <v>-9495.2380952380954</v>
      </c>
      <c r="T10" s="89" t="s">
        <v>138</v>
      </c>
      <c r="U10" s="91">
        <v>0.1875</v>
      </c>
      <c r="V10" s="89" t="s">
        <v>139</v>
      </c>
      <c r="W10" s="91">
        <v>0.14049586776859505</v>
      </c>
      <c r="X10" s="89" t="s">
        <v>134</v>
      </c>
      <c r="Y10" s="91">
        <v>7.575757575757576E-2</v>
      </c>
      <c r="Z10" s="89" t="s">
        <v>161</v>
      </c>
      <c r="AA10" s="92">
        <v>0.28828828828828829</v>
      </c>
      <c r="AB10" s="89" t="s">
        <v>133</v>
      </c>
      <c r="AC10" s="92">
        <v>0.20499243570347958</v>
      </c>
      <c r="AD10" s="89" t="s">
        <v>137</v>
      </c>
      <c r="AE10" s="92">
        <v>0.56108597285067874</v>
      </c>
      <c r="AF10" s="89" t="s">
        <v>134</v>
      </c>
      <c r="AG10" s="92">
        <v>0.38235294117647056</v>
      </c>
      <c r="AH10" s="89" t="s">
        <v>250</v>
      </c>
      <c r="AI10" s="92">
        <v>0.4375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166</v>
      </c>
      <c r="C11" s="88">
        <v>-132.1</v>
      </c>
      <c r="D11" s="89" t="s">
        <v>139</v>
      </c>
      <c r="E11" s="103">
        <v>-4.2123966942148749</v>
      </c>
      <c r="F11" s="89" t="s">
        <v>139</v>
      </c>
      <c r="G11" s="90">
        <v>2.1818181818181817</v>
      </c>
      <c r="H11" s="89" t="s">
        <v>139</v>
      </c>
      <c r="I11" s="91">
        <v>0.23966942148760331</v>
      </c>
      <c r="J11" s="89" t="s">
        <v>171</v>
      </c>
      <c r="K11" s="91">
        <v>0.4</v>
      </c>
      <c r="L11" s="89" t="s">
        <v>136</v>
      </c>
      <c r="M11" s="92">
        <v>0.26727272727272727</v>
      </c>
      <c r="N11" s="89" t="s">
        <v>134</v>
      </c>
      <c r="O11" s="92">
        <v>0.19279454722492698</v>
      </c>
      <c r="P11" s="89" t="s">
        <v>157</v>
      </c>
      <c r="Q11" s="93">
        <v>9544</v>
      </c>
      <c r="R11" s="89" t="s">
        <v>250</v>
      </c>
      <c r="S11" s="93">
        <v>-9550</v>
      </c>
      <c r="T11" s="89" t="s">
        <v>134</v>
      </c>
      <c r="U11" s="91">
        <v>0.18939393939393939</v>
      </c>
      <c r="V11" s="89" t="s">
        <v>134</v>
      </c>
      <c r="W11" s="91">
        <v>0.12878787878787878</v>
      </c>
      <c r="X11" s="89" t="s">
        <v>136</v>
      </c>
      <c r="Y11" s="91">
        <v>5.6338028169014086E-2</v>
      </c>
      <c r="Z11" s="89" t="s">
        <v>136</v>
      </c>
      <c r="AA11" s="92">
        <v>0.27027027027027029</v>
      </c>
      <c r="AB11" s="89" t="s">
        <v>139</v>
      </c>
      <c r="AC11" s="92">
        <v>0.19401330376940132</v>
      </c>
      <c r="AD11" s="89" t="s">
        <v>138</v>
      </c>
      <c r="AE11" s="92">
        <v>0.5178571428571429</v>
      </c>
      <c r="AF11" s="89" t="s">
        <v>136</v>
      </c>
      <c r="AG11" s="92">
        <v>0.36274509803921567</v>
      </c>
      <c r="AH11" s="89" t="s">
        <v>161</v>
      </c>
      <c r="AI11" s="92">
        <v>0.41710665258711721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250</v>
      </c>
      <c r="C12" s="88">
        <v>-143.6</v>
      </c>
      <c r="D12" s="89" t="s">
        <v>136</v>
      </c>
      <c r="E12" s="103">
        <v>-6.2915492957746482</v>
      </c>
      <c r="F12" s="89" t="s">
        <v>136</v>
      </c>
      <c r="G12" s="90">
        <v>2.1971830985915495</v>
      </c>
      <c r="H12" s="89" t="s">
        <v>157</v>
      </c>
      <c r="I12" s="91">
        <v>0.22580645161290322</v>
      </c>
      <c r="J12" s="89" t="s">
        <v>136</v>
      </c>
      <c r="K12" s="91">
        <v>0.40845070422535212</v>
      </c>
      <c r="L12" s="89" t="s">
        <v>134</v>
      </c>
      <c r="M12" s="92">
        <v>0.26192794547224929</v>
      </c>
      <c r="N12" s="89" t="s">
        <v>157</v>
      </c>
      <c r="O12" s="92">
        <v>0.19327731092436976</v>
      </c>
      <c r="P12" s="89" t="s">
        <v>194</v>
      </c>
      <c r="Q12" s="93">
        <v>9163.1578947368416</v>
      </c>
      <c r="R12" s="89" t="s">
        <v>134</v>
      </c>
      <c r="S12" s="93">
        <v>-9564.1414141414134</v>
      </c>
      <c r="T12" s="89" t="s">
        <v>139</v>
      </c>
      <c r="U12" s="91">
        <v>0.19008264462809918</v>
      </c>
      <c r="V12" s="89" t="s">
        <v>136</v>
      </c>
      <c r="W12" s="91">
        <v>0.12676056338028169</v>
      </c>
      <c r="X12" s="89" t="s">
        <v>135</v>
      </c>
      <c r="Y12" s="91">
        <v>4.9180327868852458E-2</v>
      </c>
      <c r="Z12" s="89" t="s">
        <v>171</v>
      </c>
      <c r="AA12" s="92">
        <v>0.25806451612903225</v>
      </c>
      <c r="AB12" s="89" t="s">
        <v>134</v>
      </c>
      <c r="AC12" s="92">
        <v>0.17754569190600522</v>
      </c>
      <c r="AD12" s="89" t="s">
        <v>136</v>
      </c>
      <c r="AE12" s="92">
        <v>0.49</v>
      </c>
      <c r="AF12" s="89" t="s">
        <v>250</v>
      </c>
      <c r="AG12" s="92">
        <v>0.30434782608695654</v>
      </c>
      <c r="AH12" s="89" t="s">
        <v>133</v>
      </c>
      <c r="AI12" s="92">
        <v>0.37519872813990462</v>
      </c>
      <c r="AJ12" s="89" t="s">
        <v>250</v>
      </c>
      <c r="AK12" s="94">
        <v>5</v>
      </c>
      <c r="AL12" s="89" t="s">
        <v>157</v>
      </c>
      <c r="AM12" s="98">
        <v>67700</v>
      </c>
      <c r="AN12" s="89" t="s">
        <v>250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-334.9</v>
      </c>
      <c r="D13" s="89" t="s">
        <v>157</v>
      </c>
      <c r="E13" s="103">
        <v>-10.803225806451612</v>
      </c>
      <c r="F13" s="89" t="s">
        <v>171</v>
      </c>
      <c r="G13" s="90">
        <v>2.2000000000000002</v>
      </c>
      <c r="H13" s="89" t="s">
        <v>136</v>
      </c>
      <c r="I13" s="91">
        <v>0.21126760563380281</v>
      </c>
      <c r="J13" s="89" t="s">
        <v>139</v>
      </c>
      <c r="K13" s="91">
        <v>0.42148760330578511</v>
      </c>
      <c r="L13" s="89" t="s">
        <v>167</v>
      </c>
      <c r="M13" s="92">
        <v>0.25</v>
      </c>
      <c r="N13" s="89" t="s">
        <v>139</v>
      </c>
      <c r="O13" s="92">
        <v>0.2012779552715655</v>
      </c>
      <c r="P13" s="89" t="s">
        <v>136</v>
      </c>
      <c r="Q13" s="93">
        <v>9092.5170068027219</v>
      </c>
      <c r="R13" s="89" t="s">
        <v>136</v>
      </c>
      <c r="S13" s="93">
        <v>-9718</v>
      </c>
      <c r="T13" s="89" t="s">
        <v>157</v>
      </c>
      <c r="U13" s="91">
        <v>0.29032258064516131</v>
      </c>
      <c r="V13" s="89" t="s">
        <v>157</v>
      </c>
      <c r="W13" s="91">
        <v>9.6774193548387094E-2</v>
      </c>
      <c r="X13" s="89" t="s">
        <v>157</v>
      </c>
      <c r="Y13" s="91">
        <v>0</v>
      </c>
      <c r="Z13" s="89" t="s">
        <v>135</v>
      </c>
      <c r="AA13" s="92">
        <v>0.23645320197044334</v>
      </c>
      <c r="AB13" s="89" t="s">
        <v>171</v>
      </c>
      <c r="AC13" s="92">
        <v>0.16129032258064516</v>
      </c>
      <c r="AD13" s="89" t="s">
        <v>157</v>
      </c>
      <c r="AE13" s="92">
        <v>0.44117647058823528</v>
      </c>
      <c r="AF13" s="89" t="s">
        <v>157</v>
      </c>
      <c r="AG13" s="92">
        <v>0.29166666666666669</v>
      </c>
      <c r="AH13" s="89" t="s">
        <v>167</v>
      </c>
      <c r="AI13" s="92">
        <v>0.33333333333333331</v>
      </c>
      <c r="AJ13" s="89" t="s">
        <v>194</v>
      </c>
      <c r="AK13" s="94">
        <v>5</v>
      </c>
      <c r="AL13" s="89" t="s">
        <v>250</v>
      </c>
      <c r="AM13" s="98">
        <v>59500</v>
      </c>
      <c r="AN13" s="89" t="s">
        <v>166</v>
      </c>
      <c r="AO13" s="95">
        <v>0</v>
      </c>
    </row>
    <row r="14" spans="1:41" x14ac:dyDescent="0.4">
      <c r="A14" s="86">
        <v>12</v>
      </c>
      <c r="B14" s="87" t="s">
        <v>136</v>
      </c>
      <c r="C14" s="88">
        <v>-446.7</v>
      </c>
      <c r="D14" s="89" t="s">
        <v>250</v>
      </c>
      <c r="E14" s="103">
        <v>-13.054545454545455</v>
      </c>
      <c r="F14" s="89" t="s">
        <v>157</v>
      </c>
      <c r="G14" s="90">
        <v>2.3225806451612905</v>
      </c>
      <c r="H14" s="89" t="s">
        <v>171</v>
      </c>
      <c r="I14" s="91">
        <v>0.2</v>
      </c>
      <c r="J14" s="89" t="s">
        <v>250</v>
      </c>
      <c r="K14" s="91">
        <v>0.54545454545454541</v>
      </c>
      <c r="L14" s="89" t="s">
        <v>157</v>
      </c>
      <c r="M14" s="92">
        <v>0.21008403361344538</v>
      </c>
      <c r="N14" s="89" t="s">
        <v>171</v>
      </c>
      <c r="O14" s="92">
        <v>0.21621621621621623</v>
      </c>
      <c r="P14" s="89" t="s">
        <v>250</v>
      </c>
      <c r="Q14" s="93">
        <v>8712.5</v>
      </c>
      <c r="R14" s="89" t="s">
        <v>194</v>
      </c>
      <c r="S14" s="93">
        <v>-10025</v>
      </c>
      <c r="T14" s="89" t="s">
        <v>250</v>
      </c>
      <c r="U14" s="91">
        <v>0.36363636363636365</v>
      </c>
      <c r="V14" s="89" t="s">
        <v>250</v>
      </c>
      <c r="W14" s="91">
        <v>9.0909090909090912E-2</v>
      </c>
      <c r="X14" s="89" t="s">
        <v>166</v>
      </c>
      <c r="Y14" s="91">
        <v>0</v>
      </c>
      <c r="Z14" s="89" t="s">
        <v>250</v>
      </c>
      <c r="AA14" s="92">
        <v>0.14634146341463414</v>
      </c>
      <c r="AB14" s="89" t="s">
        <v>194</v>
      </c>
      <c r="AC14" s="92">
        <v>0.12</v>
      </c>
      <c r="AD14" s="89" t="s">
        <v>250</v>
      </c>
      <c r="AE14" s="92">
        <v>0.41666666666666669</v>
      </c>
      <c r="AF14" s="89" t="s">
        <v>138</v>
      </c>
      <c r="AG14" s="92">
        <v>0.21621621621621623</v>
      </c>
      <c r="AH14" s="89" t="s">
        <v>157</v>
      </c>
      <c r="AI14" s="92">
        <v>0.32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167</v>
      </c>
      <c r="AO14" s="95">
        <v>0</v>
      </c>
    </row>
    <row r="15" spans="1:41" x14ac:dyDescent="0.4">
      <c r="A15" s="86">
        <v>13</v>
      </c>
      <c r="B15" s="87" t="s">
        <v>134</v>
      </c>
      <c r="C15" s="88">
        <v>-449.7</v>
      </c>
      <c r="D15" s="89" t="s">
        <v>171</v>
      </c>
      <c r="E15" s="103">
        <v>-17.28</v>
      </c>
      <c r="F15" s="89" t="s">
        <v>250</v>
      </c>
      <c r="G15" s="90">
        <v>2.3636363636363638</v>
      </c>
      <c r="H15" s="89" t="s">
        <v>250</v>
      </c>
      <c r="I15" s="91">
        <v>0.18181818181818182</v>
      </c>
      <c r="J15" s="89" t="s">
        <v>157</v>
      </c>
      <c r="K15" s="91">
        <v>0.54838709677419351</v>
      </c>
      <c r="L15" s="89" t="s">
        <v>250</v>
      </c>
      <c r="M15" s="92">
        <v>0.1951219512195122</v>
      </c>
      <c r="N15" s="89" t="s">
        <v>250</v>
      </c>
      <c r="O15" s="92">
        <v>0.24390243902439024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157</v>
      </c>
      <c r="AA15" s="92">
        <v>0.14285714285714285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171</v>
      </c>
      <c r="AO15" s="95">
        <v>0</v>
      </c>
    </row>
    <row r="16" spans="1:41" x14ac:dyDescent="0.4">
      <c r="A16" s="86">
        <v>14</v>
      </c>
      <c r="B16" s="87" t="s">
        <v>139</v>
      </c>
      <c r="C16" s="88">
        <v>-509.69999999999987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194</v>
      </c>
      <c r="AO16" s="95">
        <v>0</v>
      </c>
    </row>
  </sheetData>
  <sortState ref="AN3:AO48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92BC-8ADC-4D2A-9EC9-C2C66D4D1497}">
  <sheetPr codeName="Sheet4"/>
  <dimension ref="A1:Q82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161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28.23634576990867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825</v>
      </c>
      <c r="C2" s="149"/>
      <c r="E2" s="64" t="s">
        <v>71</v>
      </c>
      <c r="F2" s="61" t="s">
        <v>25</v>
      </c>
      <c r="G2" s="48">
        <v>1271</v>
      </c>
      <c r="H2" s="137">
        <f>IF(B$27=0,0,G2/B$27)</f>
        <v>0.8705479452054794</v>
      </c>
      <c r="I2" s="99">
        <v>8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-15.990159901599016</v>
      </c>
      <c r="P2" s="124">
        <v>813</v>
      </c>
      <c r="Q2" s="108">
        <v>-13000</v>
      </c>
    </row>
    <row r="3" spans="1:17" x14ac:dyDescent="0.4">
      <c r="A3" s="57" t="s">
        <v>8</v>
      </c>
      <c r="B3" s="154">
        <v>6300</v>
      </c>
      <c r="C3" s="155"/>
      <c r="E3" s="65" t="s">
        <v>69</v>
      </c>
      <c r="F3" s="62" t="s">
        <v>23</v>
      </c>
      <c r="G3" s="49">
        <v>1057</v>
      </c>
      <c r="H3" s="138">
        <f>IF(B$27=0,0,G3/B$27)</f>
        <v>0.72397260273972608</v>
      </c>
      <c r="I3" s="100">
        <v>5</v>
      </c>
      <c r="K3" s="40">
        <v>1</v>
      </c>
      <c r="L3" s="105">
        <v>15</v>
      </c>
      <c r="N3" s="121" t="s">
        <v>148</v>
      </c>
      <c r="O3" s="128">
        <f t="shared" si="0"/>
        <v>-3.8314176245210727</v>
      </c>
      <c r="P3" s="125">
        <v>783</v>
      </c>
      <c r="Q3" s="109">
        <v>-3000</v>
      </c>
    </row>
    <row r="4" spans="1:17" x14ac:dyDescent="0.4">
      <c r="A4" s="57" t="s">
        <v>6</v>
      </c>
      <c r="B4" s="156">
        <v>-4.9999999999999361</v>
      </c>
      <c r="C4" s="157"/>
      <c r="E4" s="65" t="s">
        <v>76</v>
      </c>
      <c r="F4" s="62" t="s">
        <v>29</v>
      </c>
      <c r="G4" s="49">
        <v>818</v>
      </c>
      <c r="H4" s="138">
        <f>IF(B$27=0,0,G4/B$27)</f>
        <v>0.5602739726027397</v>
      </c>
      <c r="I4" s="100">
        <v>7</v>
      </c>
      <c r="K4" s="40">
        <v>2</v>
      </c>
      <c r="L4" s="105">
        <v>-22</v>
      </c>
      <c r="N4" s="121" t="s">
        <v>149</v>
      </c>
      <c r="O4" s="128">
        <f t="shared" si="0"/>
        <v>6.8306010928961749</v>
      </c>
      <c r="P4" s="125">
        <v>732</v>
      </c>
      <c r="Q4" s="109">
        <v>5000</v>
      </c>
    </row>
    <row r="5" spans="1:17" x14ac:dyDescent="0.4">
      <c r="A5" s="57" t="s">
        <v>7</v>
      </c>
      <c r="B5" s="158">
        <f>IF(B$2=0,0,B$4/B$2)</f>
        <v>-6.0606060606059834E-3</v>
      </c>
      <c r="C5" s="159"/>
      <c r="E5" s="65" t="s">
        <v>67</v>
      </c>
      <c r="F5" s="62" t="s">
        <v>21</v>
      </c>
      <c r="G5" s="49">
        <v>805</v>
      </c>
      <c r="H5" s="138">
        <f>IF(B$27=0,0,G5/B$27)</f>
        <v>0.55136986301369861</v>
      </c>
      <c r="I5" s="100">
        <v>7</v>
      </c>
      <c r="K5" s="40">
        <v>3</v>
      </c>
      <c r="L5" s="105">
        <v>7</v>
      </c>
      <c r="N5" s="121" t="s">
        <v>150</v>
      </c>
      <c r="O5" s="128">
        <f t="shared" si="0"/>
        <v>3.0441400304414001</v>
      </c>
      <c r="P5" s="125">
        <v>657</v>
      </c>
      <c r="Q5" s="109">
        <v>2000</v>
      </c>
    </row>
    <row r="6" spans="1:17" x14ac:dyDescent="0.4">
      <c r="A6" s="57" t="s">
        <v>1</v>
      </c>
      <c r="B6" s="146">
        <f>IF(B$2=0,0,(B$7*1+B$8*2+B$9*3)/B$2)</f>
        <v>2</v>
      </c>
      <c r="C6" s="147"/>
      <c r="E6" s="65" t="s">
        <v>72</v>
      </c>
      <c r="F6" s="62" t="s">
        <v>12</v>
      </c>
      <c r="G6" s="49">
        <v>447</v>
      </c>
      <c r="H6" s="138">
        <f>IF(B$27=0,0,G6/B$27)</f>
        <v>0.30616438356164383</v>
      </c>
      <c r="I6" s="100">
        <v>7</v>
      </c>
      <c r="K6" s="40">
        <v>4</v>
      </c>
      <c r="L6" s="105">
        <v>-1</v>
      </c>
      <c r="N6" s="121" t="s">
        <v>151</v>
      </c>
      <c r="O6" s="128">
        <f t="shared" si="0"/>
        <v>10.416666666666666</v>
      </c>
      <c r="P6" s="125">
        <v>576</v>
      </c>
      <c r="Q6" s="109">
        <v>6000</v>
      </c>
    </row>
    <row r="7" spans="1:17" x14ac:dyDescent="0.4">
      <c r="A7" s="57" t="s">
        <v>2</v>
      </c>
      <c r="B7" s="49">
        <v>275</v>
      </c>
      <c r="C7" s="41">
        <f>IF(B$2=0,0,B7/B$2)</f>
        <v>0.33333333333333331</v>
      </c>
      <c r="E7" s="65" t="s">
        <v>70</v>
      </c>
      <c r="F7" s="62" t="s">
        <v>24</v>
      </c>
      <c r="G7" s="49">
        <v>444</v>
      </c>
      <c r="H7" s="138">
        <f>IF(B$27=0,0,G7/B$27)</f>
        <v>0.30410958904109592</v>
      </c>
      <c r="I7" s="100">
        <v>7</v>
      </c>
      <c r="K7" s="40">
        <v>5</v>
      </c>
      <c r="L7" s="105">
        <v>40.9</v>
      </c>
      <c r="N7" s="122" t="s">
        <v>152</v>
      </c>
      <c r="O7" s="129">
        <f t="shared" si="0"/>
        <v>-4.3572984749455337</v>
      </c>
      <c r="P7" s="126">
        <v>459</v>
      </c>
      <c r="Q7" s="110">
        <v>-2000</v>
      </c>
    </row>
    <row r="8" spans="1:17" x14ac:dyDescent="0.4">
      <c r="A8" s="57" t="s">
        <v>3</v>
      </c>
      <c r="B8" s="49">
        <v>275</v>
      </c>
      <c r="C8" s="41">
        <f>IF(B$2=0,0,B8/B$2)</f>
        <v>0.33333333333333331</v>
      </c>
      <c r="E8" s="65" t="s">
        <v>94</v>
      </c>
      <c r="F8" s="62" t="s">
        <v>47</v>
      </c>
      <c r="G8" s="49">
        <v>220</v>
      </c>
      <c r="H8" s="138">
        <f>IF(B$27=0,0,G8/B$27)</f>
        <v>0.15068493150684931</v>
      </c>
      <c r="I8" s="100">
        <v>8</v>
      </c>
      <c r="K8" s="40">
        <v>6</v>
      </c>
      <c r="L8" s="105">
        <v>-39.9</v>
      </c>
      <c r="N8" s="45"/>
      <c r="O8" s="133"/>
      <c r="P8" s="117"/>
      <c r="Q8" s="115"/>
    </row>
    <row r="9" spans="1:17" x14ac:dyDescent="0.4">
      <c r="A9" s="58" t="s">
        <v>4</v>
      </c>
      <c r="B9" s="50">
        <v>275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216</v>
      </c>
      <c r="H9" s="138">
        <f>IF(B$27=0,0,G9/B$27)</f>
        <v>0.14794520547945206</v>
      </c>
      <c r="I9" s="100">
        <v>7</v>
      </c>
      <c r="K9" s="40">
        <v>7</v>
      </c>
      <c r="L9" s="105">
        <v>15.1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129</v>
      </c>
      <c r="C10" s="42">
        <f>IF(B$2=0,0,B10/B$2)</f>
        <v>0.15636363636363637</v>
      </c>
      <c r="E10" s="65" t="s">
        <v>68</v>
      </c>
      <c r="F10" s="62" t="s">
        <v>22</v>
      </c>
      <c r="G10" s="49">
        <v>174</v>
      </c>
      <c r="H10" s="138">
        <f>IF(B$27=0,0,G10/B$27)</f>
        <v>0.11917808219178082</v>
      </c>
      <c r="I10" s="100">
        <v>6</v>
      </c>
      <c r="K10" s="40">
        <v>8</v>
      </c>
      <c r="L10" s="105">
        <v>-41.8</v>
      </c>
      <c r="N10" s="120" t="s">
        <v>253</v>
      </c>
      <c r="O10" s="130">
        <f>IF(P10=0,0,Q10/P10)</f>
        <v>-2.211397058823529</v>
      </c>
      <c r="P10" s="124">
        <v>272</v>
      </c>
      <c r="Q10" s="112">
        <v>-601.49999999999989</v>
      </c>
    </row>
    <row r="11" spans="1:17" x14ac:dyDescent="0.4">
      <c r="A11" s="58" t="s">
        <v>155</v>
      </c>
      <c r="B11" s="50">
        <v>129</v>
      </c>
      <c r="C11" s="42">
        <f>IF(B$2=0,0,B11/B$2)</f>
        <v>0.15636363636363637</v>
      </c>
      <c r="E11" s="65" t="s">
        <v>74</v>
      </c>
      <c r="F11" s="62" t="s">
        <v>27</v>
      </c>
      <c r="G11" s="49">
        <v>146</v>
      </c>
      <c r="H11" s="138">
        <f>IF(B$27=0,0,G11/B$27)</f>
        <v>0.1</v>
      </c>
      <c r="I11" s="100">
        <v>6</v>
      </c>
      <c r="K11" s="40">
        <v>9</v>
      </c>
      <c r="L11" s="105">
        <v>26.7</v>
      </c>
      <c r="N11" s="121" t="s">
        <v>254</v>
      </c>
      <c r="O11" s="131">
        <f>IF(P11=0,0,Q11/P11)</f>
        <v>0.16875000000000043</v>
      </c>
      <c r="P11" s="125">
        <v>272</v>
      </c>
      <c r="Q11" s="113">
        <v>45.900000000000119</v>
      </c>
    </row>
    <row r="12" spans="1:17" x14ac:dyDescent="0.4">
      <c r="A12" s="59" t="s">
        <v>239</v>
      </c>
      <c r="B12" s="51">
        <v>69</v>
      </c>
      <c r="C12" s="44">
        <f>IF(B$2=0,0,B12/B$2)</f>
        <v>8.3636363636363634E-2</v>
      </c>
      <c r="E12" s="65" t="s">
        <v>91</v>
      </c>
      <c r="F12" s="62" t="s">
        <v>44</v>
      </c>
      <c r="G12" s="49">
        <v>99</v>
      </c>
      <c r="H12" s="138">
        <f>IF(B$27=0,0,G12/B$27)</f>
        <v>6.7808219178082191E-2</v>
      </c>
      <c r="I12" s="100">
        <v>7</v>
      </c>
      <c r="K12" s="40">
        <v>10</v>
      </c>
      <c r="L12" s="105">
        <v>85.2</v>
      </c>
      <c r="N12" s="122" t="s">
        <v>255</v>
      </c>
      <c r="O12" s="132">
        <f>IF(P12=0,0,Q12/P12)</f>
        <v>2.024264705882354</v>
      </c>
      <c r="P12" s="126">
        <v>272</v>
      </c>
      <c r="Q12" s="114">
        <v>550.60000000000025</v>
      </c>
    </row>
    <row r="13" spans="1:17" x14ac:dyDescent="0.4">
      <c r="A13" s="60" t="s">
        <v>128</v>
      </c>
      <c r="B13" s="52">
        <v>1408</v>
      </c>
      <c r="C13" s="46">
        <f>IF(B$26=0,0,B13/B$26)</f>
        <v>0.28828828828828829</v>
      </c>
      <c r="E13" s="65" t="s">
        <v>75</v>
      </c>
      <c r="F13" s="62" t="s">
        <v>28</v>
      </c>
      <c r="G13" s="49">
        <v>70</v>
      </c>
      <c r="H13" s="138">
        <f>IF(B$27=0,0,G13/B$27)</f>
        <v>4.7945205479452052E-2</v>
      </c>
      <c r="I13" s="100">
        <v>5</v>
      </c>
      <c r="K13" s="40">
        <v>11</v>
      </c>
      <c r="L13" s="105">
        <v>-40.700000000000003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1071</v>
      </c>
      <c r="C14" s="41">
        <f>IF(B$26=0,0,B14/B$26)</f>
        <v>0.21928746928746928</v>
      </c>
      <c r="E14" s="65" t="s">
        <v>88</v>
      </c>
      <c r="F14" s="62" t="s">
        <v>41</v>
      </c>
      <c r="G14" s="49">
        <v>66</v>
      </c>
      <c r="H14" s="138">
        <f>IF(B$27=0,0,G14/B$27)</f>
        <v>4.5205479452054796E-2</v>
      </c>
      <c r="I14" s="100">
        <v>6</v>
      </c>
      <c r="K14" s="40">
        <v>12</v>
      </c>
      <c r="L14" s="105">
        <v>-44.5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818</v>
      </c>
      <c r="C15" s="39">
        <f>IF(B$13=0,0,B15/B$13)</f>
        <v>0.58096590909090906</v>
      </c>
      <c r="E15" s="65" t="s">
        <v>82</v>
      </c>
      <c r="F15" s="62" t="s">
        <v>35</v>
      </c>
      <c r="G15" s="49">
        <v>46</v>
      </c>
      <c r="H15" s="138">
        <f>IF(B$27=0,0,G15/B$27)</f>
        <v>3.1506849315068496E-2</v>
      </c>
      <c r="I15" s="100">
        <v>6</v>
      </c>
      <c r="K15" s="40">
        <v>13</v>
      </c>
      <c r="L15" s="105">
        <v>31.5</v>
      </c>
      <c r="N15" s="120" t="s">
        <v>166</v>
      </c>
      <c r="O15" s="130">
        <f>IF(P15=0,0,Q15/P15)</f>
        <v>49.537499999999994</v>
      </c>
      <c r="P15" s="124">
        <v>8</v>
      </c>
      <c r="Q15" s="112">
        <v>396.29999999999995</v>
      </c>
    </row>
    <row r="16" spans="1:17" x14ac:dyDescent="0.4">
      <c r="A16" s="56" t="s">
        <v>131</v>
      </c>
      <c r="B16" s="48">
        <v>424</v>
      </c>
      <c r="C16" s="39">
        <f>IF(B$14=0,0,B16/B$14)</f>
        <v>0.39589169000933705</v>
      </c>
      <c r="E16" s="65" t="s">
        <v>86</v>
      </c>
      <c r="F16" s="62" t="s">
        <v>39</v>
      </c>
      <c r="G16" s="49">
        <v>42</v>
      </c>
      <c r="H16" s="138">
        <f>IF(B$27=0,0,G16/B$27)</f>
        <v>2.8767123287671233E-2</v>
      </c>
      <c r="I16" s="100">
        <v>6</v>
      </c>
      <c r="K16" s="40">
        <v>14</v>
      </c>
      <c r="L16" s="105">
        <v>-35.5</v>
      </c>
      <c r="N16" s="121" t="s">
        <v>171</v>
      </c>
      <c r="O16" s="131">
        <f>IF(P16=0,0,Q16/P16)</f>
        <v>25.919999999999998</v>
      </c>
      <c r="P16" s="125">
        <v>10</v>
      </c>
      <c r="Q16" s="113">
        <v>259.2</v>
      </c>
    </row>
    <row r="17" spans="1:17" x14ac:dyDescent="0.4">
      <c r="A17" s="56" t="s">
        <v>10</v>
      </c>
      <c r="B17" s="48">
        <f>B19+B18</f>
        <v>1894</v>
      </c>
      <c r="C17" s="39">
        <f>IF(B$3=0,0,B17/B$3)</f>
        <v>0.30063492063492064</v>
      </c>
      <c r="E17" s="65" t="s">
        <v>96</v>
      </c>
      <c r="F17" s="62" t="s">
        <v>49</v>
      </c>
      <c r="G17" s="49">
        <v>27</v>
      </c>
      <c r="H17" s="138">
        <f>IF(B$27=0,0,G17/B$27)</f>
        <v>1.8493150684931507E-2</v>
      </c>
      <c r="I17" s="100">
        <v>5</v>
      </c>
      <c r="K17" s="40">
        <v>15</v>
      </c>
      <c r="L17" s="105">
        <v>4</v>
      </c>
      <c r="N17" s="121" t="s">
        <v>250</v>
      </c>
      <c r="O17" s="131">
        <f>IF(P17=0,0,Q17/P17)</f>
        <v>19.581818181818178</v>
      </c>
      <c r="P17" s="125">
        <v>22</v>
      </c>
      <c r="Q17" s="113">
        <v>430.79999999999995</v>
      </c>
    </row>
    <row r="18" spans="1:17" x14ac:dyDescent="0.4">
      <c r="A18" s="57" t="s">
        <v>12</v>
      </c>
      <c r="B18" s="49">
        <v>790</v>
      </c>
      <c r="C18" s="41">
        <f>IF(B$17=0,0,B18/B$17)</f>
        <v>0.41710665258711721</v>
      </c>
      <c r="E18" s="65" t="s">
        <v>83</v>
      </c>
      <c r="F18" s="62" t="s">
        <v>36</v>
      </c>
      <c r="G18" s="49">
        <v>22</v>
      </c>
      <c r="H18" s="138">
        <f>IF(B$27=0,0,G18/B$27)</f>
        <v>1.5068493150684932E-2</v>
      </c>
      <c r="I18" s="100">
        <v>6</v>
      </c>
      <c r="K18" s="40">
        <v>16</v>
      </c>
      <c r="L18" s="105">
        <v>-48</v>
      </c>
      <c r="N18" s="121" t="s">
        <v>157</v>
      </c>
      <c r="O18" s="131">
        <f>IF(P18=0,0,Q18/P18)</f>
        <v>16.204838709677421</v>
      </c>
      <c r="P18" s="125">
        <v>62</v>
      </c>
      <c r="Q18" s="113">
        <v>1004.7</v>
      </c>
    </row>
    <row r="19" spans="1:17" x14ac:dyDescent="0.4">
      <c r="A19" s="57" t="s">
        <v>11</v>
      </c>
      <c r="B19" s="49">
        <v>1104</v>
      </c>
      <c r="C19" s="41">
        <f>IF(B$17=0,0,B19/B$17)</f>
        <v>0.58289334741288279</v>
      </c>
      <c r="E19" s="65" t="s">
        <v>77</v>
      </c>
      <c r="F19" s="62" t="s">
        <v>30</v>
      </c>
      <c r="G19" s="49">
        <v>13</v>
      </c>
      <c r="H19" s="138">
        <f>IF(B$27=0,0,G19/B$27)</f>
        <v>8.9041095890410957E-3</v>
      </c>
      <c r="I19" s="100">
        <v>4</v>
      </c>
      <c r="K19" s="40">
        <v>17</v>
      </c>
      <c r="L19" s="105">
        <v>40</v>
      </c>
      <c r="N19" s="121" t="s">
        <v>136</v>
      </c>
      <c r="O19" s="131">
        <f>IF(P19=0,0,Q19/P19)</f>
        <v>9.4373239436619745</v>
      </c>
      <c r="P19" s="125">
        <v>142</v>
      </c>
      <c r="Q19" s="113">
        <v>1340.1000000000004</v>
      </c>
    </row>
    <row r="20" spans="1:17" x14ac:dyDescent="0.4">
      <c r="A20" s="57" t="s">
        <v>13</v>
      </c>
      <c r="B20" s="49">
        <v>1082</v>
      </c>
      <c r="C20" s="41">
        <f>IF(B$3=0,0,B20/B$3)</f>
        <v>0.17174603174603176</v>
      </c>
      <c r="E20" s="65" t="s">
        <v>79</v>
      </c>
      <c r="F20" s="62" t="s">
        <v>32</v>
      </c>
      <c r="G20" s="49">
        <v>9</v>
      </c>
      <c r="H20" s="138">
        <f>IF(B$27=0,0,G20/B$27)</f>
        <v>6.1643835616438354E-3</v>
      </c>
      <c r="I20" s="100">
        <v>4</v>
      </c>
      <c r="K20" s="40">
        <v>18</v>
      </c>
      <c r="L20" s="105">
        <v>8</v>
      </c>
      <c r="N20" s="121" t="s">
        <v>139</v>
      </c>
      <c r="O20" s="131">
        <f>IF(P20=0,0,Q20/P20)</f>
        <v>6.3144628099173552</v>
      </c>
      <c r="P20" s="125">
        <v>242</v>
      </c>
      <c r="Q20" s="113">
        <v>1528.1</v>
      </c>
    </row>
    <row r="21" spans="1:17" x14ac:dyDescent="0.4">
      <c r="A21" s="57" t="s">
        <v>5</v>
      </c>
      <c r="B21" s="53">
        <f>IF(B$17=0,0,C21/B$17)</f>
        <v>10137.486800422386</v>
      </c>
      <c r="C21" s="43">
        <v>19200400</v>
      </c>
      <c r="E21" s="65" t="s">
        <v>81</v>
      </c>
      <c r="F21" s="62" t="s">
        <v>34</v>
      </c>
      <c r="G21" s="49">
        <v>9</v>
      </c>
      <c r="H21" s="138">
        <f>IF(B$27=0,0,G21/B$27)</f>
        <v>6.1643835616438354E-3</v>
      </c>
      <c r="I21" s="100">
        <v>5</v>
      </c>
      <c r="K21" s="40">
        <v>19</v>
      </c>
      <c r="L21" s="105">
        <v>-6.1</v>
      </c>
      <c r="N21" s="121" t="s">
        <v>167</v>
      </c>
      <c r="O21" s="131">
        <f>IF(P21=0,0,Q21/P21)</f>
        <v>5.8125</v>
      </c>
      <c r="P21" s="125">
        <v>8</v>
      </c>
      <c r="Q21" s="113">
        <v>46.5</v>
      </c>
    </row>
    <row r="22" spans="1:17" x14ac:dyDescent="0.4">
      <c r="A22" s="59" t="s">
        <v>14</v>
      </c>
      <c r="B22" s="54">
        <f>IF(B$20=0,0,C22/B$20)</f>
        <v>-9380.6839186691304</v>
      </c>
      <c r="C22" s="47">
        <v>-10149900</v>
      </c>
      <c r="E22" s="65" t="s">
        <v>97</v>
      </c>
      <c r="F22" s="62" t="s">
        <v>50</v>
      </c>
      <c r="G22" s="49">
        <v>8</v>
      </c>
      <c r="H22" s="138">
        <f>IF(B$27=0,0,G22/B$27)</f>
        <v>5.4794520547945206E-3</v>
      </c>
      <c r="I22" s="100">
        <v>5</v>
      </c>
      <c r="K22" s="40">
        <v>20</v>
      </c>
      <c r="L22" s="105">
        <v>11</v>
      </c>
      <c r="N22" s="121" t="s">
        <v>134</v>
      </c>
      <c r="O22" s="131">
        <f>IF(P22=0,0,Q22/P22)</f>
        <v>5.0950757575757537</v>
      </c>
      <c r="P22" s="125">
        <v>264</v>
      </c>
      <c r="Q22" s="113">
        <v>1345.099999999999</v>
      </c>
    </row>
    <row r="23" spans="1:17" x14ac:dyDescent="0.4">
      <c r="A23" s="96" t="s">
        <v>158</v>
      </c>
      <c r="B23" s="144">
        <v>10</v>
      </c>
      <c r="C23" s="145"/>
      <c r="E23" s="65" t="s">
        <v>98</v>
      </c>
      <c r="F23" s="62" t="s">
        <v>51</v>
      </c>
      <c r="G23" s="49">
        <v>6</v>
      </c>
      <c r="H23" s="138">
        <f>IF(B$27=0,0,G23/B$27)</f>
        <v>4.10958904109589E-3</v>
      </c>
      <c r="I23" s="100">
        <v>4</v>
      </c>
      <c r="K23" s="40">
        <v>21</v>
      </c>
      <c r="L23" s="105">
        <v>-4.9000000000000004</v>
      </c>
      <c r="N23" s="121" t="s">
        <v>138</v>
      </c>
      <c r="O23" s="131">
        <f>IF(P23=0,0,Q23/P23)</f>
        <v>-0.38437499999999858</v>
      </c>
      <c r="P23" s="125">
        <v>64</v>
      </c>
      <c r="Q23" s="113">
        <v>-24.599999999999909</v>
      </c>
    </row>
    <row r="24" spans="1:17" x14ac:dyDescent="0.4">
      <c r="A24" s="60" t="s">
        <v>199</v>
      </c>
      <c r="B24" s="142">
        <v>124700</v>
      </c>
      <c r="C24" s="143"/>
      <c r="E24" s="65" t="s">
        <v>78</v>
      </c>
      <c r="F24" s="62" t="s">
        <v>31</v>
      </c>
      <c r="G24" s="49">
        <v>5</v>
      </c>
      <c r="H24" s="138">
        <f>IF(B$27=0,0,G24/B$27)</f>
        <v>3.4246575342465752E-3</v>
      </c>
      <c r="I24" s="100">
        <v>5</v>
      </c>
      <c r="K24" s="40">
        <v>22</v>
      </c>
      <c r="L24" s="105">
        <v>-36</v>
      </c>
      <c r="N24" s="121" t="s">
        <v>137</v>
      </c>
      <c r="O24" s="131">
        <f>IF(P24=0,0,Q24/P24)</f>
        <v>-3.0290178571428563</v>
      </c>
      <c r="P24" s="125">
        <v>224</v>
      </c>
      <c r="Q24" s="113">
        <v>-678.49999999999977</v>
      </c>
    </row>
    <row r="25" spans="1:17" x14ac:dyDescent="0.4">
      <c r="A25" s="59" t="s">
        <v>159</v>
      </c>
      <c r="B25" s="67">
        <v>20</v>
      </c>
      <c r="C25" s="44">
        <f>IF(B$3=0,0,B25/B$3)</f>
        <v>3.1746031746031746E-3</v>
      </c>
      <c r="E25" s="65" t="s">
        <v>90</v>
      </c>
      <c r="F25" s="62" t="s">
        <v>43</v>
      </c>
      <c r="G25" s="49">
        <v>5</v>
      </c>
      <c r="H25" s="138">
        <f>IF(B$27=0,0,G25/B$27)</f>
        <v>3.4246575342465752E-3</v>
      </c>
      <c r="I25" s="100">
        <v>4</v>
      </c>
      <c r="K25" s="40">
        <v>23</v>
      </c>
      <c r="L25" s="105">
        <v>33</v>
      </c>
      <c r="N25" s="121" t="s">
        <v>135</v>
      </c>
      <c r="O25" s="131">
        <f>IF(P25=0,0,Q25/P25)</f>
        <v>-6.3245901639344204</v>
      </c>
      <c r="P25" s="125">
        <v>122</v>
      </c>
      <c r="Q25" s="113">
        <v>-771.59999999999934</v>
      </c>
    </row>
    <row r="26" spans="1:17" x14ac:dyDescent="0.4">
      <c r="A26" s="56" t="s">
        <v>126</v>
      </c>
      <c r="B26" s="148">
        <v>4884</v>
      </c>
      <c r="C26" s="149"/>
      <c r="E26" s="65" t="s">
        <v>89</v>
      </c>
      <c r="F26" s="62" t="s">
        <v>42</v>
      </c>
      <c r="G26" s="49">
        <v>4</v>
      </c>
      <c r="H26" s="138">
        <f>IF(B$27=0,0,G26/B$27)</f>
        <v>2.7397260273972603E-3</v>
      </c>
      <c r="I26" s="100">
        <v>4</v>
      </c>
      <c r="K26" s="40">
        <v>24</v>
      </c>
      <c r="L26" s="105">
        <v>3</v>
      </c>
      <c r="N26" s="121" t="s">
        <v>133</v>
      </c>
      <c r="O26" s="131">
        <f>IF(P26=0,0,Q26/P26)</f>
        <v>-10.072553191489353</v>
      </c>
      <c r="P26" s="125">
        <v>470</v>
      </c>
      <c r="Q26" s="113">
        <v>-4734.0999999999958</v>
      </c>
    </row>
    <row r="27" spans="1:17" x14ac:dyDescent="0.4">
      <c r="A27" s="59" t="s">
        <v>127</v>
      </c>
      <c r="B27" s="150">
        <v>1460</v>
      </c>
      <c r="C27" s="151"/>
      <c r="E27" s="65" t="s">
        <v>92</v>
      </c>
      <c r="F27" s="62" t="s">
        <v>45</v>
      </c>
      <c r="G27" s="49">
        <v>3</v>
      </c>
      <c r="H27" s="138">
        <f>IF(B$27=0,0,G27/B$27)</f>
        <v>2.054794520547945E-3</v>
      </c>
      <c r="I27" s="100">
        <v>3</v>
      </c>
      <c r="K27" s="40">
        <v>25</v>
      </c>
      <c r="L27" s="105">
        <v>-41</v>
      </c>
      <c r="N27" s="121" t="s">
        <v>194</v>
      </c>
      <c r="O27" s="131">
        <f>IF(P27=0,0,Q27/P27)</f>
        <v>-11.833333333333334</v>
      </c>
      <c r="P27" s="125">
        <v>12</v>
      </c>
      <c r="Q27" s="113">
        <v>-142</v>
      </c>
    </row>
    <row r="28" spans="1:17" x14ac:dyDescent="0.4">
      <c r="E28" s="65" t="s">
        <v>95</v>
      </c>
      <c r="F28" s="62" t="s">
        <v>48</v>
      </c>
      <c r="G28" s="49">
        <v>2</v>
      </c>
      <c r="H28" s="138">
        <f>IF(B$27=0,0,G28/B$27)</f>
        <v>1.3698630136986301E-3</v>
      </c>
      <c r="I28" s="100">
        <v>3</v>
      </c>
      <c r="K28" s="40">
        <v>26</v>
      </c>
      <c r="L28" s="105">
        <v>52.5</v>
      </c>
    </row>
    <row r="29" spans="1:17" x14ac:dyDescent="0.4">
      <c r="E29" s="65" t="s">
        <v>85</v>
      </c>
      <c r="F29" s="62" t="s">
        <v>38</v>
      </c>
      <c r="G29" s="49">
        <v>1</v>
      </c>
      <c r="H29" s="138">
        <f>IF(B$27=0,0,G29/B$27)</f>
        <v>6.8493150684931507E-4</v>
      </c>
      <c r="I29" s="100">
        <v>2</v>
      </c>
      <c r="K29" s="40">
        <v>27</v>
      </c>
      <c r="L29" s="105">
        <v>-11.5</v>
      </c>
    </row>
    <row r="30" spans="1:17" x14ac:dyDescent="0.4">
      <c r="E30" s="65" t="s">
        <v>93</v>
      </c>
      <c r="F30" s="62" t="s">
        <v>46</v>
      </c>
      <c r="G30" s="49">
        <v>1</v>
      </c>
      <c r="H30" s="138">
        <f>IF(B$27=0,0,G30/B$27)</f>
        <v>6.8493150684931507E-4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38">
        <f>IF(B$27=0,0,G31/B$27)</f>
        <v>6.8493150684931507E-4</v>
      </c>
      <c r="I31" s="100">
        <v>2</v>
      </c>
      <c r="K31" s="40">
        <v>29</v>
      </c>
      <c r="L31" s="105">
        <v>68.2</v>
      </c>
    </row>
    <row r="32" spans="1:17" x14ac:dyDescent="0.4">
      <c r="E32" s="65" t="s">
        <v>111</v>
      </c>
      <c r="F32" s="62" t="s">
        <v>118</v>
      </c>
      <c r="G32" s="49">
        <v>1</v>
      </c>
      <c r="H32" s="138">
        <f>IF(B$27=0,0,G32/B$27)</f>
        <v>6.8493150684931507E-4</v>
      </c>
      <c r="I32" s="100">
        <v>2</v>
      </c>
      <c r="K32" s="40">
        <v>30</v>
      </c>
      <c r="L32" s="105">
        <v>-36.700000000000003</v>
      </c>
    </row>
    <row r="33" spans="5:12" x14ac:dyDescent="0.4">
      <c r="E33" s="65" t="s">
        <v>80</v>
      </c>
      <c r="F33" s="62" t="s">
        <v>33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-9.6999999999999993</v>
      </c>
    </row>
    <row r="35" spans="5:12" x14ac:dyDescent="0.4">
      <c r="E35" s="65" t="s">
        <v>87</v>
      </c>
      <c r="F35" s="62" t="s">
        <v>40</v>
      </c>
      <c r="G35" s="49">
        <v>0</v>
      </c>
      <c r="H35" s="138">
        <f>IF(B$27=0,0,G35/B$27)</f>
        <v>0</v>
      </c>
      <c r="I35" s="100">
        <v>1</v>
      </c>
      <c r="K35" s="40">
        <v>33</v>
      </c>
      <c r="L35" s="105">
        <v>-8.6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12.8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23.6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-36.4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57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-24.4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-32.6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-44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66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-22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-37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1.5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35.5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1.6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3.8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-5.4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-21.4</v>
      </c>
    </row>
    <row r="52" spans="5:12" x14ac:dyDescent="0.4">
      <c r="K52" s="40">
        <v>50</v>
      </c>
      <c r="L52" s="105">
        <v>-32.5</v>
      </c>
    </row>
    <row r="53" spans="5:12" x14ac:dyDescent="0.4">
      <c r="K53" s="40">
        <v>51</v>
      </c>
      <c r="L53" s="105">
        <v>53.9</v>
      </c>
    </row>
    <row r="54" spans="5:12" x14ac:dyDescent="0.4">
      <c r="K54" s="40">
        <v>52</v>
      </c>
      <c r="L54" s="105">
        <v>14.9</v>
      </c>
    </row>
    <row r="55" spans="5:12" x14ac:dyDescent="0.4">
      <c r="K55" s="40">
        <v>53</v>
      </c>
      <c r="L55" s="105">
        <v>-13.7</v>
      </c>
    </row>
    <row r="56" spans="5:12" x14ac:dyDescent="0.4">
      <c r="K56" s="40">
        <v>54</v>
      </c>
      <c r="L56" s="105">
        <v>-1.2</v>
      </c>
    </row>
    <row r="57" spans="5:12" x14ac:dyDescent="0.4">
      <c r="K57" s="40">
        <v>55</v>
      </c>
      <c r="L57" s="105">
        <v>57.2</v>
      </c>
    </row>
    <row r="58" spans="5:12" x14ac:dyDescent="0.4">
      <c r="K58" s="40">
        <v>56</v>
      </c>
      <c r="L58" s="105">
        <v>-38.4</v>
      </c>
    </row>
    <row r="59" spans="5:12" x14ac:dyDescent="0.4">
      <c r="K59" s="40">
        <v>57</v>
      </c>
      <c r="L59" s="105">
        <v>-18.8</v>
      </c>
    </row>
    <row r="60" spans="5:12" x14ac:dyDescent="0.4">
      <c r="K60" s="40">
        <v>58</v>
      </c>
      <c r="L60" s="105">
        <v>26.2</v>
      </c>
    </row>
    <row r="61" spans="5:12" x14ac:dyDescent="0.4">
      <c r="K61" s="40">
        <v>59</v>
      </c>
      <c r="L61" s="105">
        <v>-25.2</v>
      </c>
    </row>
    <row r="62" spans="5:12" x14ac:dyDescent="0.4">
      <c r="K62" s="40">
        <v>60</v>
      </c>
      <c r="L62" s="105">
        <v>-1</v>
      </c>
    </row>
    <row r="63" spans="5:12" x14ac:dyDescent="0.4">
      <c r="K63" s="40">
        <v>61</v>
      </c>
      <c r="L63" s="105">
        <v>56.5</v>
      </c>
    </row>
    <row r="64" spans="5:12" x14ac:dyDescent="0.4">
      <c r="K64" s="40">
        <v>62</v>
      </c>
      <c r="L64" s="105">
        <v>-46.5</v>
      </c>
    </row>
    <row r="65" spans="11:12" x14ac:dyDescent="0.4">
      <c r="K65" s="40">
        <v>63</v>
      </c>
      <c r="L65" s="105">
        <v>-10</v>
      </c>
    </row>
    <row r="66" spans="11:12" x14ac:dyDescent="0.4">
      <c r="K66" s="40">
        <v>64</v>
      </c>
      <c r="L66" s="105">
        <v>-25.5</v>
      </c>
    </row>
    <row r="67" spans="11:12" x14ac:dyDescent="0.4">
      <c r="K67" s="40">
        <v>65</v>
      </c>
      <c r="L67" s="105">
        <v>-39.9</v>
      </c>
    </row>
    <row r="68" spans="11:12" x14ac:dyDescent="0.4">
      <c r="K68" s="40">
        <v>66</v>
      </c>
      <c r="L68" s="105">
        <v>65.400000000000006</v>
      </c>
    </row>
    <row r="69" spans="11:12" x14ac:dyDescent="0.4">
      <c r="K69" s="40">
        <v>67</v>
      </c>
      <c r="L69" s="105">
        <v>24.7</v>
      </c>
    </row>
    <row r="70" spans="11:12" x14ac:dyDescent="0.4">
      <c r="K70" s="40">
        <v>68</v>
      </c>
      <c r="L70" s="105">
        <v>-35.799999999999997</v>
      </c>
    </row>
    <row r="71" spans="11:12" x14ac:dyDescent="0.4">
      <c r="K71" s="40">
        <v>69</v>
      </c>
      <c r="L71" s="105">
        <v>11.1</v>
      </c>
    </row>
    <row r="72" spans="11:12" x14ac:dyDescent="0.4">
      <c r="K72" s="40">
        <v>70</v>
      </c>
      <c r="L72" s="105">
        <v>-6.5</v>
      </c>
    </row>
    <row r="73" spans="11:12" x14ac:dyDescent="0.4">
      <c r="K73" s="40">
        <v>71</v>
      </c>
      <c r="L73" s="105">
        <v>-44.5</v>
      </c>
    </row>
    <row r="74" spans="11:12" x14ac:dyDescent="0.4">
      <c r="K74" s="40">
        <v>72</v>
      </c>
      <c r="L74" s="105">
        <v>51</v>
      </c>
    </row>
    <row r="75" spans="11:12" x14ac:dyDescent="0.4">
      <c r="K75" s="40">
        <v>73</v>
      </c>
      <c r="L75" s="105">
        <v>-33.700000000000003</v>
      </c>
    </row>
    <row r="76" spans="11:12" x14ac:dyDescent="0.4">
      <c r="K76" s="40">
        <v>74</v>
      </c>
      <c r="L76" s="105">
        <v>16.5</v>
      </c>
    </row>
    <row r="77" spans="11:12" x14ac:dyDescent="0.4">
      <c r="K77" s="40">
        <v>75</v>
      </c>
      <c r="L77" s="105">
        <v>17.2</v>
      </c>
    </row>
    <row r="78" spans="11:12" x14ac:dyDescent="0.4">
      <c r="K78" s="40">
        <v>76</v>
      </c>
      <c r="L78" s="105">
        <v>23.9</v>
      </c>
    </row>
    <row r="79" spans="11:12" x14ac:dyDescent="0.4">
      <c r="K79" s="40">
        <v>77</v>
      </c>
      <c r="L79" s="105">
        <v>-8.4</v>
      </c>
    </row>
    <row r="80" spans="11:12" x14ac:dyDescent="0.4">
      <c r="K80" s="40">
        <v>78</v>
      </c>
      <c r="L80" s="105">
        <v>-15.5</v>
      </c>
    </row>
    <row r="81" spans="11:12" x14ac:dyDescent="0.4">
      <c r="K81" s="40">
        <v>79</v>
      </c>
      <c r="L81" s="105">
        <v>-37</v>
      </c>
    </row>
    <row r="82" spans="11:12" x14ac:dyDescent="0.4">
      <c r="K82" s="40">
        <v>80</v>
      </c>
      <c r="L82" s="105">
        <v>61.5</v>
      </c>
    </row>
    <row r="83" spans="11:12" x14ac:dyDescent="0.4">
      <c r="K83" s="40">
        <v>81</v>
      </c>
      <c r="L83" s="105">
        <v>-24.5</v>
      </c>
    </row>
    <row r="84" spans="11:12" x14ac:dyDescent="0.4">
      <c r="K84" s="40">
        <v>82</v>
      </c>
      <c r="L84" s="105">
        <v>58</v>
      </c>
    </row>
    <row r="85" spans="11:12" x14ac:dyDescent="0.4">
      <c r="K85" s="40">
        <v>83</v>
      </c>
      <c r="L85" s="105">
        <v>-16.5</v>
      </c>
    </row>
    <row r="86" spans="11:12" x14ac:dyDescent="0.4">
      <c r="K86" s="40">
        <v>84</v>
      </c>
      <c r="L86" s="105">
        <v>-41.5</v>
      </c>
    </row>
    <row r="87" spans="11:12" x14ac:dyDescent="0.4">
      <c r="K87" s="40">
        <v>85</v>
      </c>
      <c r="L87" s="105">
        <v>-8.4</v>
      </c>
    </row>
    <row r="88" spans="11:12" x14ac:dyDescent="0.4">
      <c r="K88" s="40">
        <v>86</v>
      </c>
      <c r="L88" s="105">
        <v>27.7</v>
      </c>
    </row>
    <row r="89" spans="11:12" x14ac:dyDescent="0.4">
      <c r="K89" s="40">
        <v>87</v>
      </c>
      <c r="L89" s="105">
        <v>-19.3</v>
      </c>
    </row>
    <row r="90" spans="11:12" x14ac:dyDescent="0.4">
      <c r="K90" s="40">
        <v>88</v>
      </c>
      <c r="L90" s="105">
        <v>53.3</v>
      </c>
    </row>
    <row r="91" spans="11:12" x14ac:dyDescent="0.4">
      <c r="K91" s="40">
        <v>89</v>
      </c>
      <c r="L91" s="105">
        <v>-38.9</v>
      </c>
    </row>
    <row r="92" spans="11:12" x14ac:dyDescent="0.4">
      <c r="K92" s="40">
        <v>90</v>
      </c>
      <c r="L92" s="105">
        <v>-14.4</v>
      </c>
    </row>
    <row r="93" spans="11:12" x14ac:dyDescent="0.4">
      <c r="K93" s="40">
        <v>91</v>
      </c>
      <c r="L93" s="105">
        <v>-14</v>
      </c>
    </row>
    <row r="94" spans="11:12" x14ac:dyDescent="0.4">
      <c r="K94" s="40">
        <v>92</v>
      </c>
      <c r="L94" s="105">
        <v>-38</v>
      </c>
    </row>
    <row r="95" spans="11:12" x14ac:dyDescent="0.4">
      <c r="K95" s="40">
        <v>93</v>
      </c>
      <c r="L95" s="105">
        <v>52</v>
      </c>
    </row>
    <row r="96" spans="11:12" x14ac:dyDescent="0.4">
      <c r="K96" s="40">
        <v>94</v>
      </c>
      <c r="L96" s="105">
        <v>60.7</v>
      </c>
    </row>
    <row r="97" spans="11:12" x14ac:dyDescent="0.4">
      <c r="K97" s="40">
        <v>95</v>
      </c>
      <c r="L97" s="105">
        <v>-20.3</v>
      </c>
    </row>
    <row r="98" spans="11:12" x14ac:dyDescent="0.4">
      <c r="K98" s="40">
        <v>96</v>
      </c>
      <c r="L98" s="105">
        <v>-40.4</v>
      </c>
    </row>
    <row r="99" spans="11:12" x14ac:dyDescent="0.4">
      <c r="K99" s="40">
        <v>97</v>
      </c>
      <c r="L99" s="105">
        <v>50</v>
      </c>
    </row>
    <row r="100" spans="11:12" x14ac:dyDescent="0.4">
      <c r="K100" s="40">
        <v>98</v>
      </c>
      <c r="L100" s="105">
        <v>-8.5</v>
      </c>
    </row>
    <row r="101" spans="11:12" x14ac:dyDescent="0.4">
      <c r="K101" s="40">
        <v>99</v>
      </c>
      <c r="L101" s="105">
        <v>-41.5</v>
      </c>
    </row>
    <row r="102" spans="11:12" x14ac:dyDescent="0.4">
      <c r="K102" s="40">
        <v>100</v>
      </c>
      <c r="L102" s="105">
        <v>-14</v>
      </c>
    </row>
    <row r="103" spans="11:12" x14ac:dyDescent="0.4">
      <c r="K103" s="40">
        <v>101</v>
      </c>
      <c r="L103" s="105">
        <v>-38.5</v>
      </c>
    </row>
    <row r="104" spans="11:12" x14ac:dyDescent="0.4">
      <c r="K104" s="40">
        <v>102</v>
      </c>
      <c r="L104" s="105">
        <v>52.5</v>
      </c>
    </row>
    <row r="105" spans="11:12" x14ac:dyDescent="0.4">
      <c r="K105" s="40">
        <v>103</v>
      </c>
      <c r="L105" s="105">
        <v>-3.4</v>
      </c>
    </row>
    <row r="106" spans="11:12" x14ac:dyDescent="0.4">
      <c r="K106" s="40">
        <v>104</v>
      </c>
      <c r="L106" s="105">
        <v>-11.6</v>
      </c>
    </row>
    <row r="107" spans="11:12" x14ac:dyDescent="0.4">
      <c r="K107" s="40">
        <v>105</v>
      </c>
      <c r="L107" s="105">
        <v>15</v>
      </c>
    </row>
    <row r="108" spans="11:12" x14ac:dyDescent="0.4">
      <c r="K108" s="40">
        <v>106</v>
      </c>
      <c r="L108" s="105">
        <v>-17.100000000000001</v>
      </c>
    </row>
    <row r="109" spans="11:12" x14ac:dyDescent="0.4">
      <c r="K109" s="40">
        <v>107</v>
      </c>
      <c r="L109" s="105">
        <v>0.3</v>
      </c>
    </row>
    <row r="110" spans="11:12" x14ac:dyDescent="0.4">
      <c r="K110" s="40">
        <v>108</v>
      </c>
      <c r="L110" s="105">
        <v>16.8</v>
      </c>
    </row>
    <row r="111" spans="11:12" x14ac:dyDescent="0.4">
      <c r="K111" s="40">
        <v>109</v>
      </c>
      <c r="L111" s="105">
        <v>21.1</v>
      </c>
    </row>
    <row r="112" spans="11:12" x14ac:dyDescent="0.4">
      <c r="K112" s="40">
        <v>110</v>
      </c>
      <c r="L112" s="105">
        <v>14.7</v>
      </c>
    </row>
    <row r="113" spans="11:12" x14ac:dyDescent="0.4">
      <c r="K113" s="40">
        <v>111</v>
      </c>
      <c r="L113" s="105">
        <v>-35.799999999999997</v>
      </c>
    </row>
    <row r="114" spans="11:12" x14ac:dyDescent="0.4">
      <c r="K114" s="40">
        <v>112</v>
      </c>
      <c r="L114" s="105">
        <v>-50.6</v>
      </c>
    </row>
    <row r="115" spans="11:12" x14ac:dyDescent="0.4">
      <c r="K115" s="40">
        <v>113</v>
      </c>
      <c r="L115" s="105">
        <v>48</v>
      </c>
    </row>
    <row r="116" spans="11:12" x14ac:dyDescent="0.4">
      <c r="K116" s="40">
        <v>114</v>
      </c>
      <c r="L116" s="105">
        <v>2.6</v>
      </c>
    </row>
    <row r="117" spans="11:12" x14ac:dyDescent="0.4">
      <c r="K117" s="40">
        <v>115</v>
      </c>
      <c r="L117" s="105">
        <v>-8.1999999999999993</v>
      </c>
    </row>
    <row r="118" spans="11:12" x14ac:dyDescent="0.4">
      <c r="K118" s="40">
        <v>116</v>
      </c>
      <c r="L118" s="105">
        <v>-41.8</v>
      </c>
    </row>
    <row r="119" spans="11:12" x14ac:dyDescent="0.4">
      <c r="K119" s="40">
        <v>117</v>
      </c>
      <c r="L119" s="105">
        <v>50</v>
      </c>
    </row>
    <row r="120" spans="11:12" x14ac:dyDescent="0.4">
      <c r="K120" s="40">
        <v>118</v>
      </c>
      <c r="L120" s="105">
        <v>-7</v>
      </c>
    </row>
    <row r="121" spans="11:12" x14ac:dyDescent="0.4">
      <c r="K121" s="40">
        <v>119</v>
      </c>
      <c r="L121" s="105">
        <v>-5.5</v>
      </c>
    </row>
    <row r="122" spans="11:12" x14ac:dyDescent="0.4">
      <c r="K122" s="40">
        <v>120</v>
      </c>
      <c r="L122" s="105">
        <v>12.5</v>
      </c>
    </row>
    <row r="123" spans="11:12" x14ac:dyDescent="0.4">
      <c r="K123" s="40">
        <v>121</v>
      </c>
      <c r="L123" s="105">
        <v>-36.4</v>
      </c>
    </row>
    <row r="124" spans="11:12" x14ac:dyDescent="0.4">
      <c r="K124" s="40">
        <v>122</v>
      </c>
      <c r="L124" s="105">
        <v>24.9</v>
      </c>
    </row>
    <row r="125" spans="11:12" x14ac:dyDescent="0.4">
      <c r="K125" s="40">
        <v>123</v>
      </c>
      <c r="L125" s="105">
        <v>11.5</v>
      </c>
    </row>
    <row r="126" spans="11:12" x14ac:dyDescent="0.4">
      <c r="K126" s="40">
        <v>124</v>
      </c>
      <c r="L126" s="105">
        <v>-8.5</v>
      </c>
    </row>
    <row r="127" spans="11:12" x14ac:dyDescent="0.4">
      <c r="K127" s="40">
        <v>125</v>
      </c>
      <c r="L127" s="105">
        <v>3</v>
      </c>
    </row>
    <row r="128" spans="11:12" x14ac:dyDescent="0.4">
      <c r="K128" s="40">
        <v>126</v>
      </c>
      <c r="L128" s="105">
        <v>5.5</v>
      </c>
    </row>
    <row r="129" spans="11:12" x14ac:dyDescent="0.4">
      <c r="K129" s="40">
        <v>127</v>
      </c>
      <c r="L129" s="105">
        <v>8.4</v>
      </c>
    </row>
    <row r="130" spans="11:12" x14ac:dyDescent="0.4">
      <c r="K130" s="40">
        <v>128</v>
      </c>
      <c r="L130" s="105">
        <v>15.5</v>
      </c>
    </row>
    <row r="131" spans="11:12" x14ac:dyDescent="0.4">
      <c r="K131" s="40">
        <v>129</v>
      </c>
      <c r="L131" s="105">
        <v>-23.9</v>
      </c>
    </row>
    <row r="132" spans="11:12" x14ac:dyDescent="0.4">
      <c r="K132" s="40">
        <v>130</v>
      </c>
      <c r="L132" s="105">
        <v>-10.4</v>
      </c>
    </row>
    <row r="133" spans="11:12" x14ac:dyDescent="0.4">
      <c r="K133" s="40">
        <v>131</v>
      </c>
      <c r="L133" s="105">
        <v>11.1</v>
      </c>
    </row>
    <row r="134" spans="11:12" x14ac:dyDescent="0.4">
      <c r="K134" s="40">
        <v>132</v>
      </c>
      <c r="L134" s="105">
        <v>-0.7</v>
      </c>
    </row>
    <row r="135" spans="11:12" x14ac:dyDescent="0.4">
      <c r="K135" s="40">
        <v>133</v>
      </c>
      <c r="L135" s="105">
        <v>27.9</v>
      </c>
    </row>
    <row r="136" spans="11:12" x14ac:dyDescent="0.4">
      <c r="K136" s="40">
        <v>134</v>
      </c>
      <c r="L136" s="105">
        <v>-35.9</v>
      </c>
    </row>
    <row r="137" spans="11:12" x14ac:dyDescent="0.4">
      <c r="K137" s="40">
        <v>135</v>
      </c>
      <c r="L137" s="105">
        <v>8</v>
      </c>
    </row>
    <row r="138" spans="11:12" x14ac:dyDescent="0.4">
      <c r="K138" s="40">
        <v>136</v>
      </c>
      <c r="L138" s="105">
        <v>-20.5</v>
      </c>
    </row>
    <row r="139" spans="11:12" x14ac:dyDescent="0.4">
      <c r="K139" s="40">
        <v>137</v>
      </c>
      <c r="L139" s="105">
        <v>-4.7</v>
      </c>
    </row>
    <row r="140" spans="11:12" x14ac:dyDescent="0.4">
      <c r="K140" s="40">
        <v>138</v>
      </c>
      <c r="L140" s="105">
        <v>25.2</v>
      </c>
    </row>
    <row r="141" spans="11:12" x14ac:dyDescent="0.4">
      <c r="K141" s="40">
        <v>139</v>
      </c>
      <c r="L141" s="105">
        <v>-31.1</v>
      </c>
    </row>
    <row r="142" spans="11:12" x14ac:dyDescent="0.4">
      <c r="K142" s="40">
        <v>140</v>
      </c>
      <c r="L142" s="105">
        <v>-31.2</v>
      </c>
    </row>
    <row r="143" spans="11:12" x14ac:dyDescent="0.4">
      <c r="K143" s="40">
        <v>141</v>
      </c>
      <c r="L143" s="105">
        <v>62.3</v>
      </c>
    </row>
    <row r="144" spans="11:12" x14ac:dyDescent="0.4">
      <c r="K144" s="40">
        <v>142</v>
      </c>
      <c r="L144" s="105">
        <v>16.2</v>
      </c>
    </row>
    <row r="145" spans="11:12" x14ac:dyDescent="0.4">
      <c r="K145" s="40">
        <v>143</v>
      </c>
      <c r="L145" s="105">
        <v>-24.8</v>
      </c>
    </row>
    <row r="146" spans="11:12" x14ac:dyDescent="0.4">
      <c r="K146" s="40">
        <v>144</v>
      </c>
      <c r="L146" s="105">
        <v>8.6</v>
      </c>
    </row>
    <row r="147" spans="11:12" x14ac:dyDescent="0.4">
      <c r="K147" s="40">
        <v>145</v>
      </c>
      <c r="L147" s="105">
        <v>-4.9000000000000004</v>
      </c>
    </row>
    <row r="148" spans="11:12" x14ac:dyDescent="0.4">
      <c r="K148" s="40">
        <v>146</v>
      </c>
      <c r="L148" s="105">
        <v>-11.9</v>
      </c>
    </row>
    <row r="149" spans="11:12" x14ac:dyDescent="0.4">
      <c r="K149" s="40">
        <v>147</v>
      </c>
      <c r="L149" s="105">
        <v>14.8</v>
      </c>
    </row>
    <row r="150" spans="11:12" x14ac:dyDescent="0.4">
      <c r="K150" s="40">
        <v>148</v>
      </c>
      <c r="L150" s="105">
        <v>12.8</v>
      </c>
    </row>
    <row r="151" spans="11:12" x14ac:dyDescent="0.4">
      <c r="K151" s="40">
        <v>149</v>
      </c>
      <c r="L151" s="105">
        <v>3.9</v>
      </c>
    </row>
    <row r="152" spans="11:12" x14ac:dyDescent="0.4">
      <c r="K152" s="40">
        <v>150</v>
      </c>
      <c r="L152" s="105">
        <v>-16.7</v>
      </c>
    </row>
    <row r="153" spans="11:12" x14ac:dyDescent="0.4">
      <c r="K153" s="40">
        <v>151</v>
      </c>
      <c r="L153" s="105">
        <v>0.7</v>
      </c>
    </row>
    <row r="154" spans="11:12" x14ac:dyDescent="0.4">
      <c r="K154" s="40">
        <v>152</v>
      </c>
      <c r="L154" s="105">
        <v>43.2</v>
      </c>
    </row>
    <row r="155" spans="11:12" x14ac:dyDescent="0.4">
      <c r="K155" s="40">
        <v>153</v>
      </c>
      <c r="L155" s="105">
        <v>-43.9</v>
      </c>
    </row>
    <row r="156" spans="11:12" x14ac:dyDescent="0.4">
      <c r="K156" s="40">
        <v>154</v>
      </c>
      <c r="L156" s="105">
        <v>-6.7</v>
      </c>
    </row>
    <row r="157" spans="11:12" x14ac:dyDescent="0.4">
      <c r="K157" s="40">
        <v>155</v>
      </c>
      <c r="L157" s="105">
        <v>-2.8</v>
      </c>
    </row>
    <row r="158" spans="11:12" x14ac:dyDescent="0.4">
      <c r="K158" s="40">
        <v>156</v>
      </c>
      <c r="L158" s="105">
        <v>9.5</v>
      </c>
    </row>
    <row r="159" spans="11:12" x14ac:dyDescent="0.4">
      <c r="K159" s="40">
        <v>157</v>
      </c>
      <c r="L159" s="105">
        <v>-28</v>
      </c>
    </row>
    <row r="160" spans="11:12" x14ac:dyDescent="0.4">
      <c r="K160" s="40">
        <v>158</v>
      </c>
      <c r="L160" s="105">
        <v>-55</v>
      </c>
    </row>
    <row r="161" spans="11:12" x14ac:dyDescent="0.4">
      <c r="K161" s="40">
        <v>159</v>
      </c>
      <c r="L161" s="105">
        <v>83</v>
      </c>
    </row>
    <row r="162" spans="11:12" x14ac:dyDescent="0.4">
      <c r="K162" s="40">
        <v>160</v>
      </c>
      <c r="L162" s="105">
        <v>16.7</v>
      </c>
    </row>
    <row r="163" spans="11:12" x14ac:dyDescent="0.4">
      <c r="K163" s="40">
        <v>161</v>
      </c>
      <c r="L163" s="105">
        <v>-37.700000000000003</v>
      </c>
    </row>
    <row r="164" spans="11:12" x14ac:dyDescent="0.4">
      <c r="K164" s="40">
        <v>162</v>
      </c>
      <c r="L164" s="105">
        <v>21</v>
      </c>
    </row>
    <row r="165" spans="11:12" x14ac:dyDescent="0.4">
      <c r="K165" s="40">
        <v>163</v>
      </c>
      <c r="L165" s="105">
        <v>-7</v>
      </c>
    </row>
    <row r="166" spans="11:12" x14ac:dyDescent="0.4">
      <c r="K166" s="40">
        <v>164</v>
      </c>
      <c r="L166" s="105">
        <v>-5.9</v>
      </c>
    </row>
    <row r="167" spans="11:12" x14ac:dyDescent="0.4">
      <c r="K167" s="40">
        <v>165</v>
      </c>
      <c r="L167" s="105">
        <v>11.9</v>
      </c>
    </row>
    <row r="168" spans="11:12" x14ac:dyDescent="0.4">
      <c r="K168" s="40">
        <v>166</v>
      </c>
      <c r="L168" s="105">
        <v>31.6</v>
      </c>
    </row>
    <row r="169" spans="11:12" x14ac:dyDescent="0.4">
      <c r="K169" s="40">
        <v>167</v>
      </c>
      <c r="L169" s="105">
        <v>6.2</v>
      </c>
    </row>
    <row r="170" spans="11:12" x14ac:dyDescent="0.4">
      <c r="K170" s="40">
        <v>168</v>
      </c>
      <c r="L170" s="105">
        <v>-37.799999999999997</v>
      </c>
    </row>
    <row r="171" spans="11:12" x14ac:dyDescent="0.4">
      <c r="K171" s="40">
        <v>169</v>
      </c>
      <c r="L171" s="105">
        <v>15.8</v>
      </c>
    </row>
    <row r="172" spans="11:12" x14ac:dyDescent="0.4">
      <c r="K172" s="40">
        <v>170</v>
      </c>
      <c r="L172" s="105">
        <v>-46.1</v>
      </c>
    </row>
    <row r="173" spans="11:12" x14ac:dyDescent="0.4">
      <c r="K173" s="40">
        <v>171</v>
      </c>
      <c r="L173" s="105">
        <v>30.3</v>
      </c>
    </row>
    <row r="174" spans="11:12" x14ac:dyDescent="0.4">
      <c r="K174" s="40">
        <v>172</v>
      </c>
      <c r="L174" s="105">
        <v>57</v>
      </c>
    </row>
    <row r="175" spans="11:12" x14ac:dyDescent="0.4">
      <c r="K175" s="40">
        <v>173</v>
      </c>
      <c r="L175" s="105">
        <v>-50.5</v>
      </c>
    </row>
    <row r="176" spans="11:12" x14ac:dyDescent="0.4">
      <c r="K176" s="40">
        <v>174</v>
      </c>
      <c r="L176" s="105">
        <v>-6.5</v>
      </c>
    </row>
    <row r="177" spans="11:12" x14ac:dyDescent="0.4">
      <c r="K177" s="40">
        <v>175</v>
      </c>
      <c r="L177" s="105">
        <v>5.3</v>
      </c>
    </row>
    <row r="178" spans="11:12" x14ac:dyDescent="0.4">
      <c r="K178" s="40">
        <v>176</v>
      </c>
      <c r="L178" s="105">
        <v>6.3</v>
      </c>
    </row>
    <row r="179" spans="11:12" x14ac:dyDescent="0.4">
      <c r="K179" s="40">
        <v>177</v>
      </c>
      <c r="L179" s="105">
        <v>-11.6</v>
      </c>
    </row>
    <row r="180" spans="11:12" x14ac:dyDescent="0.4">
      <c r="K180" s="40">
        <v>178</v>
      </c>
      <c r="L180" s="105">
        <v>-36.200000000000003</v>
      </c>
    </row>
    <row r="181" spans="11:12" x14ac:dyDescent="0.4">
      <c r="K181" s="40">
        <v>179</v>
      </c>
      <c r="L181" s="105">
        <v>18.7</v>
      </c>
    </row>
    <row r="182" spans="11:12" x14ac:dyDescent="0.4">
      <c r="K182" s="40">
        <v>180</v>
      </c>
      <c r="L182" s="105">
        <v>17.5</v>
      </c>
    </row>
    <row r="183" spans="11:12" x14ac:dyDescent="0.4">
      <c r="K183" s="40">
        <v>181</v>
      </c>
      <c r="L183" s="105">
        <v>-46.1</v>
      </c>
    </row>
    <row r="184" spans="11:12" x14ac:dyDescent="0.4">
      <c r="K184" s="40">
        <v>182</v>
      </c>
      <c r="L184" s="105">
        <v>5.0999999999999996</v>
      </c>
    </row>
    <row r="185" spans="11:12" x14ac:dyDescent="0.4">
      <c r="K185" s="40">
        <v>183</v>
      </c>
      <c r="L185" s="105">
        <v>41</v>
      </c>
    </row>
    <row r="186" spans="11:12" x14ac:dyDescent="0.4">
      <c r="K186" s="40">
        <v>184</v>
      </c>
      <c r="L186" s="105">
        <v>35</v>
      </c>
    </row>
    <row r="187" spans="11:12" x14ac:dyDescent="0.4">
      <c r="K187" s="40">
        <v>185</v>
      </c>
      <c r="L187" s="105">
        <v>-24.5</v>
      </c>
    </row>
    <row r="188" spans="11:12" x14ac:dyDescent="0.4">
      <c r="K188" s="40">
        <v>186</v>
      </c>
      <c r="L188" s="105">
        <v>-10.5</v>
      </c>
    </row>
    <row r="189" spans="11:12" x14ac:dyDescent="0.4">
      <c r="K189" s="40">
        <v>187</v>
      </c>
      <c r="L189" s="105">
        <v>21.1</v>
      </c>
    </row>
    <row r="190" spans="11:12" x14ac:dyDescent="0.4">
      <c r="K190" s="40">
        <v>188</v>
      </c>
      <c r="L190" s="105">
        <v>-13.9</v>
      </c>
    </row>
    <row r="191" spans="11:12" x14ac:dyDescent="0.4">
      <c r="K191" s="40">
        <v>189</v>
      </c>
      <c r="L191" s="105">
        <v>-7.2</v>
      </c>
    </row>
    <row r="192" spans="11:12" x14ac:dyDescent="0.4">
      <c r="K192" s="40">
        <v>190</v>
      </c>
      <c r="L192" s="105">
        <v>-66</v>
      </c>
    </row>
    <row r="193" spans="11:12" x14ac:dyDescent="0.4">
      <c r="K193" s="40">
        <v>191</v>
      </c>
      <c r="L193" s="105">
        <v>-8.3000000000000007</v>
      </c>
    </row>
    <row r="194" spans="11:12" x14ac:dyDescent="0.4">
      <c r="K194" s="40">
        <v>192</v>
      </c>
      <c r="L194" s="105">
        <v>74.3</v>
      </c>
    </row>
    <row r="195" spans="11:12" x14ac:dyDescent="0.4">
      <c r="K195" s="40">
        <v>193</v>
      </c>
      <c r="L195" s="105">
        <v>-5</v>
      </c>
    </row>
    <row r="196" spans="11:12" x14ac:dyDescent="0.4">
      <c r="K196" s="40">
        <v>194</v>
      </c>
      <c r="L196" s="105">
        <v>-45</v>
      </c>
    </row>
    <row r="197" spans="11:12" x14ac:dyDescent="0.4">
      <c r="K197" s="40">
        <v>195</v>
      </c>
      <c r="L197" s="105">
        <v>50</v>
      </c>
    </row>
    <row r="198" spans="11:12" x14ac:dyDescent="0.4">
      <c r="K198" s="40">
        <v>196</v>
      </c>
      <c r="L198" s="105">
        <v>1</v>
      </c>
    </row>
    <row r="199" spans="11:12" x14ac:dyDescent="0.4">
      <c r="K199" s="40">
        <v>197</v>
      </c>
      <c r="L199" s="105">
        <v>-36</v>
      </c>
    </row>
    <row r="200" spans="11:12" x14ac:dyDescent="0.4">
      <c r="K200" s="40">
        <v>198</v>
      </c>
      <c r="L200" s="105">
        <v>35</v>
      </c>
    </row>
    <row r="201" spans="11:12" x14ac:dyDescent="0.4">
      <c r="K201" s="40">
        <v>199</v>
      </c>
      <c r="L201" s="105">
        <v>31.6</v>
      </c>
    </row>
    <row r="202" spans="11:12" x14ac:dyDescent="0.4">
      <c r="K202" s="40">
        <v>200</v>
      </c>
      <c r="L202" s="105">
        <v>-31.3</v>
      </c>
    </row>
    <row r="203" spans="11:12" x14ac:dyDescent="0.4">
      <c r="K203" s="40">
        <v>201</v>
      </c>
      <c r="L203" s="105">
        <v>-0.3</v>
      </c>
    </row>
    <row r="204" spans="11:12" x14ac:dyDescent="0.4">
      <c r="K204" s="40">
        <v>202</v>
      </c>
      <c r="L204" s="105">
        <v>-19</v>
      </c>
    </row>
    <row r="205" spans="11:12" x14ac:dyDescent="0.4">
      <c r="K205" s="40">
        <v>203</v>
      </c>
      <c r="L205" s="105">
        <v>64</v>
      </c>
    </row>
    <row r="206" spans="11:12" x14ac:dyDescent="0.4">
      <c r="K206" s="40">
        <v>204</v>
      </c>
      <c r="L206" s="105">
        <v>-45</v>
      </c>
    </row>
    <row r="207" spans="11:12" x14ac:dyDescent="0.4">
      <c r="K207" s="40">
        <v>205</v>
      </c>
      <c r="L207" s="105">
        <v>-9.9</v>
      </c>
    </row>
    <row r="208" spans="11:12" x14ac:dyDescent="0.4">
      <c r="K208" s="40">
        <v>206</v>
      </c>
      <c r="L208" s="105">
        <v>3.1</v>
      </c>
    </row>
    <row r="209" spans="11:12" x14ac:dyDescent="0.4">
      <c r="K209" s="40">
        <v>207</v>
      </c>
      <c r="L209" s="105">
        <v>6.8</v>
      </c>
    </row>
    <row r="210" spans="11:12" x14ac:dyDescent="0.4">
      <c r="K210" s="40">
        <v>208</v>
      </c>
      <c r="L210" s="105">
        <v>0.9</v>
      </c>
    </row>
    <row r="211" spans="11:12" x14ac:dyDescent="0.4">
      <c r="K211" s="40">
        <v>209</v>
      </c>
      <c r="L211" s="105">
        <v>1.2</v>
      </c>
    </row>
    <row r="212" spans="11:12" x14ac:dyDescent="0.4">
      <c r="K212" s="40">
        <v>210</v>
      </c>
      <c r="L212" s="105">
        <v>-2.1</v>
      </c>
    </row>
    <row r="213" spans="11:12" x14ac:dyDescent="0.4">
      <c r="K213" s="40">
        <v>211</v>
      </c>
      <c r="L213" s="105">
        <v>32.299999999999997</v>
      </c>
    </row>
    <row r="214" spans="11:12" x14ac:dyDescent="0.4">
      <c r="K214" s="40">
        <v>212</v>
      </c>
      <c r="L214" s="105">
        <v>2.8</v>
      </c>
    </row>
    <row r="215" spans="11:12" x14ac:dyDescent="0.4">
      <c r="K215" s="40">
        <v>213</v>
      </c>
      <c r="L215" s="105">
        <v>-35.1</v>
      </c>
    </row>
    <row r="216" spans="11:12" x14ac:dyDescent="0.4">
      <c r="K216" s="40">
        <v>214</v>
      </c>
      <c r="L216" s="105">
        <v>-46</v>
      </c>
    </row>
    <row r="217" spans="11:12" x14ac:dyDescent="0.4">
      <c r="K217" s="40">
        <v>215</v>
      </c>
      <c r="L217" s="105">
        <v>44.6</v>
      </c>
    </row>
    <row r="218" spans="11:12" x14ac:dyDescent="0.4">
      <c r="K218" s="40">
        <v>216</v>
      </c>
      <c r="L218" s="105">
        <v>1.4</v>
      </c>
    </row>
    <row r="219" spans="11:12" x14ac:dyDescent="0.4">
      <c r="K219" s="40">
        <v>217</v>
      </c>
      <c r="L219" s="105">
        <v>28.4</v>
      </c>
    </row>
    <row r="220" spans="11:12" x14ac:dyDescent="0.4">
      <c r="K220" s="40">
        <v>218</v>
      </c>
      <c r="L220" s="105">
        <v>-1.4</v>
      </c>
    </row>
    <row r="221" spans="11:12" x14ac:dyDescent="0.4">
      <c r="K221" s="40">
        <v>219</v>
      </c>
      <c r="L221" s="105">
        <v>-27</v>
      </c>
    </row>
    <row r="222" spans="11:12" x14ac:dyDescent="0.4">
      <c r="K222" s="40">
        <v>220</v>
      </c>
      <c r="L222" s="105">
        <v>-7.4</v>
      </c>
    </row>
    <row r="223" spans="11:12" x14ac:dyDescent="0.4">
      <c r="K223" s="40">
        <v>221</v>
      </c>
      <c r="L223" s="105">
        <v>-39.700000000000003</v>
      </c>
    </row>
    <row r="224" spans="11:12" x14ac:dyDescent="0.4">
      <c r="K224" s="40">
        <v>222</v>
      </c>
      <c r="L224" s="105">
        <v>47.1</v>
      </c>
    </row>
    <row r="225" spans="11:12" x14ac:dyDescent="0.4">
      <c r="K225" s="40">
        <v>223</v>
      </c>
      <c r="L225" s="105">
        <v>18.3</v>
      </c>
    </row>
    <row r="226" spans="11:12" x14ac:dyDescent="0.4">
      <c r="K226" s="40">
        <v>224</v>
      </c>
      <c r="L226" s="105">
        <v>-33.1</v>
      </c>
    </row>
    <row r="227" spans="11:12" x14ac:dyDescent="0.4">
      <c r="K227" s="40">
        <v>225</v>
      </c>
      <c r="L227" s="105">
        <v>14.8</v>
      </c>
    </row>
    <row r="228" spans="11:12" x14ac:dyDescent="0.4">
      <c r="K228" s="40">
        <v>226</v>
      </c>
      <c r="L228" s="105">
        <v>-13.9</v>
      </c>
    </row>
    <row r="229" spans="11:12" x14ac:dyDescent="0.4">
      <c r="K229" s="40">
        <v>227</v>
      </c>
      <c r="L229" s="105">
        <v>-18.2</v>
      </c>
    </row>
    <row r="230" spans="11:12" x14ac:dyDescent="0.4">
      <c r="K230" s="40">
        <v>228</v>
      </c>
      <c r="L230" s="105">
        <v>32.1</v>
      </c>
    </row>
    <row r="231" spans="11:12" x14ac:dyDescent="0.4">
      <c r="K231" s="40">
        <v>229</v>
      </c>
      <c r="L231" s="105">
        <v>40</v>
      </c>
    </row>
    <row r="232" spans="11:12" x14ac:dyDescent="0.4">
      <c r="K232" s="40">
        <v>230</v>
      </c>
      <c r="L232" s="105">
        <v>-40.4</v>
      </c>
    </row>
    <row r="233" spans="11:12" x14ac:dyDescent="0.4">
      <c r="K233" s="40">
        <v>231</v>
      </c>
      <c r="L233" s="105">
        <v>0.4</v>
      </c>
    </row>
    <row r="234" spans="11:12" x14ac:dyDescent="0.4">
      <c r="K234" s="40">
        <v>232</v>
      </c>
      <c r="L234" s="105">
        <v>5.2</v>
      </c>
    </row>
    <row r="235" spans="11:12" x14ac:dyDescent="0.4">
      <c r="K235" s="40">
        <v>233</v>
      </c>
      <c r="L235" s="105">
        <v>-11</v>
      </c>
    </row>
    <row r="236" spans="11:12" x14ac:dyDescent="0.4">
      <c r="K236" s="40">
        <v>234</v>
      </c>
      <c r="L236" s="105">
        <v>5.8</v>
      </c>
    </row>
    <row r="237" spans="11:12" x14ac:dyDescent="0.4">
      <c r="K237" s="40">
        <v>235</v>
      </c>
      <c r="L237" s="105">
        <v>-13.7</v>
      </c>
    </row>
    <row r="238" spans="11:12" x14ac:dyDescent="0.4">
      <c r="K238" s="40">
        <v>236</v>
      </c>
      <c r="L238" s="105">
        <v>-15.8</v>
      </c>
    </row>
    <row r="239" spans="11:12" x14ac:dyDescent="0.4">
      <c r="K239" s="40">
        <v>237</v>
      </c>
      <c r="L239" s="105">
        <v>29.5</v>
      </c>
    </row>
    <row r="240" spans="11:12" x14ac:dyDescent="0.4">
      <c r="K240" s="40">
        <v>238</v>
      </c>
      <c r="L240" s="105">
        <v>-23</v>
      </c>
    </row>
    <row r="241" spans="11:12" x14ac:dyDescent="0.4">
      <c r="K241" s="40">
        <v>239</v>
      </c>
      <c r="L241" s="105">
        <v>-21.9</v>
      </c>
    </row>
    <row r="242" spans="11:12" x14ac:dyDescent="0.4">
      <c r="K242" s="40">
        <v>240</v>
      </c>
      <c r="L242" s="105">
        <v>44.9</v>
      </c>
    </row>
    <row r="243" spans="11:12" x14ac:dyDescent="0.4">
      <c r="K243" s="40">
        <v>241</v>
      </c>
      <c r="L243" s="105">
        <v>5.0999999999999996</v>
      </c>
    </row>
    <row r="244" spans="11:12" x14ac:dyDescent="0.4">
      <c r="K244" s="40">
        <v>242</v>
      </c>
      <c r="L244" s="105">
        <v>11.3</v>
      </c>
    </row>
    <row r="245" spans="11:12" x14ac:dyDescent="0.4">
      <c r="K245" s="40">
        <v>243</v>
      </c>
      <c r="L245" s="105">
        <v>-16.399999999999999</v>
      </c>
    </row>
    <row r="246" spans="11:12" x14ac:dyDescent="0.4">
      <c r="K246" s="40">
        <v>244</v>
      </c>
      <c r="L246" s="105">
        <v>31.9</v>
      </c>
    </row>
    <row r="247" spans="11:12" x14ac:dyDescent="0.4">
      <c r="K247" s="40">
        <v>245</v>
      </c>
      <c r="L247" s="105">
        <v>6.1</v>
      </c>
    </row>
    <row r="248" spans="11:12" x14ac:dyDescent="0.4">
      <c r="K248" s="40">
        <v>246</v>
      </c>
      <c r="L248" s="105">
        <v>-38</v>
      </c>
    </row>
    <row r="249" spans="11:12" x14ac:dyDescent="0.4">
      <c r="K249" s="40">
        <v>247</v>
      </c>
      <c r="L249" s="105">
        <v>40</v>
      </c>
    </row>
    <row r="250" spans="11:12" x14ac:dyDescent="0.4">
      <c r="K250" s="40">
        <v>248</v>
      </c>
      <c r="L250" s="105">
        <v>-44</v>
      </c>
    </row>
    <row r="251" spans="11:12" x14ac:dyDescent="0.4">
      <c r="K251" s="40">
        <v>249</v>
      </c>
      <c r="L251" s="105">
        <v>4</v>
      </c>
    </row>
    <row r="252" spans="11:12" x14ac:dyDescent="0.4">
      <c r="K252" s="40">
        <v>250</v>
      </c>
      <c r="L252" s="105">
        <v>22.5</v>
      </c>
    </row>
    <row r="253" spans="11:12" x14ac:dyDescent="0.4">
      <c r="K253" s="40">
        <v>251</v>
      </c>
      <c r="L253" s="105">
        <v>-41</v>
      </c>
    </row>
    <row r="254" spans="11:12" x14ac:dyDescent="0.4">
      <c r="K254" s="40">
        <v>252</v>
      </c>
      <c r="L254" s="105">
        <v>18.5</v>
      </c>
    </row>
    <row r="255" spans="11:12" x14ac:dyDescent="0.4">
      <c r="K255" s="40">
        <v>253</v>
      </c>
      <c r="L255" s="105">
        <v>31.5</v>
      </c>
    </row>
    <row r="256" spans="11:12" x14ac:dyDescent="0.4">
      <c r="K256" s="40">
        <v>254</v>
      </c>
      <c r="L256" s="105">
        <v>-10.8</v>
      </c>
    </row>
    <row r="257" spans="11:12" x14ac:dyDescent="0.4">
      <c r="K257" s="40">
        <v>255</v>
      </c>
      <c r="L257" s="105">
        <v>-20.7</v>
      </c>
    </row>
    <row r="258" spans="11:12" x14ac:dyDescent="0.4">
      <c r="K258" s="40">
        <v>256</v>
      </c>
      <c r="L258" s="105">
        <v>59.8</v>
      </c>
    </row>
    <row r="259" spans="11:12" x14ac:dyDescent="0.4">
      <c r="K259" s="40">
        <v>257</v>
      </c>
      <c r="L259" s="105">
        <v>-35.5</v>
      </c>
    </row>
    <row r="260" spans="11:12" x14ac:dyDescent="0.4">
      <c r="K260" s="40">
        <v>258</v>
      </c>
      <c r="L260" s="105">
        <v>-24.3</v>
      </c>
    </row>
    <row r="261" spans="11:12" x14ac:dyDescent="0.4">
      <c r="K261" s="40">
        <v>259</v>
      </c>
      <c r="L261" s="105">
        <v>11.1</v>
      </c>
    </row>
    <row r="262" spans="11:12" x14ac:dyDescent="0.4">
      <c r="K262" s="40">
        <v>260</v>
      </c>
      <c r="L262" s="105">
        <v>-27.1</v>
      </c>
    </row>
    <row r="263" spans="11:12" x14ac:dyDescent="0.4">
      <c r="K263" s="40">
        <v>261</v>
      </c>
      <c r="L263" s="105">
        <v>16</v>
      </c>
    </row>
    <row r="264" spans="11:12" x14ac:dyDescent="0.4">
      <c r="K264" s="40">
        <v>262</v>
      </c>
      <c r="L264" s="105">
        <v>1.6</v>
      </c>
    </row>
    <row r="265" spans="11:12" x14ac:dyDescent="0.4">
      <c r="K265" s="40">
        <v>263</v>
      </c>
      <c r="L265" s="105">
        <v>22.6</v>
      </c>
    </row>
    <row r="266" spans="11:12" x14ac:dyDescent="0.4">
      <c r="K266" s="40">
        <v>264</v>
      </c>
      <c r="L266" s="105">
        <v>-24.2</v>
      </c>
    </row>
    <row r="267" spans="11:12" x14ac:dyDescent="0.4">
      <c r="K267" s="40">
        <v>265</v>
      </c>
      <c r="L267" s="105">
        <v>-21.4</v>
      </c>
    </row>
    <row r="268" spans="11:12" x14ac:dyDescent="0.4">
      <c r="K268" s="40">
        <v>266</v>
      </c>
      <c r="L268" s="105">
        <v>15.6</v>
      </c>
    </row>
    <row r="269" spans="11:12" x14ac:dyDescent="0.4">
      <c r="K269" s="40">
        <v>267</v>
      </c>
      <c r="L269" s="105">
        <v>5.8</v>
      </c>
    </row>
    <row r="270" spans="11:12" x14ac:dyDescent="0.4">
      <c r="K270" s="40">
        <v>268</v>
      </c>
      <c r="L270" s="105">
        <v>3.5</v>
      </c>
    </row>
    <row r="271" spans="11:12" x14ac:dyDescent="0.4">
      <c r="K271" s="40">
        <v>269</v>
      </c>
      <c r="L271" s="105">
        <v>0.6</v>
      </c>
    </row>
    <row r="272" spans="11:12" x14ac:dyDescent="0.4">
      <c r="K272" s="40">
        <v>270</v>
      </c>
      <c r="L272" s="105">
        <v>-4.0999999999999996</v>
      </c>
    </row>
    <row r="273" spans="11:12" x14ac:dyDescent="0.4">
      <c r="K273" s="40">
        <v>271</v>
      </c>
      <c r="L273" s="105">
        <v>-43.4</v>
      </c>
    </row>
    <row r="274" spans="11:12" x14ac:dyDescent="0.4">
      <c r="K274" s="40">
        <v>272</v>
      </c>
      <c r="L274" s="105">
        <v>40.200000000000003</v>
      </c>
    </row>
    <row r="275" spans="11:12" x14ac:dyDescent="0.4">
      <c r="K275" s="40">
        <v>273</v>
      </c>
      <c r="L275" s="105">
        <v>3.2</v>
      </c>
    </row>
    <row r="276" spans="11:12" x14ac:dyDescent="0.4">
      <c r="K276" s="40">
        <v>274</v>
      </c>
      <c r="L276" s="105">
        <v>-45.5</v>
      </c>
    </row>
    <row r="277" spans="11:12" x14ac:dyDescent="0.4">
      <c r="K277" s="40">
        <v>275</v>
      </c>
      <c r="L277" s="105">
        <v>17.5</v>
      </c>
    </row>
    <row r="278" spans="11:12" x14ac:dyDescent="0.4">
      <c r="K278" s="40">
        <v>276</v>
      </c>
      <c r="L278" s="105">
        <v>28</v>
      </c>
    </row>
    <row r="279" spans="11:12" x14ac:dyDescent="0.4">
      <c r="K279" s="40">
        <v>277</v>
      </c>
      <c r="L279" s="105">
        <v>-0.6</v>
      </c>
    </row>
    <row r="280" spans="11:12" x14ac:dyDescent="0.4">
      <c r="K280" s="40">
        <v>278</v>
      </c>
      <c r="L280" s="105">
        <v>-38.5</v>
      </c>
    </row>
    <row r="281" spans="11:12" x14ac:dyDescent="0.4">
      <c r="K281" s="40">
        <v>279</v>
      </c>
      <c r="L281" s="105">
        <v>39.1</v>
      </c>
    </row>
    <row r="282" spans="11:12" x14ac:dyDescent="0.4">
      <c r="K282" s="40">
        <v>280</v>
      </c>
      <c r="L282" s="105">
        <v>26.4</v>
      </c>
    </row>
    <row r="283" spans="11:12" x14ac:dyDescent="0.4">
      <c r="K283" s="40">
        <v>281</v>
      </c>
      <c r="L283" s="105">
        <v>-28.4</v>
      </c>
    </row>
    <row r="284" spans="11:12" x14ac:dyDescent="0.4">
      <c r="K284" s="40">
        <v>282</v>
      </c>
      <c r="L284" s="105">
        <v>2</v>
      </c>
    </row>
    <row r="285" spans="11:12" x14ac:dyDescent="0.4">
      <c r="K285" s="40">
        <v>283</v>
      </c>
      <c r="L285" s="105">
        <v>9.6999999999999993</v>
      </c>
    </row>
    <row r="286" spans="11:12" x14ac:dyDescent="0.4">
      <c r="K286" s="40">
        <v>284</v>
      </c>
      <c r="L286" s="105">
        <v>-42.4</v>
      </c>
    </row>
    <row r="287" spans="11:12" x14ac:dyDescent="0.4">
      <c r="K287" s="40">
        <v>285</v>
      </c>
      <c r="L287" s="105">
        <v>32.700000000000003</v>
      </c>
    </row>
    <row r="288" spans="11:12" x14ac:dyDescent="0.4">
      <c r="K288" s="40">
        <v>286</v>
      </c>
      <c r="L288" s="105">
        <v>21.1</v>
      </c>
    </row>
    <row r="289" spans="11:12" x14ac:dyDescent="0.4">
      <c r="K289" s="40">
        <v>287</v>
      </c>
      <c r="L289" s="105">
        <v>-35.700000000000003</v>
      </c>
    </row>
    <row r="290" spans="11:12" x14ac:dyDescent="0.4">
      <c r="K290" s="40">
        <v>288</v>
      </c>
      <c r="L290" s="105">
        <v>14.6</v>
      </c>
    </row>
    <row r="291" spans="11:12" x14ac:dyDescent="0.4">
      <c r="K291" s="40">
        <v>289</v>
      </c>
      <c r="L291" s="105">
        <v>-48.7</v>
      </c>
    </row>
    <row r="292" spans="11:12" x14ac:dyDescent="0.4">
      <c r="K292" s="40">
        <v>290</v>
      </c>
      <c r="L292" s="105">
        <v>0.7</v>
      </c>
    </row>
    <row r="293" spans="11:12" x14ac:dyDescent="0.4">
      <c r="K293" s="40">
        <v>291</v>
      </c>
      <c r="L293" s="105">
        <v>48</v>
      </c>
    </row>
    <row r="294" spans="11:12" x14ac:dyDescent="0.4">
      <c r="K294" s="40">
        <v>292</v>
      </c>
      <c r="L294" s="105">
        <v>-16</v>
      </c>
    </row>
    <row r="295" spans="11:12" x14ac:dyDescent="0.4">
      <c r="K295" s="40">
        <v>293</v>
      </c>
      <c r="L295" s="105">
        <v>12.2</v>
      </c>
    </row>
    <row r="296" spans="11:12" x14ac:dyDescent="0.4">
      <c r="K296" s="40">
        <v>294</v>
      </c>
      <c r="L296" s="105">
        <v>3.8</v>
      </c>
    </row>
    <row r="297" spans="11:12" x14ac:dyDescent="0.4">
      <c r="K297" s="40">
        <v>295</v>
      </c>
      <c r="L297" s="105">
        <v>43.1</v>
      </c>
    </row>
    <row r="298" spans="11:12" x14ac:dyDescent="0.4">
      <c r="K298" s="40">
        <v>296</v>
      </c>
      <c r="L298" s="105">
        <v>-37.299999999999997</v>
      </c>
    </row>
    <row r="299" spans="11:12" x14ac:dyDescent="0.4">
      <c r="K299" s="40">
        <v>297</v>
      </c>
      <c r="L299" s="105">
        <v>-5.8</v>
      </c>
    </row>
    <row r="300" spans="11:12" x14ac:dyDescent="0.4">
      <c r="K300" s="40">
        <v>298</v>
      </c>
      <c r="L300" s="105">
        <v>-6</v>
      </c>
    </row>
    <row r="301" spans="11:12" x14ac:dyDescent="0.4">
      <c r="K301" s="40">
        <v>299</v>
      </c>
      <c r="L301" s="105">
        <v>-51.9</v>
      </c>
    </row>
    <row r="302" spans="11:12" x14ac:dyDescent="0.4">
      <c r="K302" s="40">
        <v>300</v>
      </c>
      <c r="L302" s="105">
        <v>57.9</v>
      </c>
    </row>
    <row r="303" spans="11:12" x14ac:dyDescent="0.4">
      <c r="K303" s="40">
        <v>301</v>
      </c>
      <c r="L303" s="105">
        <v>-37.5</v>
      </c>
    </row>
    <row r="304" spans="11:12" x14ac:dyDescent="0.4">
      <c r="K304" s="40">
        <v>302</v>
      </c>
      <c r="L304" s="105">
        <v>-12</v>
      </c>
    </row>
    <row r="305" spans="11:12" x14ac:dyDescent="0.4">
      <c r="K305" s="40">
        <v>303</v>
      </c>
      <c r="L305" s="105">
        <v>49.5</v>
      </c>
    </row>
    <row r="306" spans="11:12" x14ac:dyDescent="0.4">
      <c r="K306" s="40">
        <v>304</v>
      </c>
      <c r="L306" s="105">
        <v>-39.5</v>
      </c>
    </row>
    <row r="307" spans="11:12" x14ac:dyDescent="0.4">
      <c r="K307" s="40">
        <v>305</v>
      </c>
      <c r="L307" s="105">
        <v>49</v>
      </c>
    </row>
    <row r="308" spans="11:12" x14ac:dyDescent="0.4">
      <c r="K308" s="40">
        <v>306</v>
      </c>
      <c r="L308" s="105">
        <v>-9.5</v>
      </c>
    </row>
    <row r="309" spans="11:12" x14ac:dyDescent="0.4">
      <c r="K309" s="40">
        <v>307</v>
      </c>
      <c r="L309" s="105">
        <v>11.1</v>
      </c>
    </row>
    <row r="310" spans="11:12" x14ac:dyDescent="0.4">
      <c r="K310" s="40">
        <v>308</v>
      </c>
      <c r="L310" s="105">
        <v>-13.8</v>
      </c>
    </row>
    <row r="311" spans="11:12" x14ac:dyDescent="0.4">
      <c r="K311" s="40">
        <v>309</v>
      </c>
      <c r="L311" s="105">
        <v>2.7</v>
      </c>
    </row>
    <row r="312" spans="11:12" x14ac:dyDescent="0.4">
      <c r="K312" s="40">
        <v>310</v>
      </c>
      <c r="L312" s="105">
        <v>-2</v>
      </c>
    </row>
    <row r="313" spans="11:12" x14ac:dyDescent="0.4">
      <c r="K313" s="40">
        <v>311</v>
      </c>
      <c r="L313" s="105">
        <v>41</v>
      </c>
    </row>
    <row r="314" spans="11:12" x14ac:dyDescent="0.4">
      <c r="K314" s="40">
        <v>312</v>
      </c>
      <c r="L314" s="105">
        <v>-39</v>
      </c>
    </row>
    <row r="315" spans="11:12" x14ac:dyDescent="0.4">
      <c r="K315" s="40">
        <v>313</v>
      </c>
      <c r="L315" s="105">
        <v>43.5</v>
      </c>
    </row>
    <row r="316" spans="11:12" x14ac:dyDescent="0.4">
      <c r="K316" s="40">
        <v>314</v>
      </c>
      <c r="L316" s="105">
        <v>-3.4</v>
      </c>
    </row>
    <row r="317" spans="11:12" x14ac:dyDescent="0.4">
      <c r="K317" s="40">
        <v>315</v>
      </c>
      <c r="L317" s="105">
        <v>-40.1</v>
      </c>
    </row>
    <row r="318" spans="11:12" x14ac:dyDescent="0.4">
      <c r="K318" s="40">
        <v>316</v>
      </c>
      <c r="L318" s="105">
        <v>-5.6</v>
      </c>
    </row>
    <row r="319" spans="11:12" x14ac:dyDescent="0.4">
      <c r="K319" s="40">
        <v>317</v>
      </c>
      <c r="L319" s="105">
        <v>71.599999999999994</v>
      </c>
    </row>
    <row r="320" spans="11:12" x14ac:dyDescent="0.4">
      <c r="K320" s="40">
        <v>318</v>
      </c>
      <c r="L320" s="105">
        <v>-66</v>
      </c>
    </row>
    <row r="321" spans="11:12" x14ac:dyDescent="0.4">
      <c r="K321" s="40">
        <v>319</v>
      </c>
      <c r="L321" s="105">
        <v>-7.4</v>
      </c>
    </row>
    <row r="322" spans="11:12" x14ac:dyDescent="0.4">
      <c r="K322" s="40">
        <v>320</v>
      </c>
      <c r="L322" s="105">
        <v>31.5</v>
      </c>
    </row>
    <row r="323" spans="11:12" x14ac:dyDescent="0.4">
      <c r="K323" s="40">
        <v>321</v>
      </c>
      <c r="L323" s="105">
        <v>-24.1</v>
      </c>
    </row>
    <row r="324" spans="11:12" x14ac:dyDescent="0.4">
      <c r="K324" s="40">
        <v>322</v>
      </c>
      <c r="L324" s="105">
        <v>-38</v>
      </c>
    </row>
    <row r="325" spans="11:12" x14ac:dyDescent="0.4">
      <c r="K325" s="40">
        <v>323</v>
      </c>
      <c r="L325" s="105">
        <v>35.4</v>
      </c>
    </row>
    <row r="326" spans="11:12" x14ac:dyDescent="0.4">
      <c r="K326" s="40">
        <v>324</v>
      </c>
      <c r="L326" s="105">
        <v>2.6</v>
      </c>
    </row>
    <row r="327" spans="11:12" x14ac:dyDescent="0.4">
      <c r="K327" s="40">
        <v>325</v>
      </c>
      <c r="L327" s="105">
        <v>-18.8</v>
      </c>
    </row>
    <row r="328" spans="11:12" x14ac:dyDescent="0.4">
      <c r="K328" s="40">
        <v>326</v>
      </c>
      <c r="L328" s="105">
        <v>11.5</v>
      </c>
    </row>
    <row r="329" spans="11:12" x14ac:dyDescent="0.4">
      <c r="K329" s="40">
        <v>327</v>
      </c>
      <c r="L329" s="105">
        <v>7.3</v>
      </c>
    </row>
    <row r="330" spans="11:12" x14ac:dyDescent="0.4">
      <c r="K330" s="40">
        <v>328</v>
      </c>
      <c r="L330" s="105">
        <v>27</v>
      </c>
    </row>
    <row r="331" spans="11:12" x14ac:dyDescent="0.4">
      <c r="K331" s="40">
        <v>329</v>
      </c>
      <c r="L331" s="105">
        <v>9.1</v>
      </c>
    </row>
    <row r="332" spans="11:12" x14ac:dyDescent="0.4">
      <c r="K332" s="40">
        <v>330</v>
      </c>
      <c r="L332" s="105">
        <v>-36.1</v>
      </c>
    </row>
    <row r="333" spans="11:12" x14ac:dyDescent="0.4">
      <c r="K333" s="40">
        <v>331</v>
      </c>
      <c r="L333" s="105">
        <v>44.6</v>
      </c>
    </row>
    <row r="334" spans="11:12" x14ac:dyDescent="0.4">
      <c r="K334" s="40">
        <v>332</v>
      </c>
      <c r="L334" s="105">
        <v>-5.2</v>
      </c>
    </row>
    <row r="335" spans="11:12" x14ac:dyDescent="0.4">
      <c r="K335" s="40">
        <v>333</v>
      </c>
      <c r="L335" s="105">
        <v>-39.4</v>
      </c>
    </row>
    <row r="336" spans="11:12" x14ac:dyDescent="0.4">
      <c r="K336" s="40">
        <v>334</v>
      </c>
      <c r="L336" s="105">
        <v>7</v>
      </c>
    </row>
    <row r="337" spans="11:12" x14ac:dyDescent="0.4">
      <c r="K337" s="40">
        <v>335</v>
      </c>
      <c r="L337" s="105">
        <v>33</v>
      </c>
    </row>
    <row r="338" spans="11:12" x14ac:dyDescent="0.4">
      <c r="K338" s="40">
        <v>336</v>
      </c>
      <c r="L338" s="105">
        <v>-40</v>
      </c>
    </row>
    <row r="339" spans="11:12" x14ac:dyDescent="0.4">
      <c r="K339" s="40">
        <v>337</v>
      </c>
      <c r="L339" s="105">
        <v>-11.3</v>
      </c>
    </row>
    <row r="340" spans="11:12" x14ac:dyDescent="0.4">
      <c r="K340" s="40">
        <v>338</v>
      </c>
      <c r="L340" s="105">
        <v>5.2</v>
      </c>
    </row>
    <row r="341" spans="11:12" x14ac:dyDescent="0.4">
      <c r="K341" s="40">
        <v>339</v>
      </c>
      <c r="L341" s="105">
        <v>6.1</v>
      </c>
    </row>
    <row r="342" spans="11:12" x14ac:dyDescent="0.4">
      <c r="K342" s="40">
        <v>340</v>
      </c>
      <c r="L342" s="105">
        <v>-15.5</v>
      </c>
    </row>
    <row r="343" spans="11:12" x14ac:dyDescent="0.4">
      <c r="K343" s="40">
        <v>341</v>
      </c>
      <c r="L343" s="105">
        <v>-35.5</v>
      </c>
    </row>
    <row r="344" spans="11:12" x14ac:dyDescent="0.4">
      <c r="K344" s="40">
        <v>342</v>
      </c>
      <c r="L344" s="105">
        <v>51</v>
      </c>
    </row>
    <row r="345" spans="11:12" x14ac:dyDescent="0.4">
      <c r="K345" s="40">
        <v>343</v>
      </c>
      <c r="L345" s="105">
        <v>-19.3</v>
      </c>
    </row>
    <row r="346" spans="11:12" x14ac:dyDescent="0.4">
      <c r="K346" s="40">
        <v>344</v>
      </c>
      <c r="L346" s="105">
        <v>16.2</v>
      </c>
    </row>
    <row r="347" spans="11:12" x14ac:dyDescent="0.4">
      <c r="K347" s="40">
        <v>345</v>
      </c>
      <c r="L347" s="105">
        <v>3.1</v>
      </c>
    </row>
    <row r="348" spans="11:12" x14ac:dyDescent="0.4">
      <c r="K348" s="40">
        <v>346</v>
      </c>
      <c r="L348" s="105">
        <v>24</v>
      </c>
    </row>
    <row r="349" spans="11:12" x14ac:dyDescent="0.4">
      <c r="K349" s="40">
        <v>347</v>
      </c>
      <c r="L349" s="105">
        <v>-5.9</v>
      </c>
    </row>
    <row r="350" spans="11:12" x14ac:dyDescent="0.4">
      <c r="K350" s="40">
        <v>348</v>
      </c>
      <c r="L350" s="105">
        <v>-18.100000000000001</v>
      </c>
    </row>
    <row r="351" spans="11:12" x14ac:dyDescent="0.4">
      <c r="K351" s="40">
        <v>349</v>
      </c>
      <c r="L351" s="105">
        <v>28.3</v>
      </c>
    </row>
    <row r="352" spans="11:12" x14ac:dyDescent="0.4">
      <c r="K352" s="40">
        <v>350</v>
      </c>
      <c r="L352" s="105">
        <v>-20.2</v>
      </c>
    </row>
    <row r="353" spans="11:12" x14ac:dyDescent="0.4">
      <c r="K353" s="40">
        <v>351</v>
      </c>
      <c r="L353" s="105">
        <v>-8.1</v>
      </c>
    </row>
    <row r="354" spans="11:12" x14ac:dyDescent="0.4">
      <c r="K354" s="40">
        <v>352</v>
      </c>
      <c r="L354" s="105">
        <v>-31.5</v>
      </c>
    </row>
    <row r="355" spans="11:12" x14ac:dyDescent="0.4">
      <c r="K355" s="40">
        <v>353</v>
      </c>
      <c r="L355" s="105">
        <v>50</v>
      </c>
    </row>
    <row r="356" spans="11:12" x14ac:dyDescent="0.4">
      <c r="K356" s="40">
        <v>354</v>
      </c>
      <c r="L356" s="105">
        <v>-18.5</v>
      </c>
    </row>
    <row r="357" spans="11:12" x14ac:dyDescent="0.4">
      <c r="K357" s="40">
        <v>355</v>
      </c>
      <c r="L357" s="105">
        <v>19.5</v>
      </c>
    </row>
    <row r="358" spans="11:12" x14ac:dyDescent="0.4">
      <c r="K358" s="40">
        <v>356</v>
      </c>
      <c r="L358" s="105">
        <v>-12.1</v>
      </c>
    </row>
    <row r="359" spans="11:12" x14ac:dyDescent="0.4">
      <c r="K359" s="40">
        <v>357</v>
      </c>
      <c r="L359" s="105">
        <v>-7.4</v>
      </c>
    </row>
    <row r="360" spans="11:12" x14ac:dyDescent="0.4">
      <c r="K360" s="40">
        <v>358</v>
      </c>
      <c r="L360" s="105">
        <v>-5.4</v>
      </c>
    </row>
    <row r="361" spans="11:12" x14ac:dyDescent="0.4">
      <c r="K361" s="40">
        <v>359</v>
      </c>
      <c r="L361" s="105">
        <v>15.8</v>
      </c>
    </row>
    <row r="362" spans="11:12" x14ac:dyDescent="0.4">
      <c r="K362" s="40">
        <v>360</v>
      </c>
      <c r="L362" s="105">
        <v>-10.4</v>
      </c>
    </row>
    <row r="363" spans="11:12" x14ac:dyDescent="0.4">
      <c r="K363" s="40">
        <v>361</v>
      </c>
      <c r="L363" s="105">
        <v>56</v>
      </c>
    </row>
    <row r="364" spans="11:12" x14ac:dyDescent="0.4">
      <c r="K364" s="40">
        <v>362</v>
      </c>
      <c r="L364" s="105">
        <v>-18</v>
      </c>
    </row>
    <row r="365" spans="11:12" x14ac:dyDescent="0.4">
      <c r="K365" s="40">
        <v>363</v>
      </c>
      <c r="L365" s="105">
        <v>-38</v>
      </c>
    </row>
    <row r="366" spans="11:12" x14ac:dyDescent="0.4">
      <c r="K366" s="40">
        <v>364</v>
      </c>
      <c r="L366" s="105">
        <v>43</v>
      </c>
    </row>
    <row r="367" spans="11:12" x14ac:dyDescent="0.4">
      <c r="K367" s="40">
        <v>365</v>
      </c>
      <c r="L367" s="105">
        <v>-41</v>
      </c>
    </row>
    <row r="368" spans="11:12" x14ac:dyDescent="0.4">
      <c r="K368" s="40">
        <v>366</v>
      </c>
      <c r="L368" s="105">
        <v>-2</v>
      </c>
    </row>
    <row r="369" spans="11:12" x14ac:dyDescent="0.4">
      <c r="K369" s="40">
        <v>367</v>
      </c>
      <c r="L369" s="105">
        <v>-14</v>
      </c>
    </row>
    <row r="370" spans="11:12" x14ac:dyDescent="0.4">
      <c r="K370" s="40">
        <v>368</v>
      </c>
      <c r="L370" s="105">
        <v>-7.2</v>
      </c>
    </row>
    <row r="371" spans="11:12" x14ac:dyDescent="0.4">
      <c r="K371" s="40">
        <v>369</v>
      </c>
      <c r="L371" s="105">
        <v>21.2</v>
      </c>
    </row>
    <row r="372" spans="11:12" x14ac:dyDescent="0.4">
      <c r="K372" s="40">
        <v>370</v>
      </c>
      <c r="L372" s="105">
        <v>-48.4</v>
      </c>
    </row>
    <row r="373" spans="11:12" x14ac:dyDescent="0.4">
      <c r="K373" s="40">
        <v>371</v>
      </c>
      <c r="L373" s="105">
        <v>33.4</v>
      </c>
    </row>
    <row r="374" spans="11:12" x14ac:dyDescent="0.4">
      <c r="K374" s="40">
        <v>372</v>
      </c>
      <c r="L374" s="105">
        <v>15</v>
      </c>
    </row>
    <row r="375" spans="11:12" x14ac:dyDescent="0.4">
      <c r="K375" s="40">
        <v>373</v>
      </c>
      <c r="L375" s="105">
        <v>44.9</v>
      </c>
    </row>
    <row r="376" spans="11:12" x14ac:dyDescent="0.4">
      <c r="K376" s="40">
        <v>374</v>
      </c>
      <c r="L376" s="105">
        <v>-5.6</v>
      </c>
    </row>
    <row r="377" spans="11:12" x14ac:dyDescent="0.4">
      <c r="K377" s="40">
        <v>375</v>
      </c>
      <c r="L377" s="105">
        <v>-39.299999999999997</v>
      </c>
    </row>
    <row r="378" spans="11:12" x14ac:dyDescent="0.4">
      <c r="K378" s="40">
        <v>376</v>
      </c>
      <c r="L378" s="105">
        <v>17.100000000000001</v>
      </c>
    </row>
    <row r="379" spans="11:12" x14ac:dyDescent="0.4">
      <c r="K379" s="40">
        <v>377</v>
      </c>
      <c r="L379" s="105">
        <v>-27</v>
      </c>
    </row>
    <row r="380" spans="11:12" x14ac:dyDescent="0.4">
      <c r="K380" s="40">
        <v>378</v>
      </c>
      <c r="L380" s="105">
        <v>9.9</v>
      </c>
    </row>
    <row r="381" spans="11:12" x14ac:dyDescent="0.4">
      <c r="K381" s="40">
        <v>379</v>
      </c>
      <c r="L381" s="105">
        <v>-38</v>
      </c>
    </row>
    <row r="382" spans="11:12" x14ac:dyDescent="0.4">
      <c r="K382" s="40">
        <v>380</v>
      </c>
      <c r="L382" s="105">
        <v>5.2</v>
      </c>
    </row>
    <row r="383" spans="11:12" x14ac:dyDescent="0.4">
      <c r="K383" s="40">
        <v>381</v>
      </c>
      <c r="L383" s="105">
        <v>32.799999999999997</v>
      </c>
    </row>
    <row r="384" spans="11:12" x14ac:dyDescent="0.4">
      <c r="K384" s="40">
        <v>382</v>
      </c>
      <c r="L384" s="105">
        <v>16.5</v>
      </c>
    </row>
    <row r="385" spans="11:12" x14ac:dyDescent="0.4">
      <c r="K385" s="40">
        <v>383</v>
      </c>
      <c r="L385" s="105">
        <v>-7.7</v>
      </c>
    </row>
    <row r="386" spans="11:12" x14ac:dyDescent="0.4">
      <c r="K386" s="40">
        <v>384</v>
      </c>
      <c r="L386" s="105">
        <v>-8.8000000000000007</v>
      </c>
    </row>
    <row r="387" spans="11:12" x14ac:dyDescent="0.4">
      <c r="K387" s="40">
        <v>385</v>
      </c>
      <c r="L387" s="105">
        <v>8.6999999999999993</v>
      </c>
    </row>
    <row r="388" spans="11:12" x14ac:dyDescent="0.4">
      <c r="K388" s="40">
        <v>386</v>
      </c>
      <c r="L388" s="105">
        <v>11.6</v>
      </c>
    </row>
    <row r="389" spans="11:12" x14ac:dyDescent="0.4">
      <c r="K389" s="40">
        <v>387</v>
      </c>
      <c r="L389" s="105">
        <v>-20.3</v>
      </c>
    </row>
    <row r="390" spans="11:12" x14ac:dyDescent="0.4">
      <c r="K390" s="40">
        <v>388</v>
      </c>
      <c r="L390" s="105">
        <v>20.7</v>
      </c>
    </row>
    <row r="391" spans="11:12" x14ac:dyDescent="0.4">
      <c r="K391" s="40">
        <v>389</v>
      </c>
      <c r="L391" s="105">
        <v>-43.5</v>
      </c>
    </row>
    <row r="392" spans="11:12" x14ac:dyDescent="0.4">
      <c r="K392" s="40">
        <v>390</v>
      </c>
      <c r="L392" s="105">
        <v>22.8</v>
      </c>
    </row>
    <row r="393" spans="11:12" x14ac:dyDescent="0.4">
      <c r="K393" s="40">
        <v>391</v>
      </c>
      <c r="L393" s="105">
        <v>15.3</v>
      </c>
    </row>
    <row r="394" spans="11:12" x14ac:dyDescent="0.4">
      <c r="K394" s="40">
        <v>392</v>
      </c>
      <c r="L394" s="105">
        <v>-6.8</v>
      </c>
    </row>
    <row r="395" spans="11:12" x14ac:dyDescent="0.4">
      <c r="K395" s="40">
        <v>393</v>
      </c>
      <c r="L395" s="105">
        <v>-8.5</v>
      </c>
    </row>
    <row r="396" spans="11:12" x14ac:dyDescent="0.4">
      <c r="K396" s="40">
        <v>394</v>
      </c>
      <c r="L396" s="105">
        <v>11.6</v>
      </c>
    </row>
    <row r="397" spans="11:12" x14ac:dyDescent="0.4">
      <c r="K397" s="40">
        <v>395</v>
      </c>
      <c r="L397" s="105">
        <v>19.600000000000001</v>
      </c>
    </row>
    <row r="398" spans="11:12" x14ac:dyDescent="0.4">
      <c r="K398" s="40">
        <v>396</v>
      </c>
      <c r="L398" s="105">
        <v>-31.2</v>
      </c>
    </row>
    <row r="399" spans="11:12" x14ac:dyDescent="0.4">
      <c r="K399" s="40">
        <v>397</v>
      </c>
      <c r="L399" s="105">
        <v>7.2</v>
      </c>
    </row>
    <row r="400" spans="11:12" x14ac:dyDescent="0.4">
      <c r="K400" s="40">
        <v>398</v>
      </c>
      <c r="L400" s="105">
        <v>-20</v>
      </c>
    </row>
    <row r="401" spans="11:12" x14ac:dyDescent="0.4">
      <c r="K401" s="40">
        <v>399</v>
      </c>
      <c r="L401" s="105">
        <v>11.8</v>
      </c>
    </row>
    <row r="402" spans="11:12" x14ac:dyDescent="0.4">
      <c r="K402" s="40">
        <v>400</v>
      </c>
      <c r="L402" s="105">
        <v>24.5</v>
      </c>
    </row>
    <row r="403" spans="11:12" x14ac:dyDescent="0.4">
      <c r="K403" s="40">
        <v>401</v>
      </c>
      <c r="L403" s="105">
        <v>-4.9000000000000004</v>
      </c>
    </row>
    <row r="404" spans="11:12" x14ac:dyDescent="0.4">
      <c r="K404" s="40">
        <v>402</v>
      </c>
      <c r="L404" s="105">
        <v>-19.600000000000001</v>
      </c>
    </row>
    <row r="405" spans="11:12" x14ac:dyDescent="0.4">
      <c r="K405" s="40">
        <v>403</v>
      </c>
      <c r="L405" s="105">
        <v>16.899999999999999</v>
      </c>
    </row>
    <row r="406" spans="11:12" x14ac:dyDescent="0.4">
      <c r="K406" s="40">
        <v>404</v>
      </c>
      <c r="L406" s="105">
        <v>1.2</v>
      </c>
    </row>
    <row r="407" spans="11:12" x14ac:dyDescent="0.4">
      <c r="K407" s="40">
        <v>405</v>
      </c>
      <c r="L407" s="105">
        <v>-18.100000000000001</v>
      </c>
    </row>
    <row r="408" spans="11:12" x14ac:dyDescent="0.4">
      <c r="K408" s="40">
        <v>406</v>
      </c>
      <c r="L408" s="105">
        <v>-37.5</v>
      </c>
    </row>
    <row r="409" spans="11:12" x14ac:dyDescent="0.4">
      <c r="K409" s="40">
        <v>407</v>
      </c>
      <c r="L409" s="105">
        <v>25.5</v>
      </c>
    </row>
    <row r="410" spans="11:12" x14ac:dyDescent="0.4">
      <c r="K410" s="40">
        <v>408</v>
      </c>
      <c r="L410" s="105">
        <v>12</v>
      </c>
    </row>
    <row r="411" spans="11:12" x14ac:dyDescent="0.4">
      <c r="K411" s="40">
        <v>409</v>
      </c>
      <c r="L411" s="105">
        <v>38.5</v>
      </c>
    </row>
    <row r="412" spans="11:12" x14ac:dyDescent="0.4">
      <c r="K412" s="40">
        <v>410</v>
      </c>
      <c r="L412" s="105">
        <v>-38</v>
      </c>
    </row>
    <row r="413" spans="11:12" x14ac:dyDescent="0.4">
      <c r="K413" s="40">
        <v>411</v>
      </c>
      <c r="L413" s="105">
        <v>-0.5</v>
      </c>
    </row>
    <row r="414" spans="11:12" x14ac:dyDescent="0.4">
      <c r="K414" s="40">
        <v>412</v>
      </c>
      <c r="L414" s="105">
        <v>-46.5</v>
      </c>
    </row>
    <row r="415" spans="11:12" x14ac:dyDescent="0.4">
      <c r="K415" s="40">
        <v>413</v>
      </c>
      <c r="L415" s="105">
        <v>4.5</v>
      </c>
    </row>
    <row r="416" spans="11:12" x14ac:dyDescent="0.4">
      <c r="K416" s="40">
        <v>414</v>
      </c>
      <c r="L416" s="105">
        <v>42</v>
      </c>
    </row>
    <row r="417" spans="11:12" x14ac:dyDescent="0.4">
      <c r="K417" s="40">
        <v>415</v>
      </c>
      <c r="L417" s="105">
        <v>13.2</v>
      </c>
    </row>
    <row r="418" spans="11:12" x14ac:dyDescent="0.4">
      <c r="K418" s="40">
        <v>416</v>
      </c>
      <c r="L418" s="105">
        <v>-7.4</v>
      </c>
    </row>
    <row r="419" spans="11:12" x14ac:dyDescent="0.4">
      <c r="K419" s="40">
        <v>417</v>
      </c>
      <c r="L419" s="105">
        <v>-5.8</v>
      </c>
    </row>
    <row r="420" spans="11:12" x14ac:dyDescent="0.4">
      <c r="K420" s="40">
        <v>418</v>
      </c>
      <c r="L420" s="105">
        <v>-19.5</v>
      </c>
    </row>
    <row r="421" spans="11:12" x14ac:dyDescent="0.4">
      <c r="K421" s="40">
        <v>419</v>
      </c>
      <c r="L421" s="105">
        <v>17.8</v>
      </c>
    </row>
    <row r="422" spans="11:12" x14ac:dyDescent="0.4">
      <c r="K422" s="40">
        <v>420</v>
      </c>
      <c r="L422" s="105">
        <v>1.7</v>
      </c>
    </row>
    <row r="423" spans="11:12" x14ac:dyDescent="0.4">
      <c r="K423" s="40">
        <v>421</v>
      </c>
      <c r="L423" s="105">
        <v>41.4</v>
      </c>
    </row>
    <row r="424" spans="11:12" x14ac:dyDescent="0.4">
      <c r="K424" s="40">
        <v>422</v>
      </c>
      <c r="L424" s="105">
        <v>-26.4</v>
      </c>
    </row>
    <row r="425" spans="11:12" x14ac:dyDescent="0.4">
      <c r="K425" s="40">
        <v>423</v>
      </c>
      <c r="L425" s="105">
        <v>-15</v>
      </c>
    </row>
    <row r="426" spans="11:12" x14ac:dyDescent="0.4">
      <c r="K426" s="40">
        <v>424</v>
      </c>
      <c r="L426" s="105">
        <v>27.1</v>
      </c>
    </row>
    <row r="427" spans="11:12" x14ac:dyDescent="0.4">
      <c r="K427" s="40">
        <v>425</v>
      </c>
      <c r="L427" s="105">
        <v>-50.6</v>
      </c>
    </row>
    <row r="428" spans="11:12" x14ac:dyDescent="0.4">
      <c r="K428" s="40">
        <v>426</v>
      </c>
      <c r="L428" s="105">
        <v>23.5</v>
      </c>
    </row>
    <row r="429" spans="11:12" x14ac:dyDescent="0.4">
      <c r="K429" s="40">
        <v>427</v>
      </c>
      <c r="L429" s="105">
        <v>8.5</v>
      </c>
    </row>
    <row r="430" spans="11:12" x14ac:dyDescent="0.4">
      <c r="K430" s="40">
        <v>428</v>
      </c>
      <c r="L430" s="105">
        <v>25.7</v>
      </c>
    </row>
    <row r="431" spans="11:12" x14ac:dyDescent="0.4">
      <c r="K431" s="40">
        <v>429</v>
      </c>
      <c r="L431" s="105">
        <v>-34.200000000000003</v>
      </c>
    </row>
    <row r="432" spans="11:12" x14ac:dyDescent="0.4">
      <c r="K432" s="40">
        <v>430</v>
      </c>
      <c r="L432" s="105">
        <v>4.8</v>
      </c>
    </row>
    <row r="433" spans="11:12" x14ac:dyDescent="0.4">
      <c r="K433" s="40">
        <v>431</v>
      </c>
      <c r="L433" s="105">
        <v>-16.8</v>
      </c>
    </row>
    <row r="434" spans="11:12" x14ac:dyDescent="0.4">
      <c r="K434" s="40">
        <v>432</v>
      </c>
      <c r="L434" s="105">
        <v>12</v>
      </c>
    </row>
    <row r="435" spans="11:12" x14ac:dyDescent="0.4">
      <c r="K435" s="40">
        <v>433</v>
      </c>
      <c r="L435" s="105">
        <v>43.3</v>
      </c>
    </row>
    <row r="436" spans="11:12" x14ac:dyDescent="0.4">
      <c r="K436" s="40">
        <v>434</v>
      </c>
      <c r="L436" s="105">
        <v>-7.8</v>
      </c>
    </row>
    <row r="437" spans="11:12" x14ac:dyDescent="0.4">
      <c r="K437" s="40">
        <v>435</v>
      </c>
      <c r="L437" s="105">
        <v>-35.5</v>
      </c>
    </row>
    <row r="438" spans="11:12" x14ac:dyDescent="0.4">
      <c r="K438" s="40">
        <v>436</v>
      </c>
      <c r="L438" s="105">
        <v>26</v>
      </c>
    </row>
    <row r="439" spans="11:12" x14ac:dyDescent="0.4">
      <c r="K439" s="40">
        <v>437</v>
      </c>
      <c r="L439" s="105">
        <v>-5.3</v>
      </c>
    </row>
    <row r="440" spans="11:12" x14ac:dyDescent="0.4">
      <c r="K440" s="40">
        <v>438</v>
      </c>
      <c r="L440" s="105">
        <v>-20.7</v>
      </c>
    </row>
    <row r="441" spans="11:12" x14ac:dyDescent="0.4">
      <c r="K441" s="40">
        <v>439</v>
      </c>
      <c r="L441" s="105">
        <v>11</v>
      </c>
    </row>
    <row r="442" spans="11:12" x14ac:dyDescent="0.4">
      <c r="K442" s="40">
        <v>440</v>
      </c>
      <c r="L442" s="105">
        <v>-32.799999999999997</v>
      </c>
    </row>
    <row r="443" spans="11:12" x14ac:dyDescent="0.4">
      <c r="K443" s="40">
        <v>441</v>
      </c>
      <c r="L443" s="105">
        <v>21.8</v>
      </c>
    </row>
    <row r="444" spans="11:12" x14ac:dyDescent="0.4">
      <c r="K444" s="40">
        <v>442</v>
      </c>
      <c r="L444" s="105">
        <v>41</v>
      </c>
    </row>
    <row r="445" spans="11:12" x14ac:dyDescent="0.4">
      <c r="K445" s="40">
        <v>443</v>
      </c>
      <c r="L445" s="105">
        <v>-45.5</v>
      </c>
    </row>
    <row r="446" spans="11:12" x14ac:dyDescent="0.4">
      <c r="K446" s="40">
        <v>444</v>
      </c>
      <c r="L446" s="105">
        <v>4.5</v>
      </c>
    </row>
    <row r="447" spans="11:12" x14ac:dyDescent="0.4">
      <c r="K447" s="40">
        <v>445</v>
      </c>
      <c r="L447" s="105">
        <v>25</v>
      </c>
    </row>
    <row r="448" spans="11:12" x14ac:dyDescent="0.4">
      <c r="K448" s="40">
        <v>446</v>
      </c>
      <c r="L448" s="105">
        <v>-35.5</v>
      </c>
    </row>
    <row r="449" spans="11:12" x14ac:dyDescent="0.4">
      <c r="K449" s="40">
        <v>447</v>
      </c>
      <c r="L449" s="105">
        <v>10.5</v>
      </c>
    </row>
    <row r="450" spans="11:12" x14ac:dyDescent="0.4">
      <c r="K450" s="40">
        <v>448</v>
      </c>
      <c r="L450" s="105">
        <v>-19.8</v>
      </c>
    </row>
    <row r="451" spans="11:12" x14ac:dyDescent="0.4">
      <c r="K451" s="40">
        <v>449</v>
      </c>
      <c r="L451" s="105">
        <v>-10</v>
      </c>
    </row>
    <row r="452" spans="11:12" x14ac:dyDescent="0.4">
      <c r="K452" s="40">
        <v>450</v>
      </c>
      <c r="L452" s="105">
        <v>29.8</v>
      </c>
    </row>
    <row r="453" spans="11:12" x14ac:dyDescent="0.4">
      <c r="K453" s="40">
        <v>451</v>
      </c>
      <c r="L453" s="105">
        <v>37.6</v>
      </c>
    </row>
    <row r="454" spans="11:12" x14ac:dyDescent="0.4">
      <c r="K454" s="40">
        <v>452</v>
      </c>
      <c r="L454" s="105">
        <v>-1.1000000000000001</v>
      </c>
    </row>
    <row r="455" spans="11:12" x14ac:dyDescent="0.4">
      <c r="K455" s="40">
        <v>453</v>
      </c>
      <c r="L455" s="105">
        <v>-36.5</v>
      </c>
    </row>
    <row r="456" spans="11:12" x14ac:dyDescent="0.4">
      <c r="K456" s="40">
        <v>454</v>
      </c>
      <c r="L456" s="105">
        <v>7.8</v>
      </c>
    </row>
    <row r="457" spans="11:12" x14ac:dyDescent="0.4">
      <c r="K457" s="40">
        <v>455</v>
      </c>
      <c r="L457" s="105">
        <v>-37.200000000000003</v>
      </c>
    </row>
    <row r="458" spans="11:12" x14ac:dyDescent="0.4">
      <c r="K458" s="40">
        <v>456</v>
      </c>
      <c r="L458" s="105">
        <v>29.4</v>
      </c>
    </row>
    <row r="459" spans="11:12" x14ac:dyDescent="0.4">
      <c r="K459" s="40">
        <v>457</v>
      </c>
      <c r="L459" s="105">
        <v>68.099999999999994</v>
      </c>
    </row>
    <row r="460" spans="11:12" x14ac:dyDescent="0.4">
      <c r="K460" s="40">
        <v>458</v>
      </c>
      <c r="L460" s="105">
        <v>-41.3</v>
      </c>
    </row>
    <row r="461" spans="11:12" x14ac:dyDescent="0.4">
      <c r="K461" s="40">
        <v>459</v>
      </c>
      <c r="L461" s="105">
        <v>-26.8</v>
      </c>
    </row>
    <row r="462" spans="11:12" x14ac:dyDescent="0.4">
      <c r="K462" s="40">
        <v>460</v>
      </c>
      <c r="L462" s="105">
        <v>-2</v>
      </c>
    </row>
    <row r="463" spans="11:12" x14ac:dyDescent="0.4">
      <c r="K463" s="40">
        <v>461</v>
      </c>
      <c r="L463" s="105">
        <v>-16.399999999999999</v>
      </c>
    </row>
    <row r="464" spans="11:12" x14ac:dyDescent="0.4">
      <c r="K464" s="40">
        <v>462</v>
      </c>
      <c r="L464" s="105">
        <v>18.399999999999999</v>
      </c>
    </row>
    <row r="465" spans="11:12" x14ac:dyDescent="0.4">
      <c r="K465" s="40">
        <v>463</v>
      </c>
      <c r="L465" s="105">
        <v>5.2</v>
      </c>
    </row>
    <row r="466" spans="11:12" x14ac:dyDescent="0.4">
      <c r="K466" s="40">
        <v>464</v>
      </c>
      <c r="L466" s="105">
        <v>-31.7</v>
      </c>
    </row>
    <row r="467" spans="11:12" x14ac:dyDescent="0.4">
      <c r="K467" s="40">
        <v>465</v>
      </c>
      <c r="L467" s="105">
        <v>26.5</v>
      </c>
    </row>
    <row r="468" spans="11:12" x14ac:dyDescent="0.4">
      <c r="K468" s="40">
        <v>466</v>
      </c>
      <c r="L468" s="105">
        <v>16.2</v>
      </c>
    </row>
    <row r="469" spans="11:12" x14ac:dyDescent="0.4">
      <c r="K469" s="40">
        <v>467</v>
      </c>
      <c r="L469" s="105">
        <v>-4.9000000000000004</v>
      </c>
    </row>
    <row r="470" spans="11:12" x14ac:dyDescent="0.4">
      <c r="K470" s="40">
        <v>468</v>
      </c>
      <c r="L470" s="105">
        <v>-11.3</v>
      </c>
    </row>
    <row r="471" spans="11:12" x14ac:dyDescent="0.4">
      <c r="K471" s="40">
        <v>469</v>
      </c>
      <c r="L471" s="105">
        <v>24.2</v>
      </c>
    </row>
    <row r="472" spans="11:12" x14ac:dyDescent="0.4">
      <c r="K472" s="40">
        <v>470</v>
      </c>
      <c r="L472" s="105">
        <v>-14.9</v>
      </c>
    </row>
    <row r="473" spans="11:12" x14ac:dyDescent="0.4">
      <c r="K473" s="40">
        <v>471</v>
      </c>
      <c r="L473" s="105">
        <v>-9.3000000000000007</v>
      </c>
    </row>
    <row r="474" spans="11:12" x14ac:dyDescent="0.4">
      <c r="K474" s="40">
        <v>472</v>
      </c>
      <c r="L474" s="105">
        <v>20.6</v>
      </c>
    </row>
    <row r="475" spans="11:12" x14ac:dyDescent="0.4">
      <c r="K475" s="40">
        <v>473</v>
      </c>
      <c r="L475" s="105">
        <v>-45.7</v>
      </c>
    </row>
    <row r="476" spans="11:12" x14ac:dyDescent="0.4">
      <c r="K476" s="40">
        <v>474</v>
      </c>
      <c r="L476" s="105">
        <v>25.1</v>
      </c>
    </row>
    <row r="477" spans="11:12" x14ac:dyDescent="0.4">
      <c r="K477" s="40">
        <v>475</v>
      </c>
      <c r="L477" s="105">
        <v>7.3</v>
      </c>
    </row>
    <row r="478" spans="11:12" x14ac:dyDescent="0.4">
      <c r="K478" s="40">
        <v>476</v>
      </c>
      <c r="L478" s="105">
        <v>26.2</v>
      </c>
    </row>
    <row r="479" spans="11:12" x14ac:dyDescent="0.4">
      <c r="K479" s="40">
        <v>477</v>
      </c>
      <c r="L479" s="105">
        <v>-33.5</v>
      </c>
    </row>
    <row r="480" spans="11:12" x14ac:dyDescent="0.4">
      <c r="K480" s="40">
        <v>478</v>
      </c>
      <c r="L480" s="105">
        <v>4.8</v>
      </c>
    </row>
    <row r="481" spans="11:12" x14ac:dyDescent="0.4">
      <c r="K481" s="40">
        <v>479</v>
      </c>
      <c r="L481" s="105">
        <v>32.700000000000003</v>
      </c>
    </row>
    <row r="482" spans="11:12" x14ac:dyDescent="0.4">
      <c r="K482" s="40">
        <v>480</v>
      </c>
      <c r="L482" s="105">
        <v>-37.5</v>
      </c>
    </row>
    <row r="483" spans="11:12" x14ac:dyDescent="0.4">
      <c r="K483" s="40">
        <v>481</v>
      </c>
      <c r="L483" s="105">
        <v>4.0999999999999996</v>
      </c>
    </row>
    <row r="484" spans="11:12" x14ac:dyDescent="0.4">
      <c r="K484" s="40">
        <v>482</v>
      </c>
      <c r="L484" s="105">
        <v>5.3</v>
      </c>
    </row>
    <row r="485" spans="11:12" x14ac:dyDescent="0.4">
      <c r="K485" s="40">
        <v>483</v>
      </c>
      <c r="L485" s="105">
        <v>-9.4</v>
      </c>
    </row>
    <row r="486" spans="11:12" x14ac:dyDescent="0.4">
      <c r="K486" s="40">
        <v>484</v>
      </c>
      <c r="L486" s="105">
        <v>-12</v>
      </c>
    </row>
    <row r="487" spans="11:12" x14ac:dyDescent="0.4">
      <c r="K487" s="40">
        <v>485</v>
      </c>
      <c r="L487" s="105">
        <v>10.5</v>
      </c>
    </row>
    <row r="488" spans="11:12" x14ac:dyDescent="0.4">
      <c r="K488" s="40">
        <v>486</v>
      </c>
      <c r="L488" s="105">
        <v>0.5</v>
      </c>
    </row>
    <row r="489" spans="11:12" x14ac:dyDescent="0.4">
      <c r="K489" s="40">
        <v>487</v>
      </c>
      <c r="L489" s="105">
        <v>12.5</v>
      </c>
    </row>
    <row r="490" spans="11:12" x14ac:dyDescent="0.4">
      <c r="K490" s="40">
        <v>488</v>
      </c>
      <c r="L490" s="105">
        <v>-12.1</v>
      </c>
    </row>
    <row r="491" spans="11:12" x14ac:dyDescent="0.4">
      <c r="K491" s="40">
        <v>489</v>
      </c>
      <c r="L491" s="105">
        <v>-0.4</v>
      </c>
    </row>
    <row r="492" spans="11:12" x14ac:dyDescent="0.4">
      <c r="K492" s="40">
        <v>490</v>
      </c>
      <c r="L492" s="105">
        <v>-12.9</v>
      </c>
    </row>
    <row r="493" spans="11:12" x14ac:dyDescent="0.4">
      <c r="K493" s="40">
        <v>491</v>
      </c>
      <c r="L493" s="105">
        <v>-5.2</v>
      </c>
    </row>
    <row r="494" spans="11:12" x14ac:dyDescent="0.4">
      <c r="K494" s="40">
        <v>492</v>
      </c>
      <c r="L494" s="105">
        <v>18.100000000000001</v>
      </c>
    </row>
    <row r="495" spans="11:12" x14ac:dyDescent="0.4">
      <c r="K495" s="40">
        <v>493</v>
      </c>
      <c r="L495" s="105">
        <v>15.6</v>
      </c>
    </row>
    <row r="496" spans="11:12" x14ac:dyDescent="0.4">
      <c r="K496" s="40">
        <v>494</v>
      </c>
      <c r="L496" s="105">
        <v>-38.4</v>
      </c>
    </row>
    <row r="497" spans="11:12" x14ac:dyDescent="0.4">
      <c r="K497" s="40">
        <v>495</v>
      </c>
      <c r="L497" s="105">
        <v>22.8</v>
      </c>
    </row>
    <row r="498" spans="11:12" x14ac:dyDescent="0.4">
      <c r="K498" s="40">
        <v>496</v>
      </c>
      <c r="L498" s="105">
        <v>15.6</v>
      </c>
    </row>
    <row r="499" spans="11:12" x14ac:dyDescent="0.4">
      <c r="K499" s="40">
        <v>497</v>
      </c>
      <c r="L499" s="105">
        <v>-12.8</v>
      </c>
    </row>
    <row r="500" spans="11:12" x14ac:dyDescent="0.4">
      <c r="K500" s="40">
        <v>498</v>
      </c>
      <c r="L500" s="105">
        <v>-2.8</v>
      </c>
    </row>
    <row r="501" spans="11:12" x14ac:dyDescent="0.4">
      <c r="K501" s="40">
        <v>499</v>
      </c>
      <c r="L501" s="105">
        <v>-36</v>
      </c>
    </row>
    <row r="502" spans="11:12" x14ac:dyDescent="0.4">
      <c r="K502" s="40">
        <v>500</v>
      </c>
      <c r="L502" s="105">
        <v>36</v>
      </c>
    </row>
    <row r="503" spans="11:12" x14ac:dyDescent="0.4">
      <c r="K503" s="40">
        <v>501</v>
      </c>
      <c r="L503" s="105">
        <v>0</v>
      </c>
    </row>
    <row r="504" spans="11:12" x14ac:dyDescent="0.4">
      <c r="K504" s="40">
        <v>502</v>
      </c>
      <c r="L504" s="105">
        <v>-29.6</v>
      </c>
    </row>
    <row r="505" spans="11:12" x14ac:dyDescent="0.4">
      <c r="K505" s="40">
        <v>503</v>
      </c>
      <c r="L505" s="105">
        <v>-49.1</v>
      </c>
    </row>
    <row r="506" spans="11:12" x14ac:dyDescent="0.4">
      <c r="K506" s="40">
        <v>504</v>
      </c>
      <c r="L506" s="105">
        <v>78.7</v>
      </c>
    </row>
    <row r="507" spans="11:12" x14ac:dyDescent="0.4">
      <c r="K507" s="40">
        <v>505</v>
      </c>
      <c r="L507" s="105">
        <v>6.8</v>
      </c>
    </row>
    <row r="508" spans="11:12" x14ac:dyDescent="0.4">
      <c r="K508" s="40">
        <v>506</v>
      </c>
      <c r="L508" s="105">
        <v>-2.6</v>
      </c>
    </row>
    <row r="509" spans="11:12" x14ac:dyDescent="0.4">
      <c r="K509" s="40">
        <v>507</v>
      </c>
      <c r="L509" s="105">
        <v>-4.2</v>
      </c>
    </row>
    <row r="510" spans="11:12" x14ac:dyDescent="0.4">
      <c r="K510" s="40">
        <v>508</v>
      </c>
      <c r="L510" s="105">
        <v>-14</v>
      </c>
    </row>
    <row r="511" spans="11:12" x14ac:dyDescent="0.4">
      <c r="K511" s="40">
        <v>509</v>
      </c>
      <c r="L511" s="105">
        <v>-12.5</v>
      </c>
    </row>
    <row r="512" spans="11:12" x14ac:dyDescent="0.4">
      <c r="K512" s="40">
        <v>510</v>
      </c>
      <c r="L512" s="105">
        <v>26.5</v>
      </c>
    </row>
    <row r="513" spans="11:12" x14ac:dyDescent="0.4">
      <c r="K513" s="40">
        <v>511</v>
      </c>
      <c r="L513" s="105">
        <v>-10</v>
      </c>
    </row>
    <row r="514" spans="11:12" x14ac:dyDescent="0.4">
      <c r="K514" s="40">
        <v>512</v>
      </c>
      <c r="L514" s="105">
        <v>60.5</v>
      </c>
    </row>
    <row r="515" spans="11:12" x14ac:dyDescent="0.4">
      <c r="K515" s="40">
        <v>513</v>
      </c>
      <c r="L515" s="105">
        <v>-50.5</v>
      </c>
    </row>
    <row r="516" spans="11:12" x14ac:dyDescent="0.4">
      <c r="K516" s="40">
        <v>514</v>
      </c>
      <c r="L516" s="105">
        <v>44.6</v>
      </c>
    </row>
    <row r="517" spans="11:12" x14ac:dyDescent="0.4">
      <c r="K517" s="40">
        <v>515</v>
      </c>
      <c r="L517" s="105">
        <v>-29.5</v>
      </c>
    </row>
    <row r="518" spans="11:12" x14ac:dyDescent="0.4">
      <c r="K518" s="40">
        <v>516</v>
      </c>
      <c r="L518" s="105">
        <v>-15.1</v>
      </c>
    </row>
    <row r="519" spans="11:12" x14ac:dyDescent="0.4">
      <c r="K519" s="40">
        <v>517</v>
      </c>
      <c r="L519" s="105">
        <v>-4.7</v>
      </c>
    </row>
    <row r="520" spans="11:12" x14ac:dyDescent="0.4">
      <c r="K520" s="40">
        <v>518</v>
      </c>
      <c r="L520" s="105">
        <v>18.600000000000001</v>
      </c>
    </row>
    <row r="521" spans="11:12" x14ac:dyDescent="0.4">
      <c r="K521" s="40">
        <v>519</v>
      </c>
      <c r="L521" s="105">
        <v>-13.9</v>
      </c>
    </row>
    <row r="522" spans="11:12" x14ac:dyDescent="0.4">
      <c r="K522" s="40">
        <v>520</v>
      </c>
      <c r="L522" s="105">
        <v>12.5</v>
      </c>
    </row>
    <row r="523" spans="11:12" x14ac:dyDescent="0.4">
      <c r="K523" s="40">
        <v>521</v>
      </c>
      <c r="L523" s="105">
        <v>-14.2</v>
      </c>
    </row>
    <row r="524" spans="11:12" x14ac:dyDescent="0.4">
      <c r="K524" s="40">
        <v>522</v>
      </c>
      <c r="L524" s="105">
        <v>1.7</v>
      </c>
    </row>
    <row r="525" spans="11:12" x14ac:dyDescent="0.4">
      <c r="K525" s="40">
        <v>523</v>
      </c>
      <c r="L525" s="105">
        <v>14.4</v>
      </c>
    </row>
    <row r="526" spans="11:12" x14ac:dyDescent="0.4">
      <c r="K526" s="40">
        <v>524</v>
      </c>
      <c r="L526" s="105">
        <v>12.3</v>
      </c>
    </row>
    <row r="527" spans="11:12" x14ac:dyDescent="0.4">
      <c r="K527" s="40">
        <v>525</v>
      </c>
      <c r="L527" s="105">
        <v>-26.7</v>
      </c>
    </row>
    <row r="528" spans="11:12" x14ac:dyDescent="0.4">
      <c r="K528" s="40">
        <v>526</v>
      </c>
      <c r="L528" s="105">
        <v>-14</v>
      </c>
    </row>
    <row r="529" spans="11:12" x14ac:dyDescent="0.4">
      <c r="K529" s="40">
        <v>527</v>
      </c>
      <c r="L529" s="105">
        <v>-60.3</v>
      </c>
    </row>
    <row r="530" spans="11:12" x14ac:dyDescent="0.4">
      <c r="K530" s="40">
        <v>528</v>
      </c>
      <c r="L530" s="105">
        <v>74.3</v>
      </c>
    </row>
    <row r="531" spans="11:12" x14ac:dyDescent="0.4">
      <c r="K531" s="40">
        <v>529</v>
      </c>
      <c r="L531" s="105">
        <v>7.1</v>
      </c>
    </row>
    <row r="532" spans="11:12" x14ac:dyDescent="0.4">
      <c r="K532" s="40">
        <v>530</v>
      </c>
      <c r="L532" s="105">
        <v>-8</v>
      </c>
    </row>
    <row r="533" spans="11:12" x14ac:dyDescent="0.4">
      <c r="K533" s="40">
        <v>531</v>
      </c>
      <c r="L533" s="105">
        <v>0.9</v>
      </c>
    </row>
    <row r="534" spans="11:12" x14ac:dyDescent="0.4">
      <c r="K534" s="40">
        <v>532</v>
      </c>
      <c r="L534" s="105">
        <v>19.7</v>
      </c>
    </row>
    <row r="535" spans="11:12" x14ac:dyDescent="0.4">
      <c r="K535" s="40">
        <v>533</v>
      </c>
      <c r="L535" s="105">
        <v>-15.9</v>
      </c>
    </row>
    <row r="536" spans="11:12" x14ac:dyDescent="0.4">
      <c r="K536" s="40">
        <v>534</v>
      </c>
      <c r="L536" s="105">
        <v>-3.8</v>
      </c>
    </row>
    <row r="537" spans="11:12" x14ac:dyDescent="0.4">
      <c r="K537" s="40">
        <v>535</v>
      </c>
      <c r="L537" s="105">
        <v>23.8</v>
      </c>
    </row>
    <row r="538" spans="11:12" x14ac:dyDescent="0.4">
      <c r="K538" s="40">
        <v>536</v>
      </c>
      <c r="L538" s="105">
        <v>1.7</v>
      </c>
    </row>
    <row r="539" spans="11:12" x14ac:dyDescent="0.4">
      <c r="K539" s="40">
        <v>537</v>
      </c>
      <c r="L539" s="105">
        <v>-25.5</v>
      </c>
    </row>
    <row r="540" spans="11:12" x14ac:dyDescent="0.4">
      <c r="K540" s="40">
        <v>538</v>
      </c>
      <c r="L540" s="105">
        <v>3.5</v>
      </c>
    </row>
    <row r="541" spans="11:12" x14ac:dyDescent="0.4">
      <c r="K541" s="40">
        <v>539</v>
      </c>
      <c r="L541" s="105">
        <v>-9.5</v>
      </c>
    </row>
    <row r="542" spans="11:12" x14ac:dyDescent="0.4">
      <c r="K542" s="40">
        <v>540</v>
      </c>
      <c r="L542" s="105">
        <v>6</v>
      </c>
    </row>
    <row r="543" spans="11:12" x14ac:dyDescent="0.4">
      <c r="K543" s="40">
        <v>541</v>
      </c>
      <c r="L543" s="105">
        <v>-4.8</v>
      </c>
    </row>
    <row r="544" spans="11:12" x14ac:dyDescent="0.4">
      <c r="K544" s="40">
        <v>542</v>
      </c>
      <c r="L544" s="105">
        <v>25.8</v>
      </c>
    </row>
    <row r="545" spans="11:12" x14ac:dyDescent="0.4">
      <c r="K545" s="40">
        <v>543</v>
      </c>
      <c r="L545" s="105">
        <v>-21</v>
      </c>
    </row>
    <row r="546" spans="11:12" x14ac:dyDescent="0.4">
      <c r="K546" s="40">
        <v>544</v>
      </c>
      <c r="L546" s="105">
        <v>32.5</v>
      </c>
    </row>
    <row r="547" spans="11:12" x14ac:dyDescent="0.4">
      <c r="K547" s="40">
        <v>545</v>
      </c>
      <c r="L547" s="105">
        <v>-20.6</v>
      </c>
    </row>
    <row r="548" spans="11:12" x14ac:dyDescent="0.4">
      <c r="K548" s="40">
        <v>546</v>
      </c>
      <c r="L548" s="105">
        <v>-11.9</v>
      </c>
    </row>
    <row r="549" spans="11:12" x14ac:dyDescent="0.4">
      <c r="K549" s="40">
        <v>547</v>
      </c>
      <c r="L549" s="105">
        <v>17.100000000000001</v>
      </c>
    </row>
    <row r="550" spans="11:12" x14ac:dyDescent="0.4">
      <c r="K550" s="40">
        <v>548</v>
      </c>
      <c r="L550" s="105">
        <v>0.4</v>
      </c>
    </row>
    <row r="551" spans="11:12" x14ac:dyDescent="0.4">
      <c r="K551" s="40">
        <v>549</v>
      </c>
      <c r="L551" s="105">
        <v>-17.5</v>
      </c>
    </row>
    <row r="552" spans="11:12" x14ac:dyDescent="0.4">
      <c r="K552" s="40">
        <v>550</v>
      </c>
      <c r="L552" s="105">
        <v>12.3</v>
      </c>
    </row>
    <row r="553" spans="11:12" x14ac:dyDescent="0.4">
      <c r="K553" s="40">
        <v>551</v>
      </c>
      <c r="L553" s="105">
        <v>10.8</v>
      </c>
    </row>
    <row r="554" spans="11:12" x14ac:dyDescent="0.4">
      <c r="K554" s="40">
        <v>552</v>
      </c>
      <c r="L554" s="105">
        <v>-23.1</v>
      </c>
    </row>
    <row r="555" spans="11:12" x14ac:dyDescent="0.4">
      <c r="K555" s="40">
        <v>553</v>
      </c>
      <c r="L555" s="105">
        <v>24.3</v>
      </c>
    </row>
    <row r="556" spans="11:12" x14ac:dyDescent="0.4">
      <c r="K556" s="40">
        <v>554</v>
      </c>
      <c r="L556" s="105">
        <v>-12.9</v>
      </c>
    </row>
    <row r="557" spans="11:12" x14ac:dyDescent="0.4">
      <c r="K557" s="40">
        <v>555</v>
      </c>
      <c r="L557" s="105">
        <v>-11.4</v>
      </c>
    </row>
    <row r="558" spans="11:12" x14ac:dyDescent="0.4">
      <c r="K558" s="40">
        <v>556</v>
      </c>
      <c r="L558" s="105">
        <v>-12.2</v>
      </c>
    </row>
    <row r="559" spans="11:12" x14ac:dyDescent="0.4">
      <c r="K559" s="40">
        <v>557</v>
      </c>
      <c r="L559" s="105">
        <v>4.9000000000000004</v>
      </c>
    </row>
    <row r="560" spans="11:12" x14ac:dyDescent="0.4">
      <c r="K560" s="40">
        <v>558</v>
      </c>
      <c r="L560" s="105">
        <v>7.3</v>
      </c>
    </row>
    <row r="561" spans="11:12" x14ac:dyDescent="0.4">
      <c r="K561" s="40">
        <v>559</v>
      </c>
      <c r="L561" s="105">
        <v>-2</v>
      </c>
    </row>
    <row r="562" spans="11:12" x14ac:dyDescent="0.4">
      <c r="K562" s="40">
        <v>560</v>
      </c>
      <c r="L562" s="105">
        <v>6.6</v>
      </c>
    </row>
    <row r="563" spans="11:12" x14ac:dyDescent="0.4">
      <c r="K563" s="40">
        <v>561</v>
      </c>
      <c r="L563" s="105">
        <v>-4.5999999999999996</v>
      </c>
    </row>
    <row r="564" spans="11:12" x14ac:dyDescent="0.4">
      <c r="K564" s="40">
        <v>562</v>
      </c>
      <c r="L564" s="105">
        <v>-40.6</v>
      </c>
    </row>
    <row r="565" spans="11:12" x14ac:dyDescent="0.4">
      <c r="K565" s="40">
        <v>563</v>
      </c>
      <c r="L565" s="105">
        <v>-35.9</v>
      </c>
    </row>
    <row r="566" spans="11:12" x14ac:dyDescent="0.4">
      <c r="K566" s="40">
        <v>564</v>
      </c>
      <c r="L566" s="105">
        <v>76.5</v>
      </c>
    </row>
    <row r="567" spans="11:12" x14ac:dyDescent="0.4">
      <c r="K567" s="40">
        <v>565</v>
      </c>
      <c r="L567" s="105">
        <v>21.7</v>
      </c>
    </row>
    <row r="568" spans="11:12" x14ac:dyDescent="0.4">
      <c r="K568" s="40">
        <v>566</v>
      </c>
      <c r="L568" s="105">
        <v>14.1</v>
      </c>
    </row>
    <row r="569" spans="11:12" x14ac:dyDescent="0.4">
      <c r="K569" s="40">
        <v>567</v>
      </c>
      <c r="L569" s="105">
        <v>-35.799999999999997</v>
      </c>
    </row>
    <row r="570" spans="11:12" x14ac:dyDescent="0.4">
      <c r="K570" s="40">
        <v>568</v>
      </c>
      <c r="L570" s="105">
        <v>40.700000000000003</v>
      </c>
    </row>
    <row r="571" spans="11:12" x14ac:dyDescent="0.4">
      <c r="K571" s="40">
        <v>569</v>
      </c>
      <c r="L571" s="105">
        <v>-38.5</v>
      </c>
    </row>
    <row r="572" spans="11:12" x14ac:dyDescent="0.4">
      <c r="K572" s="40">
        <v>570</v>
      </c>
      <c r="L572" s="105">
        <v>-2.2000000000000002</v>
      </c>
    </row>
    <row r="573" spans="11:12" x14ac:dyDescent="0.4">
      <c r="K573" s="40">
        <v>571</v>
      </c>
      <c r="L573" s="105">
        <v>8</v>
      </c>
    </row>
    <row r="574" spans="11:12" x14ac:dyDescent="0.4">
      <c r="K574" s="40">
        <v>572</v>
      </c>
      <c r="L574" s="105">
        <v>8.9</v>
      </c>
    </row>
    <row r="575" spans="11:12" x14ac:dyDescent="0.4">
      <c r="K575" s="40">
        <v>573</v>
      </c>
      <c r="L575" s="105">
        <v>-16.899999999999999</v>
      </c>
    </row>
    <row r="576" spans="11:12" x14ac:dyDescent="0.4">
      <c r="K576" s="40">
        <v>574</v>
      </c>
      <c r="L576" s="105">
        <v>7.7</v>
      </c>
    </row>
    <row r="577" spans="11:12" x14ac:dyDescent="0.4">
      <c r="K577" s="40">
        <v>575</v>
      </c>
      <c r="L577" s="105">
        <v>29.7</v>
      </c>
    </row>
    <row r="578" spans="11:12" x14ac:dyDescent="0.4">
      <c r="K578" s="40">
        <v>576</v>
      </c>
      <c r="L578" s="105">
        <v>-37.4</v>
      </c>
    </row>
    <row r="579" spans="11:12" x14ac:dyDescent="0.4">
      <c r="K579" s="40">
        <v>577</v>
      </c>
      <c r="L579" s="105">
        <v>-69</v>
      </c>
    </row>
    <row r="580" spans="11:12" x14ac:dyDescent="0.4">
      <c r="K580" s="40">
        <v>578</v>
      </c>
      <c r="L580" s="105">
        <v>-20.7</v>
      </c>
    </row>
    <row r="581" spans="11:12" x14ac:dyDescent="0.4">
      <c r="K581" s="40">
        <v>579</v>
      </c>
      <c r="L581" s="105">
        <v>89.7</v>
      </c>
    </row>
    <row r="582" spans="11:12" x14ac:dyDescent="0.4">
      <c r="K582" s="40">
        <v>580</v>
      </c>
      <c r="L582" s="105">
        <v>-3</v>
      </c>
    </row>
    <row r="583" spans="11:12" x14ac:dyDescent="0.4">
      <c r="K583" s="40">
        <v>581</v>
      </c>
      <c r="L583" s="105">
        <v>-28.2</v>
      </c>
    </row>
    <row r="584" spans="11:12" x14ac:dyDescent="0.4">
      <c r="K584" s="40">
        <v>582</v>
      </c>
      <c r="L584" s="105">
        <v>31.2</v>
      </c>
    </row>
    <row r="585" spans="11:12" x14ac:dyDescent="0.4">
      <c r="K585" s="40">
        <v>583</v>
      </c>
      <c r="L585" s="105">
        <v>-2.6</v>
      </c>
    </row>
    <row r="586" spans="11:12" x14ac:dyDescent="0.4">
      <c r="K586" s="40">
        <v>584</v>
      </c>
      <c r="L586" s="105">
        <v>-37.6</v>
      </c>
    </row>
    <row r="587" spans="11:12" x14ac:dyDescent="0.4">
      <c r="K587" s="40">
        <v>585</v>
      </c>
      <c r="L587" s="105">
        <v>40.200000000000003</v>
      </c>
    </row>
    <row r="588" spans="11:12" x14ac:dyDescent="0.4">
      <c r="K588" s="40">
        <v>586</v>
      </c>
      <c r="L588" s="105">
        <v>59</v>
      </c>
    </row>
    <row r="589" spans="11:12" x14ac:dyDescent="0.4">
      <c r="K589" s="40">
        <v>587</v>
      </c>
      <c r="L589" s="105">
        <v>-38</v>
      </c>
    </row>
    <row r="590" spans="11:12" x14ac:dyDescent="0.4">
      <c r="K590" s="40">
        <v>588</v>
      </c>
      <c r="L590" s="105">
        <v>-21</v>
      </c>
    </row>
    <row r="591" spans="11:12" x14ac:dyDescent="0.4">
      <c r="K591" s="40">
        <v>589</v>
      </c>
      <c r="L591" s="105">
        <v>0</v>
      </c>
    </row>
    <row r="592" spans="11:12" x14ac:dyDescent="0.4">
      <c r="K592" s="40">
        <v>590</v>
      </c>
      <c r="L592" s="105">
        <v>36</v>
      </c>
    </row>
    <row r="593" spans="11:12" x14ac:dyDescent="0.4">
      <c r="K593" s="40">
        <v>591</v>
      </c>
      <c r="L593" s="105">
        <v>-36</v>
      </c>
    </row>
    <row r="594" spans="11:12" x14ac:dyDescent="0.4">
      <c r="K594" s="40">
        <v>592</v>
      </c>
      <c r="L594" s="105">
        <v>-20.5</v>
      </c>
    </row>
    <row r="595" spans="11:12" x14ac:dyDescent="0.4">
      <c r="K595" s="40">
        <v>593</v>
      </c>
      <c r="L595" s="105">
        <v>29.9</v>
      </c>
    </row>
    <row r="596" spans="11:12" x14ac:dyDescent="0.4">
      <c r="K596" s="40">
        <v>594</v>
      </c>
      <c r="L596" s="105">
        <v>-9.4</v>
      </c>
    </row>
    <row r="597" spans="11:12" x14ac:dyDescent="0.4">
      <c r="K597" s="40">
        <v>595</v>
      </c>
      <c r="L597" s="105">
        <v>14.5</v>
      </c>
    </row>
    <row r="598" spans="11:12" x14ac:dyDescent="0.4">
      <c r="K598" s="40">
        <v>596</v>
      </c>
      <c r="L598" s="105">
        <v>8.9</v>
      </c>
    </row>
    <row r="599" spans="11:12" x14ac:dyDescent="0.4">
      <c r="K599" s="40">
        <v>597</v>
      </c>
      <c r="L599" s="105">
        <v>-23.4</v>
      </c>
    </row>
    <row r="600" spans="11:12" x14ac:dyDescent="0.4">
      <c r="K600" s="40">
        <v>598</v>
      </c>
      <c r="L600" s="105">
        <v>15.9</v>
      </c>
    </row>
    <row r="601" spans="11:12" x14ac:dyDescent="0.4">
      <c r="K601" s="40">
        <v>599</v>
      </c>
      <c r="L601" s="105">
        <v>23.5</v>
      </c>
    </row>
    <row r="602" spans="11:12" x14ac:dyDescent="0.4">
      <c r="K602" s="40">
        <v>600</v>
      </c>
      <c r="L602" s="105">
        <v>-39.4</v>
      </c>
    </row>
    <row r="603" spans="11:12" x14ac:dyDescent="0.4">
      <c r="K603" s="40">
        <v>601</v>
      </c>
      <c r="L603" s="105">
        <v>-3.4</v>
      </c>
    </row>
    <row r="604" spans="11:12" x14ac:dyDescent="0.4">
      <c r="K604" s="40">
        <v>602</v>
      </c>
      <c r="L604" s="105">
        <v>-14.5</v>
      </c>
    </row>
    <row r="605" spans="11:12" x14ac:dyDescent="0.4">
      <c r="K605" s="40">
        <v>603</v>
      </c>
      <c r="L605" s="105">
        <v>17.899999999999999</v>
      </c>
    </row>
    <row r="606" spans="11:12" x14ac:dyDescent="0.4">
      <c r="K606" s="40">
        <v>604</v>
      </c>
      <c r="L606" s="105">
        <v>4.4000000000000004</v>
      </c>
    </row>
    <row r="607" spans="11:12" x14ac:dyDescent="0.4">
      <c r="K607" s="40">
        <v>605</v>
      </c>
      <c r="L607" s="105">
        <v>-5.8</v>
      </c>
    </row>
    <row r="608" spans="11:12" x14ac:dyDescent="0.4">
      <c r="K608" s="40">
        <v>606</v>
      </c>
      <c r="L608" s="105">
        <v>1.4</v>
      </c>
    </row>
    <row r="609" spans="11:12" x14ac:dyDescent="0.4">
      <c r="K609" s="40">
        <v>607</v>
      </c>
      <c r="L609" s="105">
        <v>39.5</v>
      </c>
    </row>
    <row r="610" spans="11:12" x14ac:dyDescent="0.4">
      <c r="K610" s="40">
        <v>608</v>
      </c>
      <c r="L610" s="105">
        <v>-36.700000000000003</v>
      </c>
    </row>
    <row r="611" spans="11:12" x14ac:dyDescent="0.4">
      <c r="K611" s="40">
        <v>609</v>
      </c>
      <c r="L611" s="105">
        <v>-2.8</v>
      </c>
    </row>
    <row r="612" spans="11:12" x14ac:dyDescent="0.4">
      <c r="K612" s="40">
        <v>610</v>
      </c>
      <c r="L612" s="105">
        <v>61</v>
      </c>
    </row>
    <row r="613" spans="11:12" x14ac:dyDescent="0.4">
      <c r="K613" s="40">
        <v>611</v>
      </c>
      <c r="L613" s="105">
        <v>-47.5</v>
      </c>
    </row>
    <row r="614" spans="11:12" x14ac:dyDescent="0.4">
      <c r="K614" s="40">
        <v>612</v>
      </c>
      <c r="L614" s="105">
        <v>-13.5</v>
      </c>
    </row>
    <row r="615" spans="11:12" x14ac:dyDescent="0.4">
      <c r="K615" s="40">
        <v>613</v>
      </c>
      <c r="L615" s="105">
        <v>11.7</v>
      </c>
    </row>
    <row r="616" spans="11:12" x14ac:dyDescent="0.4">
      <c r="K616" s="40">
        <v>614</v>
      </c>
      <c r="L616" s="105">
        <v>-23.5</v>
      </c>
    </row>
    <row r="617" spans="11:12" x14ac:dyDescent="0.4">
      <c r="K617" s="40">
        <v>615</v>
      </c>
      <c r="L617" s="105">
        <v>11.8</v>
      </c>
    </row>
    <row r="618" spans="11:12" x14ac:dyDescent="0.4">
      <c r="K618" s="40">
        <v>616</v>
      </c>
      <c r="L618" s="105">
        <v>16.100000000000001</v>
      </c>
    </row>
    <row r="619" spans="11:12" x14ac:dyDescent="0.4">
      <c r="K619" s="40">
        <v>617</v>
      </c>
      <c r="L619" s="105">
        <v>-1</v>
      </c>
    </row>
    <row r="620" spans="11:12" x14ac:dyDescent="0.4">
      <c r="K620" s="40">
        <v>618</v>
      </c>
      <c r="L620" s="105">
        <v>-15.1</v>
      </c>
    </row>
    <row r="621" spans="11:12" x14ac:dyDescent="0.4">
      <c r="K621" s="40">
        <v>619</v>
      </c>
      <c r="L621" s="105">
        <v>57.5</v>
      </c>
    </row>
    <row r="622" spans="11:12" x14ac:dyDescent="0.4">
      <c r="K622" s="40">
        <v>620</v>
      </c>
      <c r="L622" s="105">
        <v>-45.8</v>
      </c>
    </row>
    <row r="623" spans="11:12" x14ac:dyDescent="0.4">
      <c r="K623" s="40">
        <v>621</v>
      </c>
      <c r="L623" s="105">
        <v>-11.7</v>
      </c>
    </row>
    <row r="624" spans="11:12" x14ac:dyDescent="0.4">
      <c r="K624" s="40">
        <v>622</v>
      </c>
      <c r="L624" s="105">
        <v>-12.5</v>
      </c>
    </row>
    <row r="625" spans="11:12" x14ac:dyDescent="0.4">
      <c r="K625" s="40">
        <v>623</v>
      </c>
      <c r="L625" s="105">
        <v>-43.9</v>
      </c>
    </row>
    <row r="626" spans="11:12" x14ac:dyDescent="0.4">
      <c r="K626" s="40">
        <v>624</v>
      </c>
      <c r="L626" s="105">
        <v>56.4</v>
      </c>
    </row>
    <row r="627" spans="11:12" x14ac:dyDescent="0.4">
      <c r="K627" s="40">
        <v>625</v>
      </c>
      <c r="L627" s="105">
        <v>-42</v>
      </c>
    </row>
    <row r="628" spans="11:12" x14ac:dyDescent="0.4">
      <c r="K628" s="40">
        <v>626</v>
      </c>
      <c r="L628" s="105">
        <v>-3</v>
      </c>
    </row>
    <row r="629" spans="11:12" x14ac:dyDescent="0.4">
      <c r="K629" s="40">
        <v>627</v>
      </c>
      <c r="L629" s="105">
        <v>45</v>
      </c>
    </row>
    <row r="630" spans="11:12" x14ac:dyDescent="0.4">
      <c r="K630" s="40">
        <v>628</v>
      </c>
      <c r="L630" s="105">
        <v>10.7</v>
      </c>
    </row>
    <row r="631" spans="11:12" x14ac:dyDescent="0.4">
      <c r="K631" s="40">
        <v>629</v>
      </c>
      <c r="L631" s="105">
        <v>-4</v>
      </c>
    </row>
    <row r="632" spans="11:12" x14ac:dyDescent="0.4">
      <c r="K632" s="40">
        <v>630</v>
      </c>
      <c r="L632" s="105">
        <v>-6.7</v>
      </c>
    </row>
    <row r="633" spans="11:12" x14ac:dyDescent="0.4">
      <c r="K633" s="40">
        <v>631</v>
      </c>
      <c r="L633" s="105">
        <v>31.1</v>
      </c>
    </row>
    <row r="634" spans="11:12" x14ac:dyDescent="0.4">
      <c r="K634" s="40">
        <v>632</v>
      </c>
      <c r="L634" s="105">
        <v>-30.4</v>
      </c>
    </row>
    <row r="635" spans="11:12" x14ac:dyDescent="0.4">
      <c r="K635" s="40">
        <v>633</v>
      </c>
      <c r="L635" s="105">
        <v>-0.7</v>
      </c>
    </row>
    <row r="636" spans="11:12" x14ac:dyDescent="0.4">
      <c r="K636" s="40">
        <v>634</v>
      </c>
      <c r="L636" s="105">
        <v>10.199999999999999</v>
      </c>
    </row>
    <row r="637" spans="11:12" x14ac:dyDescent="0.4">
      <c r="K637" s="40">
        <v>635</v>
      </c>
      <c r="L637" s="105">
        <v>-20.3</v>
      </c>
    </row>
    <row r="638" spans="11:12" x14ac:dyDescent="0.4">
      <c r="K638" s="40">
        <v>636</v>
      </c>
      <c r="L638" s="105">
        <v>10.1</v>
      </c>
    </row>
    <row r="639" spans="11:12" x14ac:dyDescent="0.4">
      <c r="K639" s="40">
        <v>637</v>
      </c>
      <c r="L639" s="105">
        <v>8.3000000000000007</v>
      </c>
    </row>
    <row r="640" spans="11:12" x14ac:dyDescent="0.4">
      <c r="K640" s="40">
        <v>638</v>
      </c>
      <c r="L640" s="105">
        <v>27.5</v>
      </c>
    </row>
    <row r="641" spans="11:12" x14ac:dyDescent="0.4">
      <c r="K641" s="40">
        <v>639</v>
      </c>
      <c r="L641" s="105">
        <v>-35.799999999999997</v>
      </c>
    </row>
    <row r="642" spans="11:12" x14ac:dyDescent="0.4">
      <c r="K642" s="40">
        <v>640</v>
      </c>
      <c r="L642" s="105">
        <v>-1.9</v>
      </c>
    </row>
    <row r="643" spans="11:12" x14ac:dyDescent="0.4">
      <c r="K643" s="40">
        <v>641</v>
      </c>
      <c r="L643" s="105">
        <v>5.7</v>
      </c>
    </row>
    <row r="644" spans="11:12" x14ac:dyDescent="0.4">
      <c r="K644" s="40">
        <v>642</v>
      </c>
      <c r="L644" s="105">
        <v>-3.8</v>
      </c>
    </row>
    <row r="645" spans="11:12" x14ac:dyDescent="0.4">
      <c r="K645" s="40">
        <v>643</v>
      </c>
      <c r="L645" s="105">
        <v>0.5</v>
      </c>
    </row>
    <row r="646" spans="11:12" x14ac:dyDescent="0.4">
      <c r="K646" s="40">
        <v>644</v>
      </c>
      <c r="L646" s="105">
        <v>13.2</v>
      </c>
    </row>
    <row r="647" spans="11:12" x14ac:dyDescent="0.4">
      <c r="K647" s="40">
        <v>645</v>
      </c>
      <c r="L647" s="105">
        <v>-13.7</v>
      </c>
    </row>
    <row r="648" spans="11:12" x14ac:dyDescent="0.4">
      <c r="K648" s="40">
        <v>646</v>
      </c>
      <c r="L648" s="105">
        <v>48</v>
      </c>
    </row>
    <row r="649" spans="11:12" x14ac:dyDescent="0.4">
      <c r="K649" s="40">
        <v>647</v>
      </c>
      <c r="L649" s="105">
        <v>-7</v>
      </c>
    </row>
    <row r="650" spans="11:12" x14ac:dyDescent="0.4">
      <c r="K650" s="40">
        <v>648</v>
      </c>
      <c r="L650" s="105">
        <v>-41</v>
      </c>
    </row>
    <row r="651" spans="11:12" x14ac:dyDescent="0.4">
      <c r="K651" s="40">
        <v>649</v>
      </c>
      <c r="L651" s="105">
        <v>22.8</v>
      </c>
    </row>
    <row r="652" spans="11:12" x14ac:dyDescent="0.4">
      <c r="K652" s="40">
        <v>650</v>
      </c>
      <c r="L652" s="105">
        <v>20.3</v>
      </c>
    </row>
    <row r="653" spans="11:12" x14ac:dyDescent="0.4">
      <c r="K653" s="40">
        <v>651</v>
      </c>
      <c r="L653" s="105">
        <v>-43.1</v>
      </c>
    </row>
    <row r="654" spans="11:12" x14ac:dyDescent="0.4">
      <c r="K654" s="40">
        <v>652</v>
      </c>
      <c r="L654" s="105">
        <v>6</v>
      </c>
    </row>
    <row r="655" spans="11:12" x14ac:dyDescent="0.4">
      <c r="K655" s="40">
        <v>653</v>
      </c>
      <c r="L655" s="105">
        <v>-6</v>
      </c>
    </row>
    <row r="656" spans="11:12" x14ac:dyDescent="0.4">
      <c r="K656" s="40">
        <v>654</v>
      </c>
      <c r="L656" s="105">
        <v>0</v>
      </c>
    </row>
    <row r="657" spans="11:12" x14ac:dyDescent="0.4">
      <c r="K657" s="40">
        <v>655</v>
      </c>
      <c r="L657" s="105">
        <v>-17</v>
      </c>
    </row>
    <row r="658" spans="11:12" x14ac:dyDescent="0.4">
      <c r="K658" s="40">
        <v>656</v>
      </c>
      <c r="L658" s="105">
        <v>20.7</v>
      </c>
    </row>
    <row r="659" spans="11:12" x14ac:dyDescent="0.4">
      <c r="K659" s="40">
        <v>657</v>
      </c>
      <c r="L659" s="105">
        <v>-3.7</v>
      </c>
    </row>
    <row r="660" spans="11:12" x14ac:dyDescent="0.4">
      <c r="K660" s="40">
        <v>658</v>
      </c>
      <c r="L660" s="105">
        <v>-26.2</v>
      </c>
    </row>
    <row r="661" spans="11:12" x14ac:dyDescent="0.4">
      <c r="K661" s="40">
        <v>659</v>
      </c>
      <c r="L661" s="105">
        <v>62.7</v>
      </c>
    </row>
    <row r="662" spans="11:12" x14ac:dyDescent="0.4">
      <c r="K662" s="40">
        <v>660</v>
      </c>
      <c r="L662" s="105">
        <v>-36.5</v>
      </c>
    </row>
    <row r="663" spans="11:12" x14ac:dyDescent="0.4">
      <c r="K663" s="40">
        <v>661</v>
      </c>
      <c r="L663" s="105">
        <v>-18.899999999999999</v>
      </c>
    </row>
    <row r="664" spans="11:12" x14ac:dyDescent="0.4">
      <c r="K664" s="40">
        <v>662</v>
      </c>
      <c r="L664" s="105">
        <v>6.6</v>
      </c>
    </row>
    <row r="665" spans="11:12" x14ac:dyDescent="0.4">
      <c r="K665" s="40">
        <v>663</v>
      </c>
      <c r="L665" s="105">
        <v>12.3</v>
      </c>
    </row>
    <row r="666" spans="11:12" x14ac:dyDescent="0.4">
      <c r="K666" s="40">
        <v>664</v>
      </c>
      <c r="L666" s="105">
        <v>36</v>
      </c>
    </row>
    <row r="667" spans="11:12" x14ac:dyDescent="0.4">
      <c r="K667" s="40">
        <v>665</v>
      </c>
      <c r="L667" s="105">
        <v>-20.5</v>
      </c>
    </row>
    <row r="668" spans="11:12" x14ac:dyDescent="0.4">
      <c r="K668" s="40">
        <v>666</v>
      </c>
      <c r="L668" s="105">
        <v>-15.5</v>
      </c>
    </row>
    <row r="669" spans="11:12" x14ac:dyDescent="0.4">
      <c r="K669" s="40">
        <v>667</v>
      </c>
      <c r="L669" s="105">
        <v>36.700000000000003</v>
      </c>
    </row>
    <row r="670" spans="11:12" x14ac:dyDescent="0.4">
      <c r="K670" s="40">
        <v>668</v>
      </c>
      <c r="L670" s="105">
        <v>-37</v>
      </c>
    </row>
    <row r="671" spans="11:12" x14ac:dyDescent="0.4">
      <c r="K671" s="40">
        <v>669</v>
      </c>
      <c r="L671" s="105">
        <v>0.3</v>
      </c>
    </row>
    <row r="672" spans="11:12" x14ac:dyDescent="0.4">
      <c r="K672" s="40">
        <v>670</v>
      </c>
      <c r="L672" s="105">
        <v>12.4</v>
      </c>
    </row>
    <row r="673" spans="11:12" x14ac:dyDescent="0.4">
      <c r="K673" s="40">
        <v>671</v>
      </c>
      <c r="L673" s="105">
        <v>-16.600000000000001</v>
      </c>
    </row>
    <row r="674" spans="11:12" x14ac:dyDescent="0.4">
      <c r="K674" s="40">
        <v>672</v>
      </c>
      <c r="L674" s="105">
        <v>4.2</v>
      </c>
    </row>
    <row r="675" spans="11:12" x14ac:dyDescent="0.4">
      <c r="K675" s="40">
        <v>673</v>
      </c>
      <c r="L675" s="105">
        <v>14</v>
      </c>
    </row>
    <row r="676" spans="11:12" x14ac:dyDescent="0.4">
      <c r="K676" s="40">
        <v>674</v>
      </c>
      <c r="L676" s="105">
        <v>27.4</v>
      </c>
    </row>
    <row r="677" spans="11:12" x14ac:dyDescent="0.4">
      <c r="K677" s="40">
        <v>675</v>
      </c>
      <c r="L677" s="105">
        <v>-41.4</v>
      </c>
    </row>
    <row r="678" spans="11:12" x14ac:dyDescent="0.4">
      <c r="K678" s="40">
        <v>676</v>
      </c>
      <c r="L678" s="105">
        <v>6.8</v>
      </c>
    </row>
    <row r="679" spans="11:12" x14ac:dyDescent="0.4">
      <c r="K679" s="40">
        <v>677</v>
      </c>
      <c r="L679" s="105">
        <v>27.7</v>
      </c>
    </row>
    <row r="680" spans="11:12" x14ac:dyDescent="0.4">
      <c r="K680" s="40">
        <v>678</v>
      </c>
      <c r="L680" s="105">
        <v>-34.5</v>
      </c>
    </row>
    <row r="681" spans="11:12" x14ac:dyDescent="0.4">
      <c r="K681" s="40">
        <v>679</v>
      </c>
      <c r="L681" s="105">
        <v>-7.6</v>
      </c>
    </row>
    <row r="682" spans="11:12" x14ac:dyDescent="0.4">
      <c r="K682" s="40">
        <v>680</v>
      </c>
      <c r="L682" s="105">
        <v>-2</v>
      </c>
    </row>
    <row r="683" spans="11:12" x14ac:dyDescent="0.4">
      <c r="K683" s="40">
        <v>681</v>
      </c>
      <c r="L683" s="105">
        <v>9.6</v>
      </c>
    </row>
    <row r="684" spans="11:12" x14ac:dyDescent="0.4">
      <c r="K684" s="40">
        <v>682</v>
      </c>
      <c r="L684" s="105">
        <v>26.2</v>
      </c>
    </row>
    <row r="685" spans="11:12" x14ac:dyDescent="0.4">
      <c r="K685" s="40">
        <v>683</v>
      </c>
      <c r="L685" s="105">
        <v>-28.4</v>
      </c>
    </row>
    <row r="686" spans="11:12" x14ac:dyDescent="0.4">
      <c r="K686" s="40">
        <v>684</v>
      </c>
      <c r="L686" s="105">
        <v>2.2000000000000002</v>
      </c>
    </row>
    <row r="687" spans="11:12" x14ac:dyDescent="0.4">
      <c r="K687" s="40">
        <v>685</v>
      </c>
      <c r="L687" s="105">
        <v>13.7</v>
      </c>
    </row>
    <row r="688" spans="11:12" x14ac:dyDescent="0.4">
      <c r="K688" s="40">
        <v>686</v>
      </c>
      <c r="L688" s="105">
        <v>-13.8</v>
      </c>
    </row>
    <row r="689" spans="11:12" x14ac:dyDescent="0.4">
      <c r="K689" s="40">
        <v>687</v>
      </c>
      <c r="L689" s="105">
        <v>0.1</v>
      </c>
    </row>
    <row r="690" spans="11:12" x14ac:dyDescent="0.4">
      <c r="K690" s="40">
        <v>688</v>
      </c>
      <c r="L690" s="105">
        <v>0.3</v>
      </c>
    </row>
    <row r="691" spans="11:12" x14ac:dyDescent="0.4">
      <c r="K691" s="40">
        <v>689</v>
      </c>
      <c r="L691" s="105">
        <v>-16.899999999999999</v>
      </c>
    </row>
    <row r="692" spans="11:12" x14ac:dyDescent="0.4">
      <c r="K692" s="40">
        <v>690</v>
      </c>
      <c r="L692" s="105">
        <v>16.600000000000001</v>
      </c>
    </row>
    <row r="693" spans="11:12" x14ac:dyDescent="0.4">
      <c r="K693" s="40">
        <v>691</v>
      </c>
      <c r="L693" s="105">
        <v>-5.4</v>
      </c>
    </row>
    <row r="694" spans="11:12" x14ac:dyDescent="0.4">
      <c r="K694" s="40">
        <v>692</v>
      </c>
      <c r="L694" s="105">
        <v>-25.4</v>
      </c>
    </row>
    <row r="695" spans="11:12" x14ac:dyDescent="0.4">
      <c r="K695" s="40">
        <v>693</v>
      </c>
      <c r="L695" s="105">
        <v>30.8</v>
      </c>
    </row>
    <row r="696" spans="11:12" x14ac:dyDescent="0.4">
      <c r="K696" s="40">
        <v>694</v>
      </c>
      <c r="L696" s="105">
        <v>-43.2</v>
      </c>
    </row>
    <row r="697" spans="11:12" x14ac:dyDescent="0.4">
      <c r="K697" s="40">
        <v>695</v>
      </c>
      <c r="L697" s="105">
        <v>-20.5</v>
      </c>
    </row>
    <row r="698" spans="11:12" x14ac:dyDescent="0.4">
      <c r="K698" s="40">
        <v>696</v>
      </c>
      <c r="L698" s="105">
        <v>63.7</v>
      </c>
    </row>
    <row r="699" spans="11:12" x14ac:dyDescent="0.4">
      <c r="K699" s="40">
        <v>697</v>
      </c>
      <c r="L699" s="105">
        <v>18.2</v>
      </c>
    </row>
    <row r="700" spans="11:12" x14ac:dyDescent="0.4">
      <c r="K700" s="40">
        <v>698</v>
      </c>
      <c r="L700" s="105">
        <v>-30.7</v>
      </c>
    </row>
    <row r="701" spans="11:12" x14ac:dyDescent="0.4">
      <c r="K701" s="40">
        <v>699</v>
      </c>
      <c r="L701" s="105">
        <v>12.5</v>
      </c>
    </row>
    <row r="702" spans="11:12" x14ac:dyDescent="0.4">
      <c r="K702" s="40">
        <v>700</v>
      </c>
      <c r="L702" s="105">
        <v>22.8</v>
      </c>
    </row>
    <row r="703" spans="11:12" x14ac:dyDescent="0.4">
      <c r="K703" s="40">
        <v>701</v>
      </c>
      <c r="L703" s="105">
        <v>-40</v>
      </c>
    </row>
    <row r="704" spans="11:12" x14ac:dyDescent="0.4">
      <c r="K704" s="40">
        <v>702</v>
      </c>
      <c r="L704" s="105">
        <v>17.2</v>
      </c>
    </row>
    <row r="705" spans="11:12" x14ac:dyDescent="0.4">
      <c r="K705" s="40">
        <v>703</v>
      </c>
      <c r="L705" s="105">
        <v>8.1</v>
      </c>
    </row>
    <row r="706" spans="11:12" x14ac:dyDescent="0.4">
      <c r="K706" s="40">
        <v>704</v>
      </c>
      <c r="L706" s="105">
        <v>22.5</v>
      </c>
    </row>
    <row r="707" spans="11:12" x14ac:dyDescent="0.4">
      <c r="K707" s="40">
        <v>705</v>
      </c>
      <c r="L707" s="105">
        <v>-30.6</v>
      </c>
    </row>
    <row r="708" spans="11:12" x14ac:dyDescent="0.4">
      <c r="K708" s="40">
        <v>706</v>
      </c>
      <c r="L708" s="105">
        <v>5</v>
      </c>
    </row>
    <row r="709" spans="11:12" x14ac:dyDescent="0.4">
      <c r="K709" s="40">
        <v>707</v>
      </c>
      <c r="L709" s="105">
        <v>-28.8</v>
      </c>
    </row>
    <row r="710" spans="11:12" x14ac:dyDescent="0.4">
      <c r="K710" s="40">
        <v>708</v>
      </c>
      <c r="L710" s="105">
        <v>23.8</v>
      </c>
    </row>
    <row r="711" spans="11:12" x14ac:dyDescent="0.4">
      <c r="K711" s="40">
        <v>709</v>
      </c>
      <c r="L711" s="105">
        <v>-39</v>
      </c>
    </row>
    <row r="712" spans="11:12" x14ac:dyDescent="0.4">
      <c r="K712" s="40">
        <v>710</v>
      </c>
      <c r="L712" s="105">
        <v>15.5</v>
      </c>
    </row>
    <row r="713" spans="11:12" x14ac:dyDescent="0.4">
      <c r="K713" s="40">
        <v>711</v>
      </c>
      <c r="L713" s="105">
        <v>23.5</v>
      </c>
    </row>
    <row r="714" spans="11:12" x14ac:dyDescent="0.4">
      <c r="K714" s="40">
        <v>712</v>
      </c>
      <c r="L714" s="105">
        <v>7.5</v>
      </c>
    </row>
    <row r="715" spans="11:12" x14ac:dyDescent="0.4">
      <c r="K715" s="40">
        <v>713</v>
      </c>
      <c r="L715" s="105">
        <v>43</v>
      </c>
    </row>
    <row r="716" spans="11:12" x14ac:dyDescent="0.4">
      <c r="K716" s="40">
        <v>714</v>
      </c>
      <c r="L716" s="105">
        <v>-50.5</v>
      </c>
    </row>
    <row r="717" spans="11:12" x14ac:dyDescent="0.4">
      <c r="K717" s="40">
        <v>715</v>
      </c>
      <c r="L717" s="105">
        <v>17.8</v>
      </c>
    </row>
    <row r="718" spans="11:12" x14ac:dyDescent="0.4">
      <c r="K718" s="40">
        <v>716</v>
      </c>
      <c r="L718" s="105">
        <v>-19.600000000000001</v>
      </c>
    </row>
    <row r="719" spans="11:12" x14ac:dyDescent="0.4">
      <c r="K719" s="40">
        <v>717</v>
      </c>
      <c r="L719" s="105">
        <v>1.8</v>
      </c>
    </row>
    <row r="720" spans="11:12" x14ac:dyDescent="0.4">
      <c r="K720" s="40">
        <v>718</v>
      </c>
      <c r="L720" s="105">
        <v>8.1999999999999993</v>
      </c>
    </row>
    <row r="721" spans="11:12" x14ac:dyDescent="0.4">
      <c r="K721" s="40">
        <v>719</v>
      </c>
      <c r="L721" s="105">
        <v>-21.8</v>
      </c>
    </row>
    <row r="722" spans="11:12" x14ac:dyDescent="0.4">
      <c r="K722" s="40">
        <v>720</v>
      </c>
      <c r="L722" s="105">
        <v>13.6</v>
      </c>
    </row>
    <row r="723" spans="11:12" x14ac:dyDescent="0.4">
      <c r="K723" s="40">
        <v>721</v>
      </c>
      <c r="L723" s="105">
        <v>13</v>
      </c>
    </row>
    <row r="724" spans="11:12" x14ac:dyDescent="0.4">
      <c r="K724" s="40">
        <v>722</v>
      </c>
      <c r="L724" s="105">
        <v>2.1</v>
      </c>
    </row>
    <row r="725" spans="11:12" x14ac:dyDescent="0.4">
      <c r="K725" s="40">
        <v>723</v>
      </c>
      <c r="L725" s="105">
        <v>-15.1</v>
      </c>
    </row>
    <row r="726" spans="11:12" x14ac:dyDescent="0.4">
      <c r="K726" s="40">
        <v>724</v>
      </c>
      <c r="L726" s="105">
        <v>-39.1</v>
      </c>
    </row>
    <row r="727" spans="11:12" x14ac:dyDescent="0.4">
      <c r="K727" s="40">
        <v>725</v>
      </c>
      <c r="L727" s="105">
        <v>-12.2</v>
      </c>
    </row>
    <row r="728" spans="11:12" x14ac:dyDescent="0.4">
      <c r="K728" s="40">
        <v>726</v>
      </c>
      <c r="L728" s="105">
        <v>51.3</v>
      </c>
    </row>
    <row r="729" spans="11:12" x14ac:dyDescent="0.4">
      <c r="K729" s="40">
        <v>727</v>
      </c>
      <c r="L729" s="105">
        <v>36.9</v>
      </c>
    </row>
    <row r="730" spans="11:12" x14ac:dyDescent="0.4">
      <c r="K730" s="40">
        <v>728</v>
      </c>
      <c r="L730" s="105">
        <v>-11.8</v>
      </c>
    </row>
    <row r="731" spans="11:12" x14ac:dyDescent="0.4">
      <c r="K731" s="40">
        <v>729</v>
      </c>
      <c r="L731" s="105">
        <v>-25.1</v>
      </c>
    </row>
    <row r="732" spans="11:12" x14ac:dyDescent="0.4">
      <c r="K732" s="40">
        <v>730</v>
      </c>
      <c r="L732" s="105">
        <v>11</v>
      </c>
    </row>
    <row r="733" spans="11:12" x14ac:dyDescent="0.4">
      <c r="K733" s="40">
        <v>731</v>
      </c>
      <c r="L733" s="105">
        <v>-11.5</v>
      </c>
    </row>
    <row r="734" spans="11:12" x14ac:dyDescent="0.4">
      <c r="K734" s="40">
        <v>732</v>
      </c>
      <c r="L734" s="105">
        <v>0.5</v>
      </c>
    </row>
    <row r="735" spans="11:12" x14ac:dyDescent="0.4">
      <c r="K735" s="40">
        <v>733</v>
      </c>
      <c r="L735" s="105">
        <v>-37</v>
      </c>
    </row>
    <row r="736" spans="11:12" x14ac:dyDescent="0.4">
      <c r="K736" s="40">
        <v>734</v>
      </c>
      <c r="L736" s="105">
        <v>4</v>
      </c>
    </row>
    <row r="737" spans="11:12" x14ac:dyDescent="0.4">
      <c r="K737" s="40">
        <v>735</v>
      </c>
      <c r="L737" s="105">
        <v>33</v>
      </c>
    </row>
    <row r="738" spans="11:12" x14ac:dyDescent="0.4">
      <c r="K738" s="40">
        <v>736</v>
      </c>
      <c r="L738" s="105">
        <v>10.3</v>
      </c>
    </row>
    <row r="739" spans="11:12" x14ac:dyDescent="0.4">
      <c r="K739" s="40">
        <v>737</v>
      </c>
      <c r="L739" s="105">
        <v>-0.3</v>
      </c>
    </row>
    <row r="740" spans="11:12" x14ac:dyDescent="0.4">
      <c r="K740" s="40">
        <v>738</v>
      </c>
      <c r="L740" s="105">
        <v>-10</v>
      </c>
    </row>
    <row r="741" spans="11:12" x14ac:dyDescent="0.4">
      <c r="K741" s="40">
        <v>739</v>
      </c>
      <c r="L741" s="105">
        <v>10.1</v>
      </c>
    </row>
    <row r="742" spans="11:12" x14ac:dyDescent="0.4">
      <c r="K742" s="40">
        <v>740</v>
      </c>
      <c r="L742" s="105">
        <v>24.1</v>
      </c>
    </row>
    <row r="743" spans="11:12" x14ac:dyDescent="0.4">
      <c r="K743" s="40">
        <v>741</v>
      </c>
      <c r="L743" s="105">
        <v>-34.200000000000003</v>
      </c>
    </row>
    <row r="744" spans="11:12" x14ac:dyDescent="0.4">
      <c r="K744" s="40">
        <v>742</v>
      </c>
      <c r="L744" s="105">
        <v>21.7</v>
      </c>
    </row>
    <row r="745" spans="11:12" x14ac:dyDescent="0.4">
      <c r="K745" s="40">
        <v>743</v>
      </c>
      <c r="L745" s="105">
        <v>24.5</v>
      </c>
    </row>
    <row r="746" spans="11:12" x14ac:dyDescent="0.4">
      <c r="K746" s="40">
        <v>744</v>
      </c>
      <c r="L746" s="105">
        <v>-46.2</v>
      </c>
    </row>
    <row r="747" spans="11:12" x14ac:dyDescent="0.4">
      <c r="K747" s="40">
        <v>745</v>
      </c>
      <c r="L747" s="105">
        <v>-40.4</v>
      </c>
    </row>
    <row r="748" spans="11:12" x14ac:dyDescent="0.4">
      <c r="K748" s="40">
        <v>746</v>
      </c>
      <c r="L748" s="105">
        <v>41.3</v>
      </c>
    </row>
    <row r="749" spans="11:12" x14ac:dyDescent="0.4">
      <c r="K749" s="40">
        <v>747</v>
      </c>
      <c r="L749" s="105">
        <v>-0.9</v>
      </c>
    </row>
    <row r="750" spans="11:12" x14ac:dyDescent="0.4">
      <c r="K750" s="40">
        <v>748</v>
      </c>
      <c r="L750" s="105">
        <v>5.6</v>
      </c>
    </row>
    <row r="751" spans="11:12" x14ac:dyDescent="0.4">
      <c r="K751" s="40">
        <v>749</v>
      </c>
      <c r="L751" s="105">
        <v>11.4</v>
      </c>
    </row>
    <row r="752" spans="11:12" x14ac:dyDescent="0.4">
      <c r="K752" s="40">
        <v>750</v>
      </c>
      <c r="L752" s="105">
        <v>-17</v>
      </c>
    </row>
    <row r="753" spans="11:12" x14ac:dyDescent="0.4">
      <c r="K753" s="40">
        <v>751</v>
      </c>
      <c r="L753" s="105">
        <v>-49</v>
      </c>
    </row>
    <row r="754" spans="11:12" x14ac:dyDescent="0.4">
      <c r="K754" s="40">
        <v>752</v>
      </c>
      <c r="L754" s="105">
        <v>16.5</v>
      </c>
    </row>
    <row r="755" spans="11:12" x14ac:dyDescent="0.4">
      <c r="K755" s="40">
        <v>753</v>
      </c>
      <c r="L755" s="105">
        <v>32.5</v>
      </c>
    </row>
    <row r="756" spans="11:12" x14ac:dyDescent="0.4">
      <c r="K756" s="40">
        <v>754</v>
      </c>
      <c r="L756" s="105">
        <v>52.1</v>
      </c>
    </row>
    <row r="757" spans="11:12" x14ac:dyDescent="0.4">
      <c r="K757" s="40">
        <v>755</v>
      </c>
      <c r="L757" s="105">
        <v>-15.4</v>
      </c>
    </row>
    <row r="758" spans="11:12" x14ac:dyDescent="0.4">
      <c r="K758" s="40">
        <v>756</v>
      </c>
      <c r="L758" s="105">
        <v>-36.700000000000003</v>
      </c>
    </row>
    <row r="759" spans="11:12" x14ac:dyDescent="0.4">
      <c r="K759" s="40">
        <v>757</v>
      </c>
      <c r="L759" s="105">
        <v>4.5</v>
      </c>
    </row>
    <row r="760" spans="11:12" x14ac:dyDescent="0.4">
      <c r="K760" s="40">
        <v>758</v>
      </c>
      <c r="L760" s="105">
        <v>42.5</v>
      </c>
    </row>
    <row r="761" spans="11:12" x14ac:dyDescent="0.4">
      <c r="K761" s="40">
        <v>759</v>
      </c>
      <c r="L761" s="105">
        <v>-47</v>
      </c>
    </row>
    <row r="762" spans="11:12" x14ac:dyDescent="0.4">
      <c r="K762" s="40">
        <v>760</v>
      </c>
      <c r="L762" s="105">
        <v>-15</v>
      </c>
    </row>
    <row r="763" spans="11:12" x14ac:dyDescent="0.4">
      <c r="K763" s="40">
        <v>761</v>
      </c>
      <c r="L763" s="105">
        <v>-43.2</v>
      </c>
    </row>
    <row r="764" spans="11:12" x14ac:dyDescent="0.4">
      <c r="K764" s="40">
        <v>762</v>
      </c>
      <c r="L764" s="105">
        <v>58.2</v>
      </c>
    </row>
    <row r="765" spans="11:12" x14ac:dyDescent="0.4">
      <c r="K765" s="40">
        <v>763</v>
      </c>
      <c r="L765" s="105">
        <v>7.8</v>
      </c>
    </row>
    <row r="766" spans="11:12" x14ac:dyDescent="0.4">
      <c r="K766" s="40">
        <v>764</v>
      </c>
      <c r="L766" s="105">
        <v>9</v>
      </c>
    </row>
    <row r="767" spans="11:12" x14ac:dyDescent="0.4">
      <c r="K767" s="40">
        <v>765</v>
      </c>
      <c r="L767" s="105">
        <v>-16.8</v>
      </c>
    </row>
    <row r="768" spans="11:12" x14ac:dyDescent="0.4">
      <c r="K768" s="40">
        <v>766</v>
      </c>
      <c r="L768" s="105">
        <v>18.600000000000001</v>
      </c>
    </row>
    <row r="769" spans="11:12" x14ac:dyDescent="0.4">
      <c r="K769" s="40">
        <v>767</v>
      </c>
      <c r="L769" s="105">
        <v>-2</v>
      </c>
    </row>
    <row r="770" spans="11:12" x14ac:dyDescent="0.4">
      <c r="K770" s="40">
        <v>768</v>
      </c>
      <c r="L770" s="105">
        <v>-16.600000000000001</v>
      </c>
    </row>
    <row r="771" spans="11:12" x14ac:dyDescent="0.4">
      <c r="K771" s="40">
        <v>769</v>
      </c>
      <c r="L771" s="105">
        <v>6.2</v>
      </c>
    </row>
    <row r="772" spans="11:12" x14ac:dyDescent="0.4">
      <c r="K772" s="40">
        <v>770</v>
      </c>
      <c r="L772" s="105">
        <v>4.5</v>
      </c>
    </row>
    <row r="773" spans="11:12" x14ac:dyDescent="0.4">
      <c r="K773" s="40">
        <v>771</v>
      </c>
      <c r="L773" s="105">
        <v>-10.7</v>
      </c>
    </row>
    <row r="774" spans="11:12" x14ac:dyDescent="0.4">
      <c r="K774" s="40">
        <v>772</v>
      </c>
      <c r="L774" s="105">
        <v>12.6</v>
      </c>
    </row>
    <row r="775" spans="11:12" x14ac:dyDescent="0.4">
      <c r="K775" s="40">
        <v>773</v>
      </c>
      <c r="L775" s="105">
        <v>0.8</v>
      </c>
    </row>
    <row r="776" spans="11:12" x14ac:dyDescent="0.4">
      <c r="K776" s="40">
        <v>774</v>
      </c>
      <c r="L776" s="105">
        <v>-13.4</v>
      </c>
    </row>
    <row r="777" spans="11:12" x14ac:dyDescent="0.4">
      <c r="K777" s="40">
        <v>775</v>
      </c>
      <c r="L777" s="105">
        <v>4</v>
      </c>
    </row>
    <row r="778" spans="11:12" x14ac:dyDescent="0.4">
      <c r="K778" s="40">
        <v>776</v>
      </c>
      <c r="L778" s="105">
        <v>-37.299999999999997</v>
      </c>
    </row>
    <row r="779" spans="11:12" x14ac:dyDescent="0.4">
      <c r="K779" s="40">
        <v>777</v>
      </c>
      <c r="L779" s="105">
        <v>33.299999999999997</v>
      </c>
    </row>
    <row r="780" spans="11:12" x14ac:dyDescent="0.4">
      <c r="K780" s="40">
        <v>778</v>
      </c>
      <c r="L780" s="105">
        <v>35</v>
      </c>
    </row>
    <row r="781" spans="11:12" x14ac:dyDescent="0.4">
      <c r="K781" s="40">
        <v>779</v>
      </c>
      <c r="L781" s="105">
        <v>-35.5</v>
      </c>
    </row>
    <row r="782" spans="11:12" x14ac:dyDescent="0.4">
      <c r="K782" s="40">
        <v>780</v>
      </c>
      <c r="L782" s="105">
        <v>0.5</v>
      </c>
    </row>
    <row r="783" spans="11:12" x14ac:dyDescent="0.4">
      <c r="K783" s="40">
        <v>781</v>
      </c>
      <c r="L783" s="105">
        <v>13.4</v>
      </c>
    </row>
    <row r="784" spans="11:12" x14ac:dyDescent="0.4">
      <c r="K784" s="40">
        <v>782</v>
      </c>
      <c r="L784" s="105">
        <v>9</v>
      </c>
    </row>
    <row r="785" spans="11:12" x14ac:dyDescent="0.4">
      <c r="K785" s="40">
        <v>783</v>
      </c>
      <c r="L785" s="105">
        <v>-22.4</v>
      </c>
    </row>
    <row r="786" spans="11:12" x14ac:dyDescent="0.4">
      <c r="K786" s="40">
        <v>784</v>
      </c>
      <c r="L786" s="105">
        <v>6.1</v>
      </c>
    </row>
    <row r="787" spans="11:12" x14ac:dyDescent="0.4">
      <c r="K787" s="40">
        <v>785</v>
      </c>
      <c r="L787" s="105">
        <v>-5.3</v>
      </c>
    </row>
    <row r="788" spans="11:12" x14ac:dyDescent="0.4">
      <c r="K788" s="40">
        <v>786</v>
      </c>
      <c r="L788" s="105">
        <v>-0.8</v>
      </c>
    </row>
    <row r="789" spans="11:12" x14ac:dyDescent="0.4">
      <c r="K789" s="40">
        <v>787</v>
      </c>
      <c r="L789" s="105">
        <v>66.7</v>
      </c>
    </row>
    <row r="790" spans="11:12" x14ac:dyDescent="0.4">
      <c r="K790" s="40">
        <v>788</v>
      </c>
      <c r="L790" s="105">
        <v>-58.9</v>
      </c>
    </row>
    <row r="791" spans="11:12" x14ac:dyDescent="0.4">
      <c r="K791" s="40">
        <v>789</v>
      </c>
      <c r="L791" s="105">
        <v>-7.8</v>
      </c>
    </row>
    <row r="792" spans="11:12" x14ac:dyDescent="0.4">
      <c r="K792" s="40">
        <v>790</v>
      </c>
      <c r="L792" s="105">
        <v>-38.1</v>
      </c>
    </row>
    <row r="793" spans="11:12" x14ac:dyDescent="0.4">
      <c r="K793" s="40">
        <v>791</v>
      </c>
      <c r="L793" s="105">
        <v>40.700000000000003</v>
      </c>
    </row>
    <row r="794" spans="11:12" x14ac:dyDescent="0.4">
      <c r="K794" s="40">
        <v>792</v>
      </c>
      <c r="L794" s="105">
        <v>-2.6</v>
      </c>
    </row>
    <row r="795" spans="11:12" x14ac:dyDescent="0.4">
      <c r="K795" s="40">
        <v>793</v>
      </c>
      <c r="L795" s="105">
        <v>23</v>
      </c>
    </row>
    <row r="796" spans="11:12" x14ac:dyDescent="0.4">
      <c r="K796" s="40">
        <v>794</v>
      </c>
      <c r="L796" s="105">
        <v>-8.5</v>
      </c>
    </row>
    <row r="797" spans="11:12" x14ac:dyDescent="0.4">
      <c r="K797" s="40">
        <v>795</v>
      </c>
      <c r="L797" s="105">
        <v>-14.5</v>
      </c>
    </row>
    <row r="798" spans="11:12" x14ac:dyDescent="0.4">
      <c r="K798" s="40">
        <v>796</v>
      </c>
      <c r="L798" s="105">
        <v>9.5</v>
      </c>
    </row>
    <row r="799" spans="11:12" x14ac:dyDescent="0.4">
      <c r="K799" s="40">
        <v>797</v>
      </c>
      <c r="L799" s="105">
        <v>-11.3</v>
      </c>
    </row>
    <row r="800" spans="11:12" x14ac:dyDescent="0.4">
      <c r="K800" s="40">
        <v>798</v>
      </c>
      <c r="L800" s="105">
        <v>1.8</v>
      </c>
    </row>
    <row r="801" spans="11:12" x14ac:dyDescent="0.4">
      <c r="K801" s="40">
        <v>799</v>
      </c>
      <c r="L801" s="105">
        <v>5</v>
      </c>
    </row>
    <row r="802" spans="11:12" x14ac:dyDescent="0.4">
      <c r="K802" s="40">
        <v>800</v>
      </c>
      <c r="L802" s="105">
        <v>0.7</v>
      </c>
    </row>
    <row r="803" spans="11:12" x14ac:dyDescent="0.4">
      <c r="K803" s="40">
        <v>801</v>
      </c>
      <c r="L803" s="105">
        <v>-5.7</v>
      </c>
    </row>
    <row r="804" spans="11:12" x14ac:dyDescent="0.4">
      <c r="K804" s="40">
        <v>802</v>
      </c>
      <c r="L804" s="105">
        <v>7.8</v>
      </c>
    </row>
    <row r="805" spans="11:12" x14ac:dyDescent="0.4">
      <c r="K805" s="40">
        <v>803</v>
      </c>
      <c r="L805" s="105">
        <v>-39.5</v>
      </c>
    </row>
    <row r="806" spans="11:12" x14ac:dyDescent="0.4">
      <c r="K806" s="40">
        <v>804</v>
      </c>
      <c r="L806" s="105">
        <v>31.7</v>
      </c>
    </row>
    <row r="807" spans="11:12" x14ac:dyDescent="0.4">
      <c r="K807" s="40">
        <v>805</v>
      </c>
      <c r="L807" s="105">
        <v>42.3</v>
      </c>
    </row>
    <row r="808" spans="11:12" x14ac:dyDescent="0.4">
      <c r="K808" s="40">
        <v>806</v>
      </c>
      <c r="L808" s="105">
        <v>-45.3</v>
      </c>
    </row>
    <row r="809" spans="11:12" x14ac:dyDescent="0.4">
      <c r="K809" s="40">
        <v>807</v>
      </c>
      <c r="L809" s="105">
        <v>3</v>
      </c>
    </row>
    <row r="810" spans="11:12" x14ac:dyDescent="0.4">
      <c r="K810" s="40">
        <v>808</v>
      </c>
      <c r="L810" s="105">
        <v>40.700000000000003</v>
      </c>
    </row>
    <row r="811" spans="11:12" x14ac:dyDescent="0.4">
      <c r="K811" s="40">
        <v>809</v>
      </c>
      <c r="L811" s="105">
        <v>-27.7</v>
      </c>
    </row>
    <row r="812" spans="11:12" x14ac:dyDescent="0.4">
      <c r="K812" s="40">
        <v>810</v>
      </c>
      <c r="L812" s="105">
        <v>-13</v>
      </c>
    </row>
    <row r="813" spans="11:12" x14ac:dyDescent="0.4">
      <c r="K813" s="40">
        <v>811</v>
      </c>
      <c r="L813" s="105">
        <v>0.1</v>
      </c>
    </row>
    <row r="814" spans="11:12" x14ac:dyDescent="0.4">
      <c r="K814" s="40">
        <v>812</v>
      </c>
      <c r="L814" s="105">
        <v>8.5</v>
      </c>
    </row>
    <row r="815" spans="11:12" x14ac:dyDescent="0.4">
      <c r="K815" s="40">
        <v>813</v>
      </c>
      <c r="L815" s="105">
        <v>-8.6</v>
      </c>
    </row>
    <row r="816" spans="11:12" x14ac:dyDescent="0.4">
      <c r="K816" s="40">
        <v>814</v>
      </c>
      <c r="L816" s="105">
        <v>12.2</v>
      </c>
    </row>
    <row r="817" spans="11:12" x14ac:dyDescent="0.4">
      <c r="K817" s="40">
        <v>815</v>
      </c>
      <c r="L817" s="105">
        <v>4.7</v>
      </c>
    </row>
    <row r="818" spans="11:12" x14ac:dyDescent="0.4">
      <c r="K818" s="40">
        <v>816</v>
      </c>
      <c r="L818" s="105">
        <v>-16.899999999999999</v>
      </c>
    </row>
    <row r="819" spans="11:12" x14ac:dyDescent="0.4">
      <c r="K819" s="40">
        <v>817</v>
      </c>
      <c r="L819" s="105">
        <v>9.5</v>
      </c>
    </row>
    <row r="820" spans="11:12" x14ac:dyDescent="0.4">
      <c r="K820" s="40">
        <v>818</v>
      </c>
      <c r="L820" s="105">
        <v>-10.6</v>
      </c>
    </row>
    <row r="821" spans="11:12" x14ac:dyDescent="0.4">
      <c r="K821" s="40">
        <v>819</v>
      </c>
      <c r="L821" s="105">
        <v>1.1000000000000001</v>
      </c>
    </row>
    <row r="822" spans="11:12" x14ac:dyDescent="0.4">
      <c r="K822" s="40">
        <v>820</v>
      </c>
      <c r="L822" s="105">
        <v>27.2</v>
      </c>
    </row>
    <row r="823" spans="11:12" x14ac:dyDescent="0.4">
      <c r="K823" s="40">
        <v>821</v>
      </c>
      <c r="L823" s="105">
        <v>5.8</v>
      </c>
    </row>
    <row r="824" spans="11:12" x14ac:dyDescent="0.4">
      <c r="K824" s="40">
        <v>822</v>
      </c>
      <c r="L824" s="105">
        <v>-33</v>
      </c>
    </row>
    <row r="825" spans="11:12" x14ac:dyDescent="0.4">
      <c r="K825" s="40">
        <v>823</v>
      </c>
      <c r="L825" s="105">
        <v>-12.6</v>
      </c>
    </row>
    <row r="826" spans="11:12" x14ac:dyDescent="0.4">
      <c r="K826" s="40">
        <v>824</v>
      </c>
      <c r="L826" s="105">
        <v>20.100000000000001</v>
      </c>
    </row>
    <row r="827" spans="11:12" x14ac:dyDescent="0.4">
      <c r="K827" s="40">
        <v>825</v>
      </c>
      <c r="L827" s="105">
        <v>-7.5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C5700-61E0-4BAB-B28D-B92B1A1E63E4}">
  <sheetPr codeName="Sheet7"/>
  <dimension ref="A1:Q23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133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27.07588709244558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235</v>
      </c>
      <c r="C2" s="149"/>
      <c r="E2" s="64" t="s">
        <v>71</v>
      </c>
      <c r="F2" s="61" t="s">
        <v>25</v>
      </c>
      <c r="G2" s="48">
        <v>406</v>
      </c>
      <c r="H2" s="137">
        <f>IF(B$27=0,0,G2/B$27)</f>
        <v>0.85835095137420714</v>
      </c>
      <c r="I2" s="99">
        <v>9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1416.4502164502164</v>
      </c>
      <c r="P2" s="124">
        <v>231</v>
      </c>
      <c r="Q2" s="108">
        <v>327200</v>
      </c>
    </row>
    <row r="3" spans="1:17" x14ac:dyDescent="0.4">
      <c r="A3" s="57" t="s">
        <v>8</v>
      </c>
      <c r="B3" s="154">
        <v>1778</v>
      </c>
      <c r="C3" s="155"/>
      <c r="E3" s="65" t="s">
        <v>69</v>
      </c>
      <c r="F3" s="62" t="s">
        <v>23</v>
      </c>
      <c r="G3" s="49">
        <v>338</v>
      </c>
      <c r="H3" s="138">
        <f>IF(B$27=0,0,G3/B$27)</f>
        <v>0.71458773784355178</v>
      </c>
      <c r="I3" s="100">
        <v>6</v>
      </c>
      <c r="K3" s="40">
        <v>1</v>
      </c>
      <c r="L3" s="105">
        <v>15</v>
      </c>
      <c r="N3" s="121" t="s">
        <v>148</v>
      </c>
      <c r="O3" s="128">
        <f t="shared" si="0"/>
        <v>390.13452914798205</v>
      </c>
      <c r="P3" s="125">
        <v>223</v>
      </c>
      <c r="Q3" s="109">
        <v>87000</v>
      </c>
    </row>
    <row r="4" spans="1:17" x14ac:dyDescent="0.4">
      <c r="A4" s="57" t="s">
        <v>6</v>
      </c>
      <c r="B4" s="156">
        <v>1576.6999999999998</v>
      </c>
      <c r="C4" s="157"/>
      <c r="E4" s="65" t="s">
        <v>67</v>
      </c>
      <c r="F4" s="62" t="s">
        <v>21</v>
      </c>
      <c r="G4" s="49">
        <v>255</v>
      </c>
      <c r="H4" s="138">
        <f>IF(B$27=0,0,G4/B$27)</f>
        <v>0.53911205073995772</v>
      </c>
      <c r="I4" s="100">
        <v>8</v>
      </c>
      <c r="K4" s="40">
        <v>2</v>
      </c>
      <c r="L4" s="105">
        <v>-1</v>
      </c>
      <c r="N4" s="121" t="s">
        <v>149</v>
      </c>
      <c r="O4" s="128">
        <f t="shared" si="0"/>
        <v>1814.4230769230769</v>
      </c>
      <c r="P4" s="125">
        <v>208</v>
      </c>
      <c r="Q4" s="109">
        <v>377400</v>
      </c>
    </row>
    <row r="5" spans="1:17" x14ac:dyDescent="0.4">
      <c r="A5" s="57" t="s">
        <v>7</v>
      </c>
      <c r="B5" s="158">
        <f>IF(B$2=0,0,B$4/B$2)</f>
        <v>6.7093617021276586</v>
      </c>
      <c r="C5" s="159"/>
      <c r="E5" s="65" t="s">
        <v>76</v>
      </c>
      <c r="F5" s="62" t="s">
        <v>29</v>
      </c>
      <c r="G5" s="49">
        <v>250</v>
      </c>
      <c r="H5" s="138">
        <f>IF(B$27=0,0,G5/B$27)</f>
        <v>0.52854122621564481</v>
      </c>
      <c r="I5" s="100">
        <v>9</v>
      </c>
      <c r="K5" s="40">
        <v>3</v>
      </c>
      <c r="L5" s="105">
        <v>15.1</v>
      </c>
      <c r="N5" s="121" t="s">
        <v>150</v>
      </c>
      <c r="O5" s="128">
        <f t="shared" si="0"/>
        <v>1363.6363636363637</v>
      </c>
      <c r="P5" s="125">
        <v>187</v>
      </c>
      <c r="Q5" s="109">
        <v>255000</v>
      </c>
    </row>
    <row r="6" spans="1:17" x14ac:dyDescent="0.4">
      <c r="A6" s="57" t="s">
        <v>1</v>
      </c>
      <c r="B6" s="146">
        <f>IF(B$2=0,0,(B$7*1+B$8*2+B$9*3)/B$2)</f>
        <v>1.7659574468085106</v>
      </c>
      <c r="C6" s="147"/>
      <c r="E6" s="65" t="s">
        <v>70</v>
      </c>
      <c r="F6" s="62" t="s">
        <v>24</v>
      </c>
      <c r="G6" s="49">
        <v>135</v>
      </c>
      <c r="H6" s="138">
        <f>IF(B$27=0,0,G6/B$27)</f>
        <v>0.28541226215644822</v>
      </c>
      <c r="I6" s="100">
        <v>8</v>
      </c>
      <c r="K6" s="40">
        <v>4</v>
      </c>
      <c r="L6" s="105">
        <v>85.2</v>
      </c>
      <c r="N6" s="121" t="s">
        <v>151</v>
      </c>
      <c r="O6" s="128">
        <f t="shared" si="0"/>
        <v>1636.5853658536585</v>
      </c>
      <c r="P6" s="125">
        <v>164</v>
      </c>
      <c r="Q6" s="109">
        <v>268400</v>
      </c>
    </row>
    <row r="7" spans="1:17" x14ac:dyDescent="0.4">
      <c r="A7" s="57" t="s">
        <v>2</v>
      </c>
      <c r="B7" s="49">
        <v>104</v>
      </c>
      <c r="C7" s="41">
        <f>IF(B$2=0,0,B7/B$2)</f>
        <v>0.44255319148936167</v>
      </c>
      <c r="E7" s="65" t="s">
        <v>72</v>
      </c>
      <c r="F7" s="62" t="s">
        <v>12</v>
      </c>
      <c r="G7" s="49">
        <v>134</v>
      </c>
      <c r="H7" s="138">
        <f>IF(B$27=0,0,G7/B$27)</f>
        <v>0.28329809725158561</v>
      </c>
      <c r="I7" s="100">
        <v>9</v>
      </c>
      <c r="K7" s="40">
        <v>5</v>
      </c>
      <c r="L7" s="105">
        <v>31.5</v>
      </c>
      <c r="N7" s="122" t="s">
        <v>152</v>
      </c>
      <c r="O7" s="129">
        <f t="shared" si="0"/>
        <v>1722.9007633587787</v>
      </c>
      <c r="P7" s="126">
        <v>131</v>
      </c>
      <c r="Q7" s="110">
        <v>225700</v>
      </c>
    </row>
    <row r="8" spans="1:17" x14ac:dyDescent="0.4">
      <c r="A8" s="57" t="s">
        <v>3</v>
      </c>
      <c r="B8" s="49">
        <v>82</v>
      </c>
      <c r="C8" s="41">
        <f>IF(B$2=0,0,B8/B$2)</f>
        <v>0.34893617021276596</v>
      </c>
      <c r="E8" s="65" t="s">
        <v>94</v>
      </c>
      <c r="F8" s="62" t="s">
        <v>47</v>
      </c>
      <c r="G8" s="49">
        <v>83</v>
      </c>
      <c r="H8" s="138">
        <f>IF(B$27=0,0,G8/B$27)</f>
        <v>0.17547568710359407</v>
      </c>
      <c r="I8" s="100">
        <v>4</v>
      </c>
      <c r="K8" s="40">
        <v>6</v>
      </c>
      <c r="L8" s="105">
        <v>-48</v>
      </c>
      <c r="N8" s="45"/>
      <c r="O8" s="133"/>
      <c r="P8" s="117"/>
      <c r="Q8" s="115"/>
    </row>
    <row r="9" spans="1:17" x14ac:dyDescent="0.4">
      <c r="A9" s="58" t="s">
        <v>4</v>
      </c>
      <c r="B9" s="50">
        <v>49</v>
      </c>
      <c r="C9" s="42">
        <f t="shared" ref="C9" si="1">IF(B$2=0,0,B9/B$2)</f>
        <v>0.20851063829787234</v>
      </c>
      <c r="E9" s="65" t="s">
        <v>73</v>
      </c>
      <c r="F9" s="62" t="s">
        <v>26</v>
      </c>
      <c r="G9" s="49">
        <v>74</v>
      </c>
      <c r="H9" s="138">
        <f>IF(B$27=0,0,G9/B$27)</f>
        <v>0.15644820295983086</v>
      </c>
      <c r="I9" s="100">
        <v>4</v>
      </c>
      <c r="K9" s="40">
        <v>7</v>
      </c>
      <c r="L9" s="105">
        <v>-6.1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24</v>
      </c>
      <c r="C10" s="42">
        <f>IF(B$2=0,0,B10/B$2)</f>
        <v>0.10212765957446808</v>
      </c>
      <c r="E10" s="65" t="s">
        <v>68</v>
      </c>
      <c r="F10" s="62" t="s">
        <v>22</v>
      </c>
      <c r="G10" s="49">
        <v>54</v>
      </c>
      <c r="H10" s="138">
        <f>IF(B$27=0,0,G10/B$27)</f>
        <v>0.11416490486257928</v>
      </c>
      <c r="I10" s="100">
        <v>8</v>
      </c>
      <c r="K10" s="40">
        <v>8</v>
      </c>
      <c r="L10" s="105">
        <v>-36</v>
      </c>
      <c r="N10" s="120" t="s">
        <v>253</v>
      </c>
      <c r="O10" s="130">
        <f>IF(P10=0,0,Q10/P10)</f>
        <v>8.4333333333333353</v>
      </c>
      <c r="P10" s="124">
        <v>51</v>
      </c>
      <c r="Q10" s="112">
        <v>430.10000000000014</v>
      </c>
    </row>
    <row r="11" spans="1:17" x14ac:dyDescent="0.4">
      <c r="A11" s="58" t="s">
        <v>155</v>
      </c>
      <c r="B11" s="50">
        <v>45</v>
      </c>
      <c r="C11" s="42">
        <f>IF(B$2=0,0,B11/B$2)</f>
        <v>0.19148936170212766</v>
      </c>
      <c r="E11" s="65" t="s">
        <v>74</v>
      </c>
      <c r="F11" s="62" t="s">
        <v>27</v>
      </c>
      <c r="G11" s="49">
        <v>40</v>
      </c>
      <c r="H11" s="138">
        <f>IF(B$27=0,0,G11/B$27)</f>
        <v>8.4566596194503171E-2</v>
      </c>
      <c r="I11" s="100">
        <v>9</v>
      </c>
      <c r="K11" s="40">
        <v>9</v>
      </c>
      <c r="L11" s="105">
        <v>-41</v>
      </c>
      <c r="N11" s="121" t="s">
        <v>254</v>
      </c>
      <c r="O11" s="131">
        <f>IF(P11=0,0,Q11/P11)</f>
        <v>5.6228571428571428</v>
      </c>
      <c r="P11" s="125">
        <v>70</v>
      </c>
      <c r="Q11" s="113">
        <v>393.6</v>
      </c>
    </row>
    <row r="12" spans="1:17" x14ac:dyDescent="0.4">
      <c r="A12" s="59" t="s">
        <v>239</v>
      </c>
      <c r="B12" s="51">
        <v>24</v>
      </c>
      <c r="C12" s="44">
        <f>IF(B$2=0,0,B12/B$2)</f>
        <v>0.10212765957446808</v>
      </c>
      <c r="E12" s="65" t="s">
        <v>75</v>
      </c>
      <c r="F12" s="62" t="s">
        <v>28</v>
      </c>
      <c r="G12" s="49">
        <v>32</v>
      </c>
      <c r="H12" s="138">
        <f>IF(B$27=0,0,G12/B$27)</f>
        <v>6.765327695560254E-2</v>
      </c>
      <c r="I12" s="100">
        <v>2</v>
      </c>
      <c r="K12" s="40">
        <v>10</v>
      </c>
      <c r="L12" s="105">
        <v>-31.5</v>
      </c>
      <c r="N12" s="122" t="s">
        <v>255</v>
      </c>
      <c r="O12" s="132">
        <f>IF(P12=0,0,Q12/P12)</f>
        <v>6.5351351351351363</v>
      </c>
      <c r="P12" s="126">
        <v>111</v>
      </c>
      <c r="Q12" s="114">
        <v>725.40000000000009</v>
      </c>
    </row>
    <row r="13" spans="1:17" x14ac:dyDescent="0.4">
      <c r="A13" s="60" t="s">
        <v>128</v>
      </c>
      <c r="B13" s="52">
        <v>403</v>
      </c>
      <c r="C13" s="46">
        <f>IF(B$26=0,0,B13/B$26)</f>
        <v>0.30484114977307109</v>
      </c>
      <c r="E13" s="65" t="s">
        <v>91</v>
      </c>
      <c r="F13" s="62" t="s">
        <v>44</v>
      </c>
      <c r="G13" s="49">
        <v>29</v>
      </c>
      <c r="H13" s="138">
        <f>IF(B$27=0,0,G13/B$27)</f>
        <v>6.13107822410148E-2</v>
      </c>
      <c r="I13" s="100">
        <v>9</v>
      </c>
      <c r="K13" s="40">
        <v>11</v>
      </c>
      <c r="L13" s="105">
        <v>18.3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271</v>
      </c>
      <c r="C14" s="41">
        <f>IF(B$26=0,0,B14/B$26)</f>
        <v>0.20499243570347958</v>
      </c>
      <c r="E14" s="65" t="s">
        <v>88</v>
      </c>
      <c r="F14" s="62" t="s">
        <v>41</v>
      </c>
      <c r="G14" s="49">
        <v>13</v>
      </c>
      <c r="H14" s="138">
        <f>IF(B$27=0,0,G14/B$27)</f>
        <v>2.748414376321353E-2</v>
      </c>
      <c r="I14" s="100">
        <v>9</v>
      </c>
      <c r="K14" s="40">
        <v>12</v>
      </c>
      <c r="L14" s="105">
        <v>12.8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257</v>
      </c>
      <c r="C15" s="39">
        <f>IF(B$13=0,0,B15/B$13)</f>
        <v>0.63771712158808935</v>
      </c>
      <c r="E15" s="65" t="s">
        <v>86</v>
      </c>
      <c r="F15" s="62" t="s">
        <v>39</v>
      </c>
      <c r="G15" s="49">
        <v>10</v>
      </c>
      <c r="H15" s="138">
        <f>IF(B$27=0,0,G15/B$27)</f>
        <v>2.1141649048625793E-2</v>
      </c>
      <c r="I15" s="100">
        <v>8</v>
      </c>
      <c r="K15" s="40">
        <v>13</v>
      </c>
      <c r="L15" s="105">
        <v>57</v>
      </c>
      <c r="N15" s="120" t="s">
        <v>171</v>
      </c>
      <c r="O15" s="130">
        <f>IF(P15=0,0,Q15/P15)</f>
        <v>125.9</v>
      </c>
      <c r="P15" s="124">
        <v>1</v>
      </c>
      <c r="Q15" s="112">
        <v>125.9</v>
      </c>
    </row>
    <row r="16" spans="1:17" x14ac:dyDescent="0.4">
      <c r="A16" s="56" t="s">
        <v>131</v>
      </c>
      <c r="B16" s="48">
        <v>133</v>
      </c>
      <c r="C16" s="39">
        <f>IF(B$14=0,0,B16/B$14)</f>
        <v>0.4907749077490775</v>
      </c>
      <c r="E16" s="65" t="s">
        <v>96</v>
      </c>
      <c r="F16" s="62" t="s">
        <v>49</v>
      </c>
      <c r="G16" s="49">
        <v>8</v>
      </c>
      <c r="H16" s="138">
        <f>IF(B$27=0,0,G16/B$27)</f>
        <v>1.6913319238900635E-2</v>
      </c>
      <c r="I16" s="100">
        <v>7</v>
      </c>
      <c r="K16" s="40">
        <v>14</v>
      </c>
      <c r="L16" s="105">
        <v>-44</v>
      </c>
      <c r="N16" s="121" t="s">
        <v>166</v>
      </c>
      <c r="O16" s="131">
        <f>IF(P16=0,0,Q16/P16)</f>
        <v>71.75</v>
      </c>
      <c r="P16" s="125">
        <v>4</v>
      </c>
      <c r="Q16" s="113">
        <v>287</v>
      </c>
    </row>
    <row r="17" spans="1:17" x14ac:dyDescent="0.4">
      <c r="A17" s="56" t="s">
        <v>10</v>
      </c>
      <c r="B17" s="48">
        <f>B19+B18</f>
        <v>629</v>
      </c>
      <c r="C17" s="39">
        <f>IF(B$3=0,0,B17/B$3)</f>
        <v>0.35376827896512936</v>
      </c>
      <c r="E17" s="65" t="s">
        <v>82</v>
      </c>
      <c r="F17" s="62" t="s">
        <v>35</v>
      </c>
      <c r="G17" s="49">
        <v>7</v>
      </c>
      <c r="H17" s="138">
        <f>IF(B$27=0,0,G17/B$27)</f>
        <v>1.4799154334038054E-2</v>
      </c>
      <c r="I17" s="100">
        <v>9</v>
      </c>
      <c r="K17" s="40">
        <v>15</v>
      </c>
      <c r="L17" s="105">
        <v>-37</v>
      </c>
      <c r="N17" s="121" t="s">
        <v>250</v>
      </c>
      <c r="O17" s="131">
        <f>IF(P17=0,0,Q17/P17)</f>
        <v>30.228571428571424</v>
      </c>
      <c r="P17" s="125">
        <v>7</v>
      </c>
      <c r="Q17" s="113">
        <v>211.59999999999997</v>
      </c>
    </row>
    <row r="18" spans="1:17" x14ac:dyDescent="0.4">
      <c r="A18" s="57" t="s">
        <v>12</v>
      </c>
      <c r="B18" s="49">
        <v>236</v>
      </c>
      <c r="C18" s="41">
        <f>IF(B$17=0,0,B18/B$17)</f>
        <v>0.37519872813990462</v>
      </c>
      <c r="E18" s="65" t="s">
        <v>83</v>
      </c>
      <c r="F18" s="62" t="s">
        <v>36</v>
      </c>
      <c r="G18" s="49">
        <v>5</v>
      </c>
      <c r="H18" s="138">
        <f>IF(B$27=0,0,G18/B$27)</f>
        <v>1.0570824524312896E-2</v>
      </c>
      <c r="I18" s="100">
        <v>9</v>
      </c>
      <c r="K18" s="40">
        <v>16</v>
      </c>
      <c r="L18" s="105">
        <v>1.6</v>
      </c>
      <c r="N18" s="121" t="s">
        <v>157</v>
      </c>
      <c r="O18" s="131">
        <f>IF(P18=0,0,Q18/P18)</f>
        <v>27.285714285714285</v>
      </c>
      <c r="P18" s="125">
        <v>21</v>
      </c>
      <c r="Q18" s="113">
        <v>573</v>
      </c>
    </row>
    <row r="19" spans="1:17" x14ac:dyDescent="0.4">
      <c r="A19" s="57" t="s">
        <v>11</v>
      </c>
      <c r="B19" s="49">
        <v>393</v>
      </c>
      <c r="C19" s="41">
        <f>IF(B$17=0,0,B19/B$17)</f>
        <v>0.62480127186009538</v>
      </c>
      <c r="E19" s="65" t="s">
        <v>79</v>
      </c>
      <c r="F19" s="62" t="s">
        <v>32</v>
      </c>
      <c r="G19" s="49">
        <v>4</v>
      </c>
      <c r="H19" s="138">
        <f>IF(B$27=0,0,G19/B$27)</f>
        <v>8.4566596194503175E-3</v>
      </c>
      <c r="I19" s="100">
        <v>3</v>
      </c>
      <c r="K19" s="40">
        <v>17</v>
      </c>
      <c r="L19" s="105">
        <v>-21.4</v>
      </c>
      <c r="N19" s="121" t="s">
        <v>136</v>
      </c>
      <c r="O19" s="131">
        <f>IF(P19=0,0,Q19/P19)</f>
        <v>14.024561403508777</v>
      </c>
      <c r="P19" s="125">
        <v>57</v>
      </c>
      <c r="Q19" s="113">
        <v>799.40000000000032</v>
      </c>
    </row>
    <row r="20" spans="1:17" x14ac:dyDescent="0.4">
      <c r="A20" s="57" t="s">
        <v>13</v>
      </c>
      <c r="B20" s="49">
        <v>251</v>
      </c>
      <c r="C20" s="41">
        <f>IF(B$3=0,0,B20/B$3)</f>
        <v>0.14116985376827895</v>
      </c>
      <c r="E20" s="65" t="s">
        <v>81</v>
      </c>
      <c r="F20" s="62" t="s">
        <v>34</v>
      </c>
      <c r="G20" s="49">
        <v>4</v>
      </c>
      <c r="H20" s="138">
        <f>IF(B$27=0,0,G20/B$27)</f>
        <v>8.4566596194503175E-3</v>
      </c>
      <c r="I20" s="100">
        <v>4</v>
      </c>
      <c r="K20" s="40">
        <v>18</v>
      </c>
      <c r="L20" s="105">
        <v>14.9</v>
      </c>
      <c r="N20" s="121" t="s">
        <v>139</v>
      </c>
      <c r="O20" s="131">
        <f>IF(P20=0,0,Q20/P20)</f>
        <v>11.800000000000004</v>
      </c>
      <c r="P20" s="125">
        <v>97</v>
      </c>
      <c r="Q20" s="113">
        <v>1144.6000000000004</v>
      </c>
    </row>
    <row r="21" spans="1:17" x14ac:dyDescent="0.4">
      <c r="A21" s="57" t="s">
        <v>5</v>
      </c>
      <c r="B21" s="53">
        <f>IF(B$17=0,0,C21/B$17)</f>
        <v>9847.5357710651824</v>
      </c>
      <c r="C21" s="43">
        <v>6194100</v>
      </c>
      <c r="E21" s="65" t="s">
        <v>77</v>
      </c>
      <c r="F21" s="62" t="s">
        <v>30</v>
      </c>
      <c r="G21" s="49">
        <v>3</v>
      </c>
      <c r="H21" s="138">
        <f>IF(B$27=0,0,G21/B$27)</f>
        <v>6.3424947145877377E-3</v>
      </c>
      <c r="I21" s="100">
        <v>5</v>
      </c>
      <c r="K21" s="40">
        <v>19</v>
      </c>
      <c r="L21" s="105">
        <v>57.2</v>
      </c>
      <c r="N21" s="121" t="s">
        <v>138</v>
      </c>
      <c r="O21" s="131">
        <f>IF(P21=0,0,Q21/P21)</f>
        <v>9.1555555555555568</v>
      </c>
      <c r="P21" s="125">
        <v>27</v>
      </c>
      <c r="Q21" s="113">
        <v>247.20000000000005</v>
      </c>
    </row>
    <row r="22" spans="1:17" x14ac:dyDescent="0.4">
      <c r="A22" s="59" t="s">
        <v>14</v>
      </c>
      <c r="B22" s="54">
        <f>IF(B$20=0,0,C22/B$20)</f>
        <v>-9292.0318725099605</v>
      </c>
      <c r="C22" s="47">
        <v>-2332300</v>
      </c>
      <c r="E22" s="65" t="s">
        <v>97</v>
      </c>
      <c r="F22" s="62" t="s">
        <v>50</v>
      </c>
      <c r="G22" s="49">
        <v>3</v>
      </c>
      <c r="H22" s="138">
        <f>IF(B$27=0,0,G22/B$27)</f>
        <v>6.3424947145877377E-3</v>
      </c>
      <c r="I22" s="100">
        <v>4</v>
      </c>
      <c r="K22" s="40">
        <v>20</v>
      </c>
      <c r="L22" s="105">
        <v>26.2</v>
      </c>
      <c r="N22" s="121" t="s">
        <v>134</v>
      </c>
      <c r="O22" s="131">
        <f>IF(P22=0,0,Q22/P22)</f>
        <v>8.5636363636363591</v>
      </c>
      <c r="P22" s="125">
        <v>110</v>
      </c>
      <c r="Q22" s="113">
        <v>941.99999999999955</v>
      </c>
    </row>
    <row r="23" spans="1:17" x14ac:dyDescent="0.4">
      <c r="A23" s="96" t="s">
        <v>158</v>
      </c>
      <c r="B23" s="144">
        <v>10</v>
      </c>
      <c r="C23" s="145"/>
      <c r="E23" s="65" t="s">
        <v>78</v>
      </c>
      <c r="F23" s="62" t="s">
        <v>31</v>
      </c>
      <c r="G23" s="49">
        <v>2</v>
      </c>
      <c r="H23" s="138">
        <f>IF(B$27=0,0,G23/B$27)</f>
        <v>4.2283298097251587E-3</v>
      </c>
      <c r="I23" s="100">
        <v>3</v>
      </c>
      <c r="K23" s="40">
        <v>21</v>
      </c>
      <c r="L23" s="105">
        <v>56.5</v>
      </c>
      <c r="N23" s="121" t="s">
        <v>167</v>
      </c>
      <c r="O23" s="131">
        <f>IF(P23=0,0,Q23/P23)</f>
        <v>8</v>
      </c>
      <c r="P23" s="125">
        <v>1</v>
      </c>
      <c r="Q23" s="113">
        <v>8</v>
      </c>
    </row>
    <row r="24" spans="1:17" x14ac:dyDescent="0.4">
      <c r="A24" s="60" t="s">
        <v>199</v>
      </c>
      <c r="B24" s="142">
        <v>120200</v>
      </c>
      <c r="C24" s="143"/>
      <c r="E24" s="65" t="s">
        <v>92</v>
      </c>
      <c r="F24" s="62" t="s">
        <v>45</v>
      </c>
      <c r="G24" s="49">
        <v>2</v>
      </c>
      <c r="H24" s="138">
        <f>IF(B$27=0,0,G24/B$27)</f>
        <v>4.2283298097251587E-3</v>
      </c>
      <c r="I24" s="100">
        <v>2</v>
      </c>
      <c r="K24" s="40">
        <v>22</v>
      </c>
      <c r="L24" s="105">
        <v>-25.5</v>
      </c>
      <c r="N24" s="121" t="s">
        <v>137</v>
      </c>
      <c r="O24" s="131">
        <f>IF(P24=0,0,Q24/P24)</f>
        <v>3.7720430107526872</v>
      </c>
      <c r="P24" s="125">
        <v>93</v>
      </c>
      <c r="Q24" s="113">
        <v>350.7999999999999</v>
      </c>
    </row>
    <row r="25" spans="1:17" x14ac:dyDescent="0.4">
      <c r="A25" s="59" t="s">
        <v>159</v>
      </c>
      <c r="B25" s="67">
        <v>2</v>
      </c>
      <c r="C25" s="44">
        <f>IF(B$3=0,0,B25/B$3)</f>
        <v>1.1248593925759281E-3</v>
      </c>
      <c r="E25" s="65" t="s">
        <v>90</v>
      </c>
      <c r="F25" s="62" t="s">
        <v>43</v>
      </c>
      <c r="G25" s="49">
        <v>1</v>
      </c>
      <c r="H25" s="138">
        <f>IF(B$27=0,0,G25/B$27)</f>
        <v>2.1141649048625794E-3</v>
      </c>
      <c r="I25" s="100">
        <v>5</v>
      </c>
      <c r="K25" s="40">
        <v>23</v>
      </c>
      <c r="L25" s="105">
        <v>24.7</v>
      </c>
      <c r="N25" s="121" t="s">
        <v>135</v>
      </c>
      <c r="O25" s="131">
        <f>IF(P25=0,0,Q25/P25)</f>
        <v>0.85769230769230687</v>
      </c>
      <c r="P25" s="125">
        <v>52</v>
      </c>
      <c r="Q25" s="113">
        <v>44.599999999999959</v>
      </c>
    </row>
    <row r="26" spans="1:17" x14ac:dyDescent="0.4">
      <c r="A26" s="56" t="s">
        <v>126</v>
      </c>
      <c r="B26" s="148">
        <v>1322</v>
      </c>
      <c r="C26" s="149"/>
      <c r="E26" s="65" t="s">
        <v>95</v>
      </c>
      <c r="F26" s="62" t="s">
        <v>48</v>
      </c>
      <c r="G26" s="49">
        <v>1</v>
      </c>
      <c r="H26" s="138">
        <f>IF(B$27=0,0,G26/B$27)</f>
        <v>2.1141649048625794E-3</v>
      </c>
      <c r="I26" s="100">
        <v>2</v>
      </c>
      <c r="K26" s="40">
        <v>24</v>
      </c>
      <c r="L26" s="105">
        <v>-6.5</v>
      </c>
    </row>
    <row r="27" spans="1:17" x14ac:dyDescent="0.4">
      <c r="A27" s="59" t="s">
        <v>127</v>
      </c>
      <c r="B27" s="150">
        <v>473</v>
      </c>
      <c r="C27" s="151"/>
      <c r="E27" s="65" t="s">
        <v>98</v>
      </c>
      <c r="F27" s="62" t="s">
        <v>51</v>
      </c>
      <c r="G27" s="49">
        <v>1</v>
      </c>
      <c r="H27" s="138">
        <f>IF(B$27=0,0,G27/B$27)</f>
        <v>2.1141649048625794E-3</v>
      </c>
      <c r="I27" s="100">
        <v>5</v>
      </c>
      <c r="K27" s="40">
        <v>25</v>
      </c>
      <c r="L27" s="105">
        <v>-33.700000000000003</v>
      </c>
    </row>
    <row r="28" spans="1:17" x14ac:dyDescent="0.4">
      <c r="E28" s="65" t="s">
        <v>100</v>
      </c>
      <c r="F28" s="62" t="s">
        <v>53</v>
      </c>
      <c r="G28" s="49">
        <v>1</v>
      </c>
      <c r="H28" s="138">
        <f>IF(B$27=0,0,G28/B$27)</f>
        <v>2.1141649048625794E-3</v>
      </c>
      <c r="I28" s="100">
        <v>1</v>
      </c>
      <c r="K28" s="40">
        <v>26</v>
      </c>
      <c r="L28" s="105">
        <v>23.9</v>
      </c>
    </row>
    <row r="29" spans="1:17" x14ac:dyDescent="0.4">
      <c r="E29" s="65" t="s">
        <v>111</v>
      </c>
      <c r="F29" s="62" t="s">
        <v>118</v>
      </c>
      <c r="G29" s="49">
        <v>1</v>
      </c>
      <c r="H29" s="138">
        <f>IF(B$27=0,0,G29/B$27)</f>
        <v>2.1141649048625794E-3</v>
      </c>
      <c r="I29" s="100">
        <v>1</v>
      </c>
      <c r="K29" s="40">
        <v>27</v>
      </c>
      <c r="L29" s="105">
        <v>-37</v>
      </c>
    </row>
    <row r="30" spans="1:17" x14ac:dyDescent="0.4">
      <c r="E30" s="65" t="s">
        <v>80</v>
      </c>
      <c r="F30" s="62" t="s">
        <v>33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58</v>
      </c>
    </row>
    <row r="31" spans="1:17" x14ac:dyDescent="0.4">
      <c r="E31" s="65" t="s">
        <v>84</v>
      </c>
      <c r="F31" s="62" t="s">
        <v>37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-8.4</v>
      </c>
    </row>
    <row r="32" spans="1:17" x14ac:dyDescent="0.4">
      <c r="E32" s="65" t="s">
        <v>85</v>
      </c>
      <c r="F32" s="62" t="s">
        <v>38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53.3</v>
      </c>
    </row>
    <row r="33" spans="5:12" x14ac:dyDescent="0.4">
      <c r="E33" s="65" t="s">
        <v>87</v>
      </c>
      <c r="F33" s="62" t="s">
        <v>40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-14</v>
      </c>
    </row>
    <row r="34" spans="5:12" x14ac:dyDescent="0.4">
      <c r="E34" s="65" t="s">
        <v>89</v>
      </c>
      <c r="F34" s="62" t="s">
        <v>42</v>
      </c>
      <c r="G34" s="49">
        <v>0</v>
      </c>
      <c r="H34" s="138">
        <f>IF(B$27=0,0,G34/B$27)</f>
        <v>0</v>
      </c>
      <c r="I34" s="100">
        <v>5</v>
      </c>
      <c r="K34" s="40">
        <v>32</v>
      </c>
      <c r="L34" s="105">
        <v>60.7</v>
      </c>
    </row>
    <row r="35" spans="5:12" x14ac:dyDescent="0.4">
      <c r="E35" s="65" t="s">
        <v>93</v>
      </c>
      <c r="F35" s="62" t="s">
        <v>46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50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-14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-3.4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-17.100000000000001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21.1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-50.6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-8.1999999999999993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-7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-36.4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-8.5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8.4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-10.4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27.9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-20.5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-31.1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16.2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-4.9000000000000004</v>
      </c>
    </row>
    <row r="52" spans="5:12" x14ac:dyDescent="0.4">
      <c r="K52" s="40">
        <v>50</v>
      </c>
      <c r="L52" s="105">
        <v>12.8</v>
      </c>
    </row>
    <row r="53" spans="5:12" x14ac:dyDescent="0.4">
      <c r="K53" s="40">
        <v>51</v>
      </c>
      <c r="L53" s="105">
        <v>0.7</v>
      </c>
    </row>
    <row r="54" spans="5:12" x14ac:dyDescent="0.4">
      <c r="K54" s="40">
        <v>52</v>
      </c>
      <c r="L54" s="105">
        <v>-6.7</v>
      </c>
    </row>
    <row r="55" spans="5:12" x14ac:dyDescent="0.4">
      <c r="K55" s="40">
        <v>53</v>
      </c>
      <c r="L55" s="105">
        <v>-28</v>
      </c>
    </row>
    <row r="56" spans="5:12" x14ac:dyDescent="0.4">
      <c r="K56" s="40">
        <v>54</v>
      </c>
      <c r="L56" s="105">
        <v>16.7</v>
      </c>
    </row>
    <row r="57" spans="5:12" x14ac:dyDescent="0.4">
      <c r="K57" s="40">
        <v>55</v>
      </c>
      <c r="L57" s="105">
        <v>-7</v>
      </c>
    </row>
    <row r="58" spans="5:12" x14ac:dyDescent="0.4">
      <c r="K58" s="40">
        <v>56</v>
      </c>
      <c r="L58" s="105">
        <v>31.6</v>
      </c>
    </row>
    <row r="59" spans="5:12" x14ac:dyDescent="0.4">
      <c r="K59" s="40">
        <v>57</v>
      </c>
      <c r="L59" s="105">
        <v>15.8</v>
      </c>
    </row>
    <row r="60" spans="5:12" x14ac:dyDescent="0.4">
      <c r="K60" s="40">
        <v>58</v>
      </c>
      <c r="L60" s="105">
        <v>57</v>
      </c>
    </row>
    <row r="61" spans="5:12" x14ac:dyDescent="0.4">
      <c r="K61" s="40">
        <v>59</v>
      </c>
      <c r="L61" s="105">
        <v>5.3</v>
      </c>
    </row>
    <row r="62" spans="5:12" x14ac:dyDescent="0.4">
      <c r="K62" s="40">
        <v>60</v>
      </c>
      <c r="L62" s="105">
        <v>-46.1</v>
      </c>
    </row>
    <row r="63" spans="5:12" x14ac:dyDescent="0.4">
      <c r="K63" s="40">
        <v>61</v>
      </c>
      <c r="L63" s="105">
        <v>21.1</v>
      </c>
    </row>
    <row r="64" spans="5:12" x14ac:dyDescent="0.4">
      <c r="K64" s="40">
        <v>62</v>
      </c>
      <c r="L64" s="105">
        <v>-66</v>
      </c>
    </row>
    <row r="65" spans="11:12" x14ac:dyDescent="0.4">
      <c r="K65" s="40">
        <v>63</v>
      </c>
      <c r="L65" s="105">
        <v>-5</v>
      </c>
    </row>
    <row r="66" spans="11:12" x14ac:dyDescent="0.4">
      <c r="K66" s="40">
        <v>64</v>
      </c>
      <c r="L66" s="105">
        <v>1</v>
      </c>
    </row>
    <row r="67" spans="11:12" x14ac:dyDescent="0.4">
      <c r="K67" s="40">
        <v>65</v>
      </c>
      <c r="L67" s="105">
        <v>31.6</v>
      </c>
    </row>
    <row r="68" spans="11:12" x14ac:dyDescent="0.4">
      <c r="K68" s="40">
        <v>66</v>
      </c>
      <c r="L68" s="105">
        <v>-19</v>
      </c>
    </row>
    <row r="69" spans="11:12" x14ac:dyDescent="0.4">
      <c r="K69" s="40">
        <v>67</v>
      </c>
      <c r="L69" s="105">
        <v>-9.9</v>
      </c>
    </row>
    <row r="70" spans="11:12" x14ac:dyDescent="0.4">
      <c r="K70" s="40">
        <v>68</v>
      </c>
      <c r="L70" s="105">
        <v>0.9</v>
      </c>
    </row>
    <row r="71" spans="11:12" x14ac:dyDescent="0.4">
      <c r="K71" s="40">
        <v>69</v>
      </c>
      <c r="L71" s="105">
        <v>32.299999999999997</v>
      </c>
    </row>
    <row r="72" spans="11:12" x14ac:dyDescent="0.4">
      <c r="K72" s="40">
        <v>70</v>
      </c>
      <c r="L72" s="105">
        <v>28.4</v>
      </c>
    </row>
    <row r="73" spans="11:12" x14ac:dyDescent="0.4">
      <c r="K73" s="40">
        <v>71</v>
      </c>
      <c r="L73" s="105">
        <v>-7.4</v>
      </c>
    </row>
    <row r="74" spans="11:12" x14ac:dyDescent="0.4">
      <c r="K74" s="40">
        <v>72</v>
      </c>
      <c r="L74" s="105">
        <v>18.3</v>
      </c>
    </row>
    <row r="75" spans="11:12" x14ac:dyDescent="0.4">
      <c r="K75" s="40">
        <v>73</v>
      </c>
      <c r="L75" s="105">
        <v>-13.9</v>
      </c>
    </row>
    <row r="76" spans="11:12" x14ac:dyDescent="0.4">
      <c r="K76" s="40">
        <v>74</v>
      </c>
      <c r="L76" s="105">
        <v>40</v>
      </c>
    </row>
    <row r="77" spans="11:12" x14ac:dyDescent="0.4">
      <c r="K77" s="40">
        <v>75</v>
      </c>
      <c r="L77" s="105">
        <v>5.2</v>
      </c>
    </row>
    <row r="78" spans="11:12" x14ac:dyDescent="0.4">
      <c r="K78" s="40">
        <v>76</v>
      </c>
      <c r="L78" s="105">
        <v>-13.7</v>
      </c>
    </row>
    <row r="79" spans="11:12" x14ac:dyDescent="0.4">
      <c r="K79" s="40">
        <v>77</v>
      </c>
      <c r="L79" s="105">
        <v>5.0999999999999996</v>
      </c>
    </row>
    <row r="80" spans="11:12" x14ac:dyDescent="0.4">
      <c r="K80" s="40">
        <v>78</v>
      </c>
      <c r="L80" s="105">
        <v>31.9</v>
      </c>
    </row>
    <row r="81" spans="11:12" x14ac:dyDescent="0.4">
      <c r="K81" s="40">
        <v>79</v>
      </c>
      <c r="L81" s="105">
        <v>40</v>
      </c>
    </row>
    <row r="82" spans="11:12" x14ac:dyDescent="0.4">
      <c r="K82" s="40">
        <v>80</v>
      </c>
      <c r="L82" s="105">
        <v>22.5</v>
      </c>
    </row>
    <row r="83" spans="11:12" x14ac:dyDescent="0.4">
      <c r="K83" s="40">
        <v>81</v>
      </c>
      <c r="L83" s="105">
        <v>31.5</v>
      </c>
    </row>
    <row r="84" spans="11:12" x14ac:dyDescent="0.4">
      <c r="K84" s="40">
        <v>82</v>
      </c>
      <c r="L84" s="105">
        <v>59.8</v>
      </c>
    </row>
    <row r="85" spans="11:12" x14ac:dyDescent="0.4">
      <c r="K85" s="40">
        <v>83</v>
      </c>
      <c r="L85" s="105">
        <v>11.1</v>
      </c>
    </row>
    <row r="86" spans="11:12" x14ac:dyDescent="0.4">
      <c r="K86" s="40">
        <v>84</v>
      </c>
      <c r="L86" s="105">
        <v>1.6</v>
      </c>
    </row>
    <row r="87" spans="11:12" x14ac:dyDescent="0.4">
      <c r="K87" s="40">
        <v>85</v>
      </c>
      <c r="L87" s="105">
        <v>-21.4</v>
      </c>
    </row>
    <row r="88" spans="11:12" x14ac:dyDescent="0.4">
      <c r="K88" s="40">
        <v>86</v>
      </c>
      <c r="L88" s="105">
        <v>3.5</v>
      </c>
    </row>
    <row r="89" spans="11:12" x14ac:dyDescent="0.4">
      <c r="K89" s="40">
        <v>87</v>
      </c>
      <c r="L89" s="105">
        <v>-45.5</v>
      </c>
    </row>
    <row r="90" spans="11:12" x14ac:dyDescent="0.4">
      <c r="K90" s="40">
        <v>88</v>
      </c>
      <c r="L90" s="105">
        <v>-0.6</v>
      </c>
    </row>
    <row r="91" spans="11:12" x14ac:dyDescent="0.4">
      <c r="K91" s="40">
        <v>89</v>
      </c>
      <c r="L91" s="105">
        <v>26.4</v>
      </c>
    </row>
    <row r="92" spans="11:12" x14ac:dyDescent="0.4">
      <c r="K92" s="40">
        <v>90</v>
      </c>
      <c r="L92" s="105">
        <v>9.6999999999999993</v>
      </c>
    </row>
    <row r="93" spans="11:12" x14ac:dyDescent="0.4">
      <c r="K93" s="40">
        <v>91</v>
      </c>
      <c r="L93" s="105">
        <v>21.1</v>
      </c>
    </row>
    <row r="94" spans="11:12" x14ac:dyDescent="0.4">
      <c r="K94" s="40">
        <v>92</v>
      </c>
      <c r="L94" s="105">
        <v>43.1</v>
      </c>
    </row>
    <row r="95" spans="11:12" x14ac:dyDescent="0.4">
      <c r="K95" s="40">
        <v>93</v>
      </c>
      <c r="L95" s="105">
        <v>-6</v>
      </c>
    </row>
    <row r="96" spans="11:12" x14ac:dyDescent="0.4">
      <c r="K96" s="40">
        <v>94</v>
      </c>
      <c r="L96" s="105">
        <v>-37.5</v>
      </c>
    </row>
    <row r="97" spans="11:12" x14ac:dyDescent="0.4">
      <c r="K97" s="40">
        <v>95</v>
      </c>
      <c r="L97" s="105">
        <v>-39.5</v>
      </c>
    </row>
    <row r="98" spans="11:12" x14ac:dyDescent="0.4">
      <c r="K98" s="40">
        <v>96</v>
      </c>
      <c r="L98" s="105">
        <v>11.1</v>
      </c>
    </row>
    <row r="99" spans="11:12" x14ac:dyDescent="0.4">
      <c r="K99" s="40">
        <v>97</v>
      </c>
      <c r="L99" s="105">
        <v>-2</v>
      </c>
    </row>
    <row r="100" spans="11:12" x14ac:dyDescent="0.4">
      <c r="K100" s="40">
        <v>98</v>
      </c>
      <c r="L100" s="105">
        <v>43.5</v>
      </c>
    </row>
    <row r="101" spans="11:12" x14ac:dyDescent="0.4">
      <c r="K101" s="40">
        <v>99</v>
      </c>
      <c r="L101" s="105">
        <v>-5.6</v>
      </c>
    </row>
    <row r="102" spans="11:12" x14ac:dyDescent="0.4">
      <c r="K102" s="40">
        <v>100</v>
      </c>
      <c r="L102" s="105">
        <v>-7.4</v>
      </c>
    </row>
    <row r="103" spans="11:12" x14ac:dyDescent="0.4">
      <c r="K103" s="40">
        <v>101</v>
      </c>
      <c r="L103" s="105">
        <v>-38</v>
      </c>
    </row>
    <row r="104" spans="11:12" x14ac:dyDescent="0.4">
      <c r="K104" s="40">
        <v>102</v>
      </c>
      <c r="L104" s="105">
        <v>-18.8</v>
      </c>
    </row>
    <row r="105" spans="11:12" x14ac:dyDescent="0.4">
      <c r="K105" s="40">
        <v>103</v>
      </c>
      <c r="L105" s="105">
        <v>27</v>
      </c>
    </row>
    <row r="106" spans="11:12" x14ac:dyDescent="0.4">
      <c r="K106" s="40">
        <v>104</v>
      </c>
      <c r="L106" s="105">
        <v>44.6</v>
      </c>
    </row>
    <row r="107" spans="11:12" x14ac:dyDescent="0.4">
      <c r="K107" s="40">
        <v>105</v>
      </c>
      <c r="L107" s="105">
        <v>7</v>
      </c>
    </row>
    <row r="108" spans="11:12" x14ac:dyDescent="0.4">
      <c r="K108" s="40">
        <v>106</v>
      </c>
      <c r="L108" s="105">
        <v>-11.3</v>
      </c>
    </row>
    <row r="109" spans="11:12" x14ac:dyDescent="0.4">
      <c r="K109" s="40">
        <v>107</v>
      </c>
      <c r="L109" s="105">
        <v>-15.5</v>
      </c>
    </row>
    <row r="110" spans="11:12" x14ac:dyDescent="0.4">
      <c r="K110" s="40">
        <v>108</v>
      </c>
      <c r="L110" s="105">
        <v>-19.3</v>
      </c>
    </row>
    <row r="111" spans="11:12" x14ac:dyDescent="0.4">
      <c r="K111" s="40">
        <v>109</v>
      </c>
      <c r="L111" s="105">
        <v>24</v>
      </c>
    </row>
    <row r="112" spans="11:12" x14ac:dyDescent="0.4">
      <c r="K112" s="40">
        <v>110</v>
      </c>
      <c r="L112" s="105">
        <v>19.5</v>
      </c>
    </row>
    <row r="113" spans="11:12" x14ac:dyDescent="0.4">
      <c r="K113" s="40">
        <v>111</v>
      </c>
      <c r="L113" s="105">
        <v>-5.4</v>
      </c>
    </row>
    <row r="114" spans="11:12" x14ac:dyDescent="0.4">
      <c r="K114" s="40">
        <v>112</v>
      </c>
      <c r="L114" s="105">
        <v>56</v>
      </c>
    </row>
    <row r="115" spans="11:12" x14ac:dyDescent="0.4">
      <c r="K115" s="40">
        <v>113</v>
      </c>
      <c r="L115" s="105">
        <v>17.100000000000001</v>
      </c>
    </row>
    <row r="116" spans="11:12" x14ac:dyDescent="0.4">
      <c r="K116" s="40">
        <v>114</v>
      </c>
      <c r="L116" s="105">
        <v>-38</v>
      </c>
    </row>
    <row r="117" spans="11:12" x14ac:dyDescent="0.4">
      <c r="K117" s="40">
        <v>115</v>
      </c>
      <c r="L117" s="105">
        <v>16.5</v>
      </c>
    </row>
    <row r="118" spans="11:12" x14ac:dyDescent="0.4">
      <c r="K118" s="40">
        <v>116</v>
      </c>
      <c r="L118" s="105">
        <v>15.3</v>
      </c>
    </row>
    <row r="119" spans="11:12" x14ac:dyDescent="0.4">
      <c r="K119" s="40">
        <v>117</v>
      </c>
      <c r="L119" s="105">
        <v>11.6</v>
      </c>
    </row>
    <row r="120" spans="11:12" x14ac:dyDescent="0.4">
      <c r="K120" s="40">
        <v>118</v>
      </c>
      <c r="L120" s="105">
        <v>16.899999999999999</v>
      </c>
    </row>
    <row r="121" spans="11:12" x14ac:dyDescent="0.4">
      <c r="K121" s="40">
        <v>119</v>
      </c>
      <c r="L121" s="105">
        <v>-37.5</v>
      </c>
    </row>
    <row r="122" spans="11:12" x14ac:dyDescent="0.4">
      <c r="K122" s="40">
        <v>120</v>
      </c>
      <c r="L122" s="105">
        <v>38.5</v>
      </c>
    </row>
    <row r="123" spans="11:12" x14ac:dyDescent="0.4">
      <c r="K123" s="40">
        <v>121</v>
      </c>
      <c r="L123" s="105">
        <v>-46.5</v>
      </c>
    </row>
    <row r="124" spans="11:12" x14ac:dyDescent="0.4">
      <c r="K124" s="40">
        <v>122</v>
      </c>
      <c r="L124" s="105">
        <v>13.2</v>
      </c>
    </row>
    <row r="125" spans="11:12" x14ac:dyDescent="0.4">
      <c r="K125" s="40">
        <v>123</v>
      </c>
      <c r="L125" s="105">
        <v>-19.5</v>
      </c>
    </row>
    <row r="126" spans="11:12" x14ac:dyDescent="0.4">
      <c r="K126" s="40">
        <v>124</v>
      </c>
      <c r="L126" s="105">
        <v>41.4</v>
      </c>
    </row>
    <row r="127" spans="11:12" x14ac:dyDescent="0.4">
      <c r="K127" s="40">
        <v>125</v>
      </c>
      <c r="L127" s="105">
        <v>27.1</v>
      </c>
    </row>
    <row r="128" spans="11:12" x14ac:dyDescent="0.4">
      <c r="K128" s="40">
        <v>126</v>
      </c>
      <c r="L128" s="105">
        <v>8.5</v>
      </c>
    </row>
    <row r="129" spans="11:12" x14ac:dyDescent="0.4">
      <c r="K129" s="40">
        <v>127</v>
      </c>
      <c r="L129" s="105">
        <v>43.3</v>
      </c>
    </row>
    <row r="130" spans="11:12" x14ac:dyDescent="0.4">
      <c r="K130" s="40">
        <v>128</v>
      </c>
      <c r="L130" s="105">
        <v>26</v>
      </c>
    </row>
    <row r="131" spans="11:12" x14ac:dyDescent="0.4">
      <c r="K131" s="40">
        <v>129</v>
      </c>
      <c r="L131" s="105">
        <v>11</v>
      </c>
    </row>
    <row r="132" spans="11:12" x14ac:dyDescent="0.4">
      <c r="K132" s="40">
        <v>130</v>
      </c>
      <c r="L132" s="105">
        <v>41</v>
      </c>
    </row>
    <row r="133" spans="11:12" x14ac:dyDescent="0.4">
      <c r="K133" s="40">
        <v>131</v>
      </c>
      <c r="L133" s="105">
        <v>-19.8</v>
      </c>
    </row>
    <row r="134" spans="11:12" x14ac:dyDescent="0.4">
      <c r="K134" s="40">
        <v>132</v>
      </c>
      <c r="L134" s="105">
        <v>37.6</v>
      </c>
    </row>
    <row r="135" spans="11:12" x14ac:dyDescent="0.4">
      <c r="K135" s="40">
        <v>133</v>
      </c>
      <c r="L135" s="105">
        <v>7.8</v>
      </c>
    </row>
    <row r="136" spans="11:12" x14ac:dyDescent="0.4">
      <c r="K136" s="40">
        <v>134</v>
      </c>
      <c r="L136" s="105">
        <v>68.099999999999994</v>
      </c>
    </row>
    <row r="137" spans="11:12" x14ac:dyDescent="0.4">
      <c r="K137" s="40">
        <v>135</v>
      </c>
      <c r="L137" s="105">
        <v>5.2</v>
      </c>
    </row>
    <row r="138" spans="11:12" x14ac:dyDescent="0.4">
      <c r="K138" s="40">
        <v>136</v>
      </c>
      <c r="L138" s="105">
        <v>16.2</v>
      </c>
    </row>
    <row r="139" spans="11:12" x14ac:dyDescent="0.4">
      <c r="K139" s="40">
        <v>137</v>
      </c>
      <c r="L139" s="105">
        <v>24.2</v>
      </c>
    </row>
    <row r="140" spans="11:12" x14ac:dyDescent="0.4">
      <c r="K140" s="40">
        <v>138</v>
      </c>
      <c r="L140" s="105">
        <v>20.6</v>
      </c>
    </row>
    <row r="141" spans="11:12" x14ac:dyDescent="0.4">
      <c r="K141" s="40">
        <v>139</v>
      </c>
      <c r="L141" s="105">
        <v>7.3</v>
      </c>
    </row>
    <row r="142" spans="11:12" x14ac:dyDescent="0.4">
      <c r="K142" s="40">
        <v>140</v>
      </c>
      <c r="L142" s="105">
        <v>4.8</v>
      </c>
    </row>
    <row r="143" spans="11:12" x14ac:dyDescent="0.4">
      <c r="K143" s="40">
        <v>141</v>
      </c>
      <c r="L143" s="105">
        <v>4.0999999999999996</v>
      </c>
    </row>
    <row r="144" spans="11:12" x14ac:dyDescent="0.4">
      <c r="K144" s="40">
        <v>142</v>
      </c>
      <c r="L144" s="105">
        <v>-12</v>
      </c>
    </row>
    <row r="145" spans="11:12" x14ac:dyDescent="0.4">
      <c r="K145" s="40">
        <v>143</v>
      </c>
      <c r="L145" s="105">
        <v>12.5</v>
      </c>
    </row>
    <row r="146" spans="11:12" x14ac:dyDescent="0.4">
      <c r="K146" s="40">
        <v>144</v>
      </c>
      <c r="L146" s="105">
        <v>-12.9</v>
      </c>
    </row>
    <row r="147" spans="11:12" x14ac:dyDescent="0.4">
      <c r="K147" s="40">
        <v>145</v>
      </c>
      <c r="L147" s="105">
        <v>15.6</v>
      </c>
    </row>
    <row r="148" spans="11:12" x14ac:dyDescent="0.4">
      <c r="K148" s="40">
        <v>146</v>
      </c>
      <c r="L148" s="105">
        <v>15.6</v>
      </c>
    </row>
    <row r="149" spans="11:12" x14ac:dyDescent="0.4">
      <c r="K149" s="40">
        <v>147</v>
      </c>
      <c r="L149" s="105">
        <v>-36</v>
      </c>
    </row>
    <row r="150" spans="11:12" x14ac:dyDescent="0.4">
      <c r="K150" s="40">
        <v>148</v>
      </c>
      <c r="L150" s="105">
        <v>-29.6</v>
      </c>
    </row>
    <row r="151" spans="11:12" x14ac:dyDescent="0.4">
      <c r="K151" s="40">
        <v>149</v>
      </c>
      <c r="L151" s="105">
        <v>6.8</v>
      </c>
    </row>
    <row r="152" spans="11:12" x14ac:dyDescent="0.4">
      <c r="K152" s="40">
        <v>150</v>
      </c>
      <c r="L152" s="105">
        <v>-14</v>
      </c>
    </row>
    <row r="153" spans="11:12" x14ac:dyDescent="0.4">
      <c r="K153" s="40">
        <v>151</v>
      </c>
      <c r="L153" s="105">
        <v>-10</v>
      </c>
    </row>
    <row r="154" spans="11:12" x14ac:dyDescent="0.4">
      <c r="K154" s="40">
        <v>152</v>
      </c>
      <c r="L154" s="105">
        <v>44.6</v>
      </c>
    </row>
    <row r="155" spans="11:12" x14ac:dyDescent="0.4">
      <c r="K155" s="40">
        <v>153</v>
      </c>
      <c r="L155" s="105">
        <v>-4.7</v>
      </c>
    </row>
    <row r="156" spans="11:12" x14ac:dyDescent="0.4">
      <c r="K156" s="40">
        <v>154</v>
      </c>
      <c r="L156" s="105">
        <v>14.4</v>
      </c>
    </row>
    <row r="157" spans="11:12" x14ac:dyDescent="0.4">
      <c r="K157" s="40">
        <v>155</v>
      </c>
      <c r="L157" s="105">
        <v>-14</v>
      </c>
    </row>
    <row r="158" spans="11:12" x14ac:dyDescent="0.4">
      <c r="K158" s="40">
        <v>156</v>
      </c>
      <c r="L158" s="105">
        <v>7.1</v>
      </c>
    </row>
    <row r="159" spans="11:12" x14ac:dyDescent="0.4">
      <c r="K159" s="40">
        <v>157</v>
      </c>
      <c r="L159" s="105">
        <v>19.7</v>
      </c>
    </row>
    <row r="160" spans="11:12" x14ac:dyDescent="0.4">
      <c r="K160" s="40">
        <v>158</v>
      </c>
      <c r="L160" s="105">
        <v>23.8</v>
      </c>
    </row>
    <row r="161" spans="11:12" x14ac:dyDescent="0.4">
      <c r="K161" s="40">
        <v>159</v>
      </c>
      <c r="L161" s="105">
        <v>-4.8</v>
      </c>
    </row>
    <row r="162" spans="11:12" x14ac:dyDescent="0.4">
      <c r="K162" s="40">
        <v>160</v>
      </c>
      <c r="L162" s="105">
        <v>32.5</v>
      </c>
    </row>
    <row r="163" spans="11:12" x14ac:dyDescent="0.4">
      <c r="K163" s="40">
        <v>161</v>
      </c>
      <c r="L163" s="105">
        <v>17.100000000000001</v>
      </c>
    </row>
    <row r="164" spans="11:12" x14ac:dyDescent="0.4">
      <c r="K164" s="40">
        <v>162</v>
      </c>
      <c r="L164" s="105">
        <v>12.3</v>
      </c>
    </row>
    <row r="165" spans="11:12" x14ac:dyDescent="0.4">
      <c r="K165" s="40">
        <v>163</v>
      </c>
      <c r="L165" s="105">
        <v>24.3</v>
      </c>
    </row>
    <row r="166" spans="11:12" x14ac:dyDescent="0.4">
      <c r="K166" s="40">
        <v>164</v>
      </c>
      <c r="L166" s="105">
        <v>-12.2</v>
      </c>
    </row>
    <row r="167" spans="11:12" x14ac:dyDescent="0.4">
      <c r="K167" s="40">
        <v>165</v>
      </c>
      <c r="L167" s="105">
        <v>-2</v>
      </c>
    </row>
    <row r="168" spans="11:12" x14ac:dyDescent="0.4">
      <c r="K168" s="40">
        <v>166</v>
      </c>
      <c r="L168" s="105">
        <v>-40.6</v>
      </c>
    </row>
    <row r="169" spans="11:12" x14ac:dyDescent="0.4">
      <c r="K169" s="40">
        <v>167</v>
      </c>
      <c r="L169" s="105">
        <v>21.7</v>
      </c>
    </row>
    <row r="170" spans="11:12" x14ac:dyDescent="0.4">
      <c r="K170" s="40">
        <v>168</v>
      </c>
      <c r="L170" s="105">
        <v>40.700000000000003</v>
      </c>
    </row>
    <row r="171" spans="11:12" x14ac:dyDescent="0.4">
      <c r="K171" s="40">
        <v>169</v>
      </c>
      <c r="L171" s="105">
        <v>8</v>
      </c>
    </row>
    <row r="172" spans="11:12" x14ac:dyDescent="0.4">
      <c r="K172" s="40">
        <v>170</v>
      </c>
      <c r="L172" s="105">
        <v>7.7</v>
      </c>
    </row>
    <row r="173" spans="11:12" x14ac:dyDescent="0.4">
      <c r="K173" s="40">
        <v>171</v>
      </c>
      <c r="L173" s="105">
        <v>-69</v>
      </c>
    </row>
    <row r="174" spans="11:12" x14ac:dyDescent="0.4">
      <c r="K174" s="40">
        <v>172</v>
      </c>
      <c r="L174" s="105">
        <v>-3</v>
      </c>
    </row>
    <row r="175" spans="11:12" x14ac:dyDescent="0.4">
      <c r="K175" s="40">
        <v>173</v>
      </c>
      <c r="L175" s="105">
        <v>-2.6</v>
      </c>
    </row>
    <row r="176" spans="11:12" x14ac:dyDescent="0.4">
      <c r="K176" s="40">
        <v>174</v>
      </c>
      <c r="L176" s="105">
        <v>59</v>
      </c>
    </row>
    <row r="177" spans="11:12" x14ac:dyDescent="0.4">
      <c r="K177" s="40">
        <v>175</v>
      </c>
      <c r="L177" s="105">
        <v>0</v>
      </c>
    </row>
    <row r="178" spans="11:12" x14ac:dyDescent="0.4">
      <c r="K178" s="40">
        <v>176</v>
      </c>
      <c r="L178" s="105">
        <v>-20.5</v>
      </c>
    </row>
    <row r="179" spans="11:12" x14ac:dyDescent="0.4">
      <c r="K179" s="40">
        <v>177</v>
      </c>
      <c r="L179" s="105">
        <v>-3.4</v>
      </c>
    </row>
    <row r="180" spans="11:12" x14ac:dyDescent="0.4">
      <c r="K180" s="40">
        <v>178</v>
      </c>
      <c r="L180" s="105">
        <v>39.5</v>
      </c>
    </row>
    <row r="181" spans="11:12" x14ac:dyDescent="0.4">
      <c r="K181" s="40">
        <v>179</v>
      </c>
      <c r="L181" s="105">
        <v>61</v>
      </c>
    </row>
    <row r="182" spans="11:12" x14ac:dyDescent="0.4">
      <c r="K182" s="40">
        <v>180</v>
      </c>
      <c r="L182" s="105">
        <v>11.7</v>
      </c>
    </row>
    <row r="183" spans="11:12" x14ac:dyDescent="0.4">
      <c r="K183" s="40">
        <v>181</v>
      </c>
      <c r="L183" s="105">
        <v>16.100000000000001</v>
      </c>
    </row>
    <row r="184" spans="11:12" x14ac:dyDescent="0.4">
      <c r="K184" s="40">
        <v>182</v>
      </c>
      <c r="L184" s="105">
        <v>57.5</v>
      </c>
    </row>
    <row r="185" spans="11:12" x14ac:dyDescent="0.4">
      <c r="K185" s="40">
        <v>183</v>
      </c>
      <c r="L185" s="105">
        <v>-12.5</v>
      </c>
    </row>
    <row r="186" spans="11:12" x14ac:dyDescent="0.4">
      <c r="K186" s="40">
        <v>184</v>
      </c>
      <c r="L186" s="105">
        <v>10.7</v>
      </c>
    </row>
    <row r="187" spans="11:12" x14ac:dyDescent="0.4">
      <c r="K187" s="40">
        <v>185</v>
      </c>
      <c r="L187" s="105">
        <v>31.1</v>
      </c>
    </row>
    <row r="188" spans="11:12" x14ac:dyDescent="0.4">
      <c r="K188" s="40">
        <v>186</v>
      </c>
      <c r="L188" s="105">
        <v>10.199999999999999</v>
      </c>
    </row>
    <row r="189" spans="11:12" x14ac:dyDescent="0.4">
      <c r="K189" s="40">
        <v>187</v>
      </c>
      <c r="L189" s="105">
        <v>8.3000000000000007</v>
      </c>
    </row>
    <row r="190" spans="11:12" x14ac:dyDescent="0.4">
      <c r="K190" s="40">
        <v>188</v>
      </c>
      <c r="L190" s="105">
        <v>-1.9</v>
      </c>
    </row>
    <row r="191" spans="11:12" x14ac:dyDescent="0.4">
      <c r="K191" s="40">
        <v>189</v>
      </c>
      <c r="L191" s="105">
        <v>0.5</v>
      </c>
    </row>
    <row r="192" spans="11:12" x14ac:dyDescent="0.4">
      <c r="K192" s="40">
        <v>190</v>
      </c>
      <c r="L192" s="105">
        <v>48</v>
      </c>
    </row>
    <row r="193" spans="11:12" x14ac:dyDescent="0.4">
      <c r="K193" s="40">
        <v>191</v>
      </c>
      <c r="L193" s="105">
        <v>22.8</v>
      </c>
    </row>
    <row r="194" spans="11:12" x14ac:dyDescent="0.4">
      <c r="K194" s="40">
        <v>192</v>
      </c>
      <c r="L194" s="105">
        <v>6</v>
      </c>
    </row>
    <row r="195" spans="11:12" x14ac:dyDescent="0.4">
      <c r="K195" s="40">
        <v>193</v>
      </c>
      <c r="L195" s="105">
        <v>-17</v>
      </c>
    </row>
    <row r="196" spans="11:12" x14ac:dyDescent="0.4">
      <c r="K196" s="40">
        <v>194</v>
      </c>
      <c r="L196" s="105">
        <v>-18.899999999999999</v>
      </c>
    </row>
    <row r="197" spans="11:12" x14ac:dyDescent="0.4">
      <c r="K197" s="40">
        <v>195</v>
      </c>
      <c r="L197" s="105">
        <v>36.700000000000003</v>
      </c>
    </row>
    <row r="198" spans="11:12" x14ac:dyDescent="0.4">
      <c r="K198" s="40">
        <v>196</v>
      </c>
      <c r="L198" s="105">
        <v>12.4</v>
      </c>
    </row>
    <row r="199" spans="11:12" x14ac:dyDescent="0.4">
      <c r="K199" s="40">
        <v>197</v>
      </c>
      <c r="L199" s="105">
        <v>14</v>
      </c>
    </row>
    <row r="200" spans="11:12" x14ac:dyDescent="0.4">
      <c r="K200" s="40">
        <v>198</v>
      </c>
      <c r="L200" s="105">
        <v>6.8</v>
      </c>
    </row>
    <row r="201" spans="11:12" x14ac:dyDescent="0.4">
      <c r="K201" s="40">
        <v>199</v>
      </c>
      <c r="L201" s="105">
        <v>-7.6</v>
      </c>
    </row>
    <row r="202" spans="11:12" x14ac:dyDescent="0.4">
      <c r="K202" s="40">
        <v>200</v>
      </c>
      <c r="L202" s="105">
        <v>13.7</v>
      </c>
    </row>
    <row r="203" spans="11:12" x14ac:dyDescent="0.4">
      <c r="K203" s="40">
        <v>201</v>
      </c>
      <c r="L203" s="105">
        <v>0.3</v>
      </c>
    </row>
    <row r="204" spans="11:12" x14ac:dyDescent="0.4">
      <c r="K204" s="40">
        <v>202</v>
      </c>
      <c r="L204" s="105">
        <v>-5.4</v>
      </c>
    </row>
    <row r="205" spans="11:12" x14ac:dyDescent="0.4">
      <c r="K205" s="40">
        <v>203</v>
      </c>
      <c r="L205" s="105">
        <v>-43.2</v>
      </c>
    </row>
    <row r="206" spans="11:12" x14ac:dyDescent="0.4">
      <c r="K206" s="40">
        <v>204</v>
      </c>
      <c r="L206" s="105">
        <v>18.2</v>
      </c>
    </row>
    <row r="207" spans="11:12" x14ac:dyDescent="0.4">
      <c r="K207" s="40">
        <v>205</v>
      </c>
      <c r="L207" s="105">
        <v>22.8</v>
      </c>
    </row>
    <row r="208" spans="11:12" x14ac:dyDescent="0.4">
      <c r="K208" s="40">
        <v>206</v>
      </c>
      <c r="L208" s="105">
        <v>8.1</v>
      </c>
    </row>
    <row r="209" spans="11:12" x14ac:dyDescent="0.4">
      <c r="K209" s="40">
        <v>207</v>
      </c>
      <c r="L209" s="105">
        <v>5</v>
      </c>
    </row>
    <row r="210" spans="11:12" x14ac:dyDescent="0.4">
      <c r="K210" s="40">
        <v>208</v>
      </c>
      <c r="L210" s="105">
        <v>-39</v>
      </c>
    </row>
    <row r="211" spans="11:12" x14ac:dyDescent="0.4">
      <c r="K211" s="40">
        <v>209</v>
      </c>
      <c r="L211" s="105">
        <v>8.1999999999999993</v>
      </c>
    </row>
    <row r="212" spans="11:12" x14ac:dyDescent="0.4">
      <c r="K212" s="40">
        <v>210</v>
      </c>
      <c r="L212" s="105">
        <v>13</v>
      </c>
    </row>
    <row r="213" spans="11:12" x14ac:dyDescent="0.4">
      <c r="K213" s="40">
        <v>211</v>
      </c>
      <c r="L213" s="105">
        <v>10.1</v>
      </c>
    </row>
    <row r="214" spans="11:12" x14ac:dyDescent="0.4">
      <c r="K214" s="40">
        <v>212</v>
      </c>
      <c r="L214" s="105">
        <v>21.7</v>
      </c>
    </row>
    <row r="215" spans="11:12" x14ac:dyDescent="0.4">
      <c r="K215" s="40">
        <v>213</v>
      </c>
      <c r="L215" s="105">
        <v>-40.4</v>
      </c>
    </row>
    <row r="216" spans="11:12" x14ac:dyDescent="0.4">
      <c r="K216" s="40">
        <v>214</v>
      </c>
      <c r="L216" s="105">
        <v>52.1</v>
      </c>
    </row>
    <row r="217" spans="11:12" x14ac:dyDescent="0.4">
      <c r="K217" s="40">
        <v>215</v>
      </c>
      <c r="L217" s="105">
        <v>4.5</v>
      </c>
    </row>
    <row r="218" spans="11:12" x14ac:dyDescent="0.4">
      <c r="K218" s="40">
        <v>216</v>
      </c>
      <c r="L218" s="105">
        <v>-15</v>
      </c>
    </row>
    <row r="219" spans="11:12" x14ac:dyDescent="0.4">
      <c r="K219" s="40">
        <v>217</v>
      </c>
      <c r="L219" s="105">
        <v>7.8</v>
      </c>
    </row>
    <row r="220" spans="11:12" x14ac:dyDescent="0.4">
      <c r="K220" s="40">
        <v>218</v>
      </c>
      <c r="L220" s="105">
        <v>18.600000000000001</v>
      </c>
    </row>
    <row r="221" spans="11:12" x14ac:dyDescent="0.4">
      <c r="K221" s="40">
        <v>219</v>
      </c>
      <c r="L221" s="105">
        <v>6.2</v>
      </c>
    </row>
    <row r="222" spans="11:12" x14ac:dyDescent="0.4">
      <c r="K222" s="40">
        <v>220</v>
      </c>
      <c r="L222" s="105">
        <v>12.6</v>
      </c>
    </row>
    <row r="223" spans="11:12" x14ac:dyDescent="0.4">
      <c r="K223" s="40">
        <v>221</v>
      </c>
      <c r="L223" s="105">
        <v>13.4</v>
      </c>
    </row>
    <row r="224" spans="11:12" x14ac:dyDescent="0.4">
      <c r="K224" s="40">
        <v>222</v>
      </c>
      <c r="L224" s="105">
        <v>6.1</v>
      </c>
    </row>
    <row r="225" spans="11:12" x14ac:dyDescent="0.4">
      <c r="K225" s="40">
        <v>223</v>
      </c>
      <c r="L225" s="105">
        <v>66.7</v>
      </c>
    </row>
    <row r="226" spans="11:12" x14ac:dyDescent="0.4">
      <c r="K226" s="40">
        <v>224</v>
      </c>
      <c r="L226" s="105">
        <v>-38.1</v>
      </c>
    </row>
    <row r="227" spans="11:12" x14ac:dyDescent="0.4">
      <c r="K227" s="40">
        <v>225</v>
      </c>
      <c r="L227" s="105">
        <v>23</v>
      </c>
    </row>
    <row r="228" spans="11:12" x14ac:dyDescent="0.4">
      <c r="K228" s="40">
        <v>226</v>
      </c>
      <c r="L228" s="105">
        <v>9.5</v>
      </c>
    </row>
    <row r="229" spans="11:12" x14ac:dyDescent="0.4">
      <c r="K229" s="40">
        <v>227</v>
      </c>
      <c r="L229" s="105">
        <v>5</v>
      </c>
    </row>
    <row r="230" spans="11:12" x14ac:dyDescent="0.4">
      <c r="K230" s="40">
        <v>228</v>
      </c>
      <c r="L230" s="105">
        <v>7.8</v>
      </c>
    </row>
    <row r="231" spans="11:12" x14ac:dyDescent="0.4">
      <c r="K231" s="40">
        <v>229</v>
      </c>
      <c r="L231" s="105">
        <v>42.3</v>
      </c>
    </row>
    <row r="232" spans="11:12" x14ac:dyDescent="0.4">
      <c r="K232" s="40">
        <v>230</v>
      </c>
      <c r="L232" s="105">
        <v>40.700000000000003</v>
      </c>
    </row>
    <row r="233" spans="11:12" x14ac:dyDescent="0.4">
      <c r="K233" s="40">
        <v>231</v>
      </c>
      <c r="L233" s="105">
        <v>0.1</v>
      </c>
    </row>
    <row r="234" spans="11:12" x14ac:dyDescent="0.4">
      <c r="K234" s="40">
        <v>232</v>
      </c>
      <c r="L234" s="105">
        <v>12.2</v>
      </c>
    </row>
    <row r="235" spans="11:12" x14ac:dyDescent="0.4">
      <c r="K235" s="40">
        <v>233</v>
      </c>
      <c r="L235" s="105">
        <v>9.5</v>
      </c>
    </row>
    <row r="236" spans="11:12" x14ac:dyDescent="0.4">
      <c r="K236" s="40">
        <v>234</v>
      </c>
      <c r="L236" s="105">
        <v>27.2</v>
      </c>
    </row>
    <row r="237" spans="11:12" x14ac:dyDescent="0.4">
      <c r="K237" s="40">
        <v>235</v>
      </c>
      <c r="L237" s="105">
        <v>-12.6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0382D-1F4A-415A-90E0-1DE0134DF979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166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15.910801362596418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4</v>
      </c>
      <c r="C2" s="149"/>
      <c r="E2" s="64" t="s">
        <v>67</v>
      </c>
      <c r="F2" s="61" t="s">
        <v>21</v>
      </c>
      <c r="G2" s="48">
        <v>0</v>
      </c>
      <c r="H2" s="137">
        <f>IF(B$27=0,0,G2/B$27)</f>
        <v>0</v>
      </c>
      <c r="I2" s="99">
        <v>14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-9250</v>
      </c>
      <c r="P2" s="124">
        <v>4</v>
      </c>
      <c r="Q2" s="108">
        <v>-37000</v>
      </c>
    </row>
    <row r="3" spans="1:17" x14ac:dyDescent="0.4">
      <c r="A3" s="57" t="s">
        <v>8</v>
      </c>
      <c r="B3" s="154">
        <v>25</v>
      </c>
      <c r="C3" s="155"/>
      <c r="E3" s="65" t="s">
        <v>68</v>
      </c>
      <c r="F3" s="62" t="s">
        <v>22</v>
      </c>
      <c r="G3" s="49">
        <v>0</v>
      </c>
      <c r="H3" s="138">
        <f>IF(B$27=0,0,G3/B$27)</f>
        <v>0</v>
      </c>
      <c r="I3" s="100">
        <v>12</v>
      </c>
      <c r="K3" s="40">
        <v>1</v>
      </c>
      <c r="L3" s="105">
        <v>-22</v>
      </c>
      <c r="N3" s="121" t="s">
        <v>148</v>
      </c>
      <c r="O3" s="128">
        <f t="shared" si="0"/>
        <v>-7225</v>
      </c>
      <c r="P3" s="125">
        <v>4</v>
      </c>
      <c r="Q3" s="109">
        <v>-28900</v>
      </c>
    </row>
    <row r="4" spans="1:17" x14ac:dyDescent="0.4">
      <c r="A4" s="57" t="s">
        <v>6</v>
      </c>
      <c r="B4" s="156">
        <v>-132.1</v>
      </c>
      <c r="C4" s="157"/>
      <c r="E4" s="65" t="s">
        <v>69</v>
      </c>
      <c r="F4" s="62" t="s">
        <v>23</v>
      </c>
      <c r="G4" s="49">
        <v>0</v>
      </c>
      <c r="H4" s="138">
        <f>IF(B$27=0,0,G4/B$27)</f>
        <v>0</v>
      </c>
      <c r="I4" s="100">
        <v>14</v>
      </c>
      <c r="K4" s="40">
        <v>2</v>
      </c>
      <c r="L4" s="105">
        <v>-38.4</v>
      </c>
      <c r="N4" s="121" t="s">
        <v>149</v>
      </c>
      <c r="O4" s="128">
        <f t="shared" si="0"/>
        <v>-10875</v>
      </c>
      <c r="P4" s="125">
        <v>4</v>
      </c>
      <c r="Q4" s="109">
        <v>-43500</v>
      </c>
    </row>
    <row r="5" spans="1:17" x14ac:dyDescent="0.4">
      <c r="A5" s="57" t="s">
        <v>7</v>
      </c>
      <c r="B5" s="158">
        <f>IF(B$2=0,0,B$4/B$2)</f>
        <v>-33.024999999999999</v>
      </c>
      <c r="C5" s="159"/>
      <c r="E5" s="65" t="s">
        <v>70</v>
      </c>
      <c r="F5" s="62" t="s">
        <v>24</v>
      </c>
      <c r="G5" s="49">
        <v>0</v>
      </c>
      <c r="H5" s="138">
        <f>IF(B$27=0,0,G5/B$27)</f>
        <v>0</v>
      </c>
      <c r="I5" s="100">
        <v>14</v>
      </c>
      <c r="K5" s="40">
        <v>3</v>
      </c>
      <c r="L5" s="105">
        <v>-25.2</v>
      </c>
      <c r="N5" s="121" t="s">
        <v>150</v>
      </c>
      <c r="O5" s="128">
        <f t="shared" si="0"/>
        <v>-2850</v>
      </c>
      <c r="P5" s="125">
        <v>2</v>
      </c>
      <c r="Q5" s="109">
        <v>-5700</v>
      </c>
    </row>
    <row r="6" spans="1:17" x14ac:dyDescent="0.4">
      <c r="A6" s="57" t="s">
        <v>1</v>
      </c>
      <c r="B6" s="146">
        <f>IF(B$2=0,0,(B$7*1+B$8*2+B$9*3)/B$2)</f>
        <v>3</v>
      </c>
      <c r="C6" s="147"/>
      <c r="E6" s="65" t="s">
        <v>71</v>
      </c>
      <c r="F6" s="62" t="s">
        <v>25</v>
      </c>
      <c r="G6" s="49">
        <v>0</v>
      </c>
      <c r="H6" s="138">
        <f>IF(B$27=0,0,G6/B$27)</f>
        <v>0</v>
      </c>
      <c r="I6" s="100">
        <v>14</v>
      </c>
      <c r="K6" s="40">
        <v>4</v>
      </c>
      <c r="L6" s="105">
        <v>-46.5</v>
      </c>
      <c r="N6" s="121" t="s">
        <v>151</v>
      </c>
      <c r="O6" s="128">
        <f t="shared" si="0"/>
        <v>-6000</v>
      </c>
      <c r="P6" s="125">
        <v>2</v>
      </c>
      <c r="Q6" s="109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38">
        <f>IF(B$27=0,0,G7/B$27)</f>
        <v>0</v>
      </c>
      <c r="I7" s="100">
        <v>14</v>
      </c>
      <c r="N7" s="122" t="s">
        <v>152</v>
      </c>
      <c r="O7" s="129">
        <f t="shared" si="0"/>
        <v>-5000</v>
      </c>
      <c r="P7" s="126">
        <v>1</v>
      </c>
      <c r="Q7" s="110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38">
        <f>IF(B$27=0,0,G8/B$27)</f>
        <v>0</v>
      </c>
      <c r="I8" s="100">
        <v>13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8">
        <f>IF(B$27=0,0,G9/B$27)</f>
        <v>0</v>
      </c>
      <c r="I9" s="100">
        <v>12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38">
        <f>IF(B$27=0,0,G10/B$27)</f>
        <v>0</v>
      </c>
      <c r="I10" s="100">
        <v>12</v>
      </c>
      <c r="N10" s="120" t="s">
        <v>253</v>
      </c>
      <c r="O10" s="130">
        <f>IF(P10=0,0,Q10/P10)</f>
        <v>-30.2</v>
      </c>
      <c r="P10" s="124">
        <v>2</v>
      </c>
      <c r="Q10" s="112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8">
        <f>IF(B$27=0,0,G11/B$27)</f>
        <v>0</v>
      </c>
      <c r="I11" s="100">
        <v>14</v>
      </c>
      <c r="N11" s="121" t="s">
        <v>254</v>
      </c>
      <c r="O11" s="131">
        <f>IF(P11=0,0,Q11/P11)</f>
        <v>-25.2</v>
      </c>
      <c r="P11" s="125">
        <v>1</v>
      </c>
      <c r="Q11" s="113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8">
        <f>IF(B$27=0,0,G12/B$27)</f>
        <v>0</v>
      </c>
      <c r="I12" s="100">
        <v>7</v>
      </c>
      <c r="N12" s="122" t="s">
        <v>255</v>
      </c>
      <c r="O12" s="132">
        <f>IF(P12=0,0,Q12/P12)</f>
        <v>-46.5</v>
      </c>
      <c r="P12" s="126">
        <v>1</v>
      </c>
      <c r="Q12" s="114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38">
        <f>IF(B$27=0,0,G13/B$27)</f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38">
        <f>IF(B$27=0,0,G14/B$27)</f>
        <v>0</v>
      </c>
      <c r="I14" s="100">
        <v>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8">
        <f>IF(B$27=0,0,G15/B$27)</f>
        <v>0</v>
      </c>
      <c r="I15" s="100">
        <v>1</v>
      </c>
      <c r="N15" s="120" t="s">
        <v>135</v>
      </c>
      <c r="O15" s="130">
        <f>IF(P15=0,0,Q15/P15)</f>
        <v>-26.766666666666666</v>
      </c>
      <c r="P15" s="124">
        <v>3</v>
      </c>
      <c r="Q15" s="112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8">
        <f>IF(B$27=0,0,G16/B$27)</f>
        <v>0</v>
      </c>
      <c r="I16" s="100">
        <v>7</v>
      </c>
      <c r="N16" s="121" t="s">
        <v>167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38">
        <f>IF(B$27=0,0,G17/B$27)</f>
        <v>0</v>
      </c>
      <c r="I17" s="100">
        <v>10</v>
      </c>
      <c r="N17" s="121" t="s">
        <v>133</v>
      </c>
      <c r="O17" s="131">
        <f>IF(P17=0,0,Q17/P17)</f>
        <v>-71.75</v>
      </c>
      <c r="P17" s="125">
        <v>4</v>
      </c>
      <c r="Q17" s="113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8">
        <f>IF(B$27=0,0,G18/B$27)</f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8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38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38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44">
        <v>0</v>
      </c>
      <c r="C23" s="145"/>
      <c r="E23" s="65" t="s">
        <v>88</v>
      </c>
      <c r="F23" s="62" t="s">
        <v>41</v>
      </c>
      <c r="G23" s="49">
        <v>0</v>
      </c>
      <c r="H23" s="138">
        <f>IF(B$27=0,0,G23/B$27)</f>
        <v>0</v>
      </c>
      <c r="I23" s="100">
        <v>12</v>
      </c>
    </row>
    <row r="24" spans="1:17" x14ac:dyDescent="0.4">
      <c r="A24" s="60" t="s">
        <v>199</v>
      </c>
      <c r="B24" s="142">
        <v>13000</v>
      </c>
      <c r="C24" s="143"/>
      <c r="E24" s="65" t="s">
        <v>89</v>
      </c>
      <c r="F24" s="62" t="s">
        <v>42</v>
      </c>
      <c r="G24" s="49">
        <v>0</v>
      </c>
      <c r="H24" s="138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8">
        <f>IF(B$27=0,0,G25/B$27)</f>
        <v>0</v>
      </c>
      <c r="I25" s="100">
        <v>6</v>
      </c>
    </row>
    <row r="26" spans="1:17" x14ac:dyDescent="0.4">
      <c r="A26" s="56" t="s">
        <v>126</v>
      </c>
      <c r="B26" s="148">
        <v>0</v>
      </c>
      <c r="C26" s="149"/>
      <c r="E26" s="65" t="s">
        <v>91</v>
      </c>
      <c r="F26" s="62" t="s">
        <v>44</v>
      </c>
      <c r="G26" s="49">
        <v>0</v>
      </c>
      <c r="H26" s="138">
        <f>IF(B$27=0,0,G26/B$27)</f>
        <v>0</v>
      </c>
      <c r="I26" s="100">
        <v>14</v>
      </c>
    </row>
    <row r="27" spans="1:17" x14ac:dyDescent="0.4">
      <c r="A27" s="59" t="s">
        <v>127</v>
      </c>
      <c r="B27" s="150">
        <v>0</v>
      </c>
      <c r="C27" s="151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0493D-430D-441F-AFD3-73050ED3CDDA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167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14.954597955144097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4</v>
      </c>
      <c r="C2" s="149"/>
      <c r="E2" s="64" t="s">
        <v>69</v>
      </c>
      <c r="F2" s="61" t="s">
        <v>23</v>
      </c>
      <c r="G2" s="48">
        <v>5</v>
      </c>
      <c r="H2" s="137">
        <f>IF(B$27=0,0,G2/B$27)</f>
        <v>1.25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-7250</v>
      </c>
      <c r="P2" s="124">
        <v>4</v>
      </c>
      <c r="Q2" s="108">
        <v>-29000</v>
      </c>
    </row>
    <row r="3" spans="1:17" x14ac:dyDescent="0.4">
      <c r="A3" s="57" t="s">
        <v>8</v>
      </c>
      <c r="B3" s="154">
        <v>24</v>
      </c>
      <c r="C3" s="155"/>
      <c r="E3" s="65" t="s">
        <v>76</v>
      </c>
      <c r="F3" s="62" t="s">
        <v>29</v>
      </c>
      <c r="G3" s="49">
        <v>3</v>
      </c>
      <c r="H3" s="138">
        <f>IF(B$27=0,0,G3/B$27)</f>
        <v>0.75</v>
      </c>
      <c r="I3" s="100">
        <v>2</v>
      </c>
      <c r="K3" s="40">
        <v>1</v>
      </c>
      <c r="L3" s="105">
        <v>7</v>
      </c>
      <c r="N3" s="121" t="s">
        <v>148</v>
      </c>
      <c r="O3" s="128">
        <f t="shared" si="0"/>
        <v>-3166.6666666666665</v>
      </c>
      <c r="P3" s="125">
        <v>3</v>
      </c>
      <c r="Q3" s="109">
        <v>-9500</v>
      </c>
    </row>
    <row r="4" spans="1:17" x14ac:dyDescent="0.4">
      <c r="A4" s="57" t="s">
        <v>6</v>
      </c>
      <c r="B4" s="156">
        <v>-15.5</v>
      </c>
      <c r="C4" s="157"/>
      <c r="E4" s="65" t="s">
        <v>67</v>
      </c>
      <c r="F4" s="62" t="s">
        <v>21</v>
      </c>
      <c r="G4" s="49">
        <v>2</v>
      </c>
      <c r="H4" s="138">
        <f>IF(B$27=0,0,G4/B$27)</f>
        <v>0.5</v>
      </c>
      <c r="I4" s="100">
        <v>9</v>
      </c>
      <c r="K4" s="40">
        <v>2</v>
      </c>
      <c r="L4" s="105">
        <v>-31.5</v>
      </c>
      <c r="N4" s="121" t="s">
        <v>149</v>
      </c>
      <c r="O4" s="128">
        <f t="shared" si="0"/>
        <v>-3666.6666666666665</v>
      </c>
      <c r="P4" s="125">
        <v>3</v>
      </c>
      <c r="Q4" s="109">
        <v>-11000</v>
      </c>
    </row>
    <row r="5" spans="1:17" x14ac:dyDescent="0.4">
      <c r="A5" s="57" t="s">
        <v>7</v>
      </c>
      <c r="B5" s="158">
        <f>IF(B$2=0,0,B$4/B$2)</f>
        <v>-3.875</v>
      </c>
      <c r="C5" s="159"/>
      <c r="E5" s="65" t="s">
        <v>70</v>
      </c>
      <c r="F5" s="62" t="s">
        <v>24</v>
      </c>
      <c r="G5" s="49">
        <v>2</v>
      </c>
      <c r="H5" s="138">
        <f>IF(B$27=0,0,G5/B$27)</f>
        <v>0.5</v>
      </c>
      <c r="I5" s="100">
        <v>2</v>
      </c>
      <c r="K5" s="40">
        <v>3</v>
      </c>
      <c r="L5" s="105">
        <v>-2</v>
      </c>
      <c r="N5" s="121" t="s">
        <v>150</v>
      </c>
      <c r="O5" s="128">
        <f t="shared" si="0"/>
        <v>4000</v>
      </c>
      <c r="P5" s="125">
        <v>2</v>
      </c>
      <c r="Q5" s="109">
        <v>8000</v>
      </c>
    </row>
    <row r="6" spans="1:17" x14ac:dyDescent="0.4">
      <c r="A6" s="57" t="s">
        <v>1</v>
      </c>
      <c r="B6" s="146">
        <f>IF(B$2=0,0,(B$7*1+B$8*2+B$9*3)/B$2)</f>
        <v>2</v>
      </c>
      <c r="C6" s="147"/>
      <c r="E6" s="65" t="s">
        <v>71</v>
      </c>
      <c r="F6" s="62" t="s">
        <v>25</v>
      </c>
      <c r="G6" s="49">
        <v>2</v>
      </c>
      <c r="H6" s="138">
        <f>IF(B$27=0,0,G6/B$27)</f>
        <v>0.5</v>
      </c>
      <c r="I6" s="100">
        <v>13</v>
      </c>
      <c r="K6" s="40">
        <v>4</v>
      </c>
      <c r="L6" s="105">
        <v>11</v>
      </c>
      <c r="N6" s="121" t="s">
        <v>151</v>
      </c>
      <c r="O6" s="128">
        <f t="shared" si="0"/>
        <v>21500</v>
      </c>
      <c r="P6" s="125">
        <v>2</v>
      </c>
      <c r="Q6" s="109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38">
        <f>IF(B$27=0,0,G7/B$27)</f>
        <v>0.5</v>
      </c>
      <c r="I7" s="100">
        <v>1</v>
      </c>
      <c r="N7" s="122" t="s">
        <v>152</v>
      </c>
      <c r="O7" s="129">
        <f t="shared" si="0"/>
        <v>-8500</v>
      </c>
      <c r="P7" s="126">
        <v>2</v>
      </c>
      <c r="Q7" s="110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38">
        <f>IF(B$27=0,0,G8/B$27)</f>
        <v>0.25</v>
      </c>
      <c r="I8" s="100">
        <v>10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38">
        <f>IF(B$27=0,0,G9/B$27)</f>
        <v>0.25</v>
      </c>
      <c r="I9" s="100">
        <v>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38">
        <f>IF(B$27=0,0,G10/B$27)</f>
        <v>0.25</v>
      </c>
      <c r="I10" s="100">
        <v>1</v>
      </c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38">
        <f>IF(B$27=0,0,G11/B$27)</f>
        <v>0.25</v>
      </c>
      <c r="I11" s="100">
        <v>1</v>
      </c>
      <c r="N11" s="121" t="s">
        <v>254</v>
      </c>
      <c r="O11" s="131">
        <f>IF(P11=0,0,Q11/P11)</f>
        <v>9</v>
      </c>
      <c r="P11" s="125">
        <v>2</v>
      </c>
      <c r="Q11" s="113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38">
        <f>IF(B$27=0,0,G12/B$27)</f>
        <v>0.25</v>
      </c>
      <c r="I12" s="100">
        <v>1</v>
      </c>
      <c r="N12" s="122" t="s">
        <v>255</v>
      </c>
      <c r="O12" s="132">
        <f>IF(P12=0,0,Q12/P12)</f>
        <v>-16.75</v>
      </c>
      <c r="P12" s="126">
        <v>2</v>
      </c>
      <c r="Q12" s="114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38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166</v>
      </c>
      <c r="O15" s="130">
        <f>IF(P15=0,0,Q15/P15)</f>
        <v>29</v>
      </c>
      <c r="P15" s="124">
        <v>1</v>
      </c>
      <c r="Q15" s="112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139</v>
      </c>
      <c r="O16" s="131">
        <f>IF(P16=0,0,Q16/P16)</f>
        <v>3.9666666666666663</v>
      </c>
      <c r="P16" s="125">
        <v>3</v>
      </c>
      <c r="Q16" s="113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133</v>
      </c>
      <c r="O17" s="131">
        <f>IF(P17=0,0,Q17/P17)</f>
        <v>-8</v>
      </c>
      <c r="P17" s="125">
        <v>1</v>
      </c>
      <c r="Q17" s="113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134</v>
      </c>
      <c r="O18" s="131">
        <f>IF(P18=0,0,Q18/P18)</f>
        <v>-26.466666666666669</v>
      </c>
      <c r="P18" s="125">
        <v>3</v>
      </c>
      <c r="Q18" s="113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44">
        <v>3</v>
      </c>
      <c r="C23" s="145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42">
        <v>46000</v>
      </c>
      <c r="C24" s="143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8">
        <v>19</v>
      </c>
      <c r="C26" s="149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0">
        <v>4</v>
      </c>
      <c r="C27" s="151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454AA-D693-432F-BBAC-F3C19E6D5A2E}">
  <sheetPr codeName="Sheet13"/>
  <dimension ref="A1:Q13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134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28.067250469697111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132</v>
      </c>
      <c r="C2" s="149"/>
      <c r="E2" s="64" t="s">
        <v>71</v>
      </c>
      <c r="F2" s="61" t="s">
        <v>25</v>
      </c>
      <c r="G2" s="48">
        <v>160</v>
      </c>
      <c r="H2" s="137">
        <f>IF(B$27=0,0,G2/B$27)</f>
        <v>0.76923076923076927</v>
      </c>
      <c r="I2" s="99">
        <v>10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-596.15384615384619</v>
      </c>
      <c r="P2" s="124">
        <v>130</v>
      </c>
      <c r="Q2" s="108">
        <v>-77500</v>
      </c>
    </row>
    <row r="3" spans="1:17" x14ac:dyDescent="0.4">
      <c r="A3" s="57" t="s">
        <v>8</v>
      </c>
      <c r="B3" s="154">
        <v>1027</v>
      </c>
      <c r="C3" s="155"/>
      <c r="E3" s="65" t="s">
        <v>69</v>
      </c>
      <c r="F3" s="62" t="s">
        <v>23</v>
      </c>
      <c r="G3" s="49">
        <v>146</v>
      </c>
      <c r="H3" s="138">
        <f>IF(B$27=0,0,G3/B$27)</f>
        <v>0.70192307692307687</v>
      </c>
      <c r="I3" s="100">
        <v>7</v>
      </c>
      <c r="K3" s="40">
        <v>1</v>
      </c>
      <c r="L3" s="105">
        <v>40.9</v>
      </c>
      <c r="N3" s="121" t="s">
        <v>148</v>
      </c>
      <c r="O3" s="128">
        <f t="shared" si="0"/>
        <v>-1070.6349206349207</v>
      </c>
      <c r="P3" s="125">
        <v>126</v>
      </c>
      <c r="Q3" s="109">
        <v>-134900</v>
      </c>
    </row>
    <row r="4" spans="1:17" x14ac:dyDescent="0.4">
      <c r="A4" s="57" t="s">
        <v>6</v>
      </c>
      <c r="B4" s="156">
        <v>-449.7</v>
      </c>
      <c r="C4" s="157"/>
      <c r="E4" s="65" t="s">
        <v>67</v>
      </c>
      <c r="F4" s="62" t="s">
        <v>21</v>
      </c>
      <c r="G4" s="49">
        <v>130</v>
      </c>
      <c r="H4" s="138">
        <f>IF(B$27=0,0,G4/B$27)</f>
        <v>0.625</v>
      </c>
      <c r="I4" s="100">
        <v>4</v>
      </c>
      <c r="K4" s="40">
        <v>2</v>
      </c>
      <c r="L4" s="105">
        <v>-41.8</v>
      </c>
      <c r="N4" s="121" t="s">
        <v>149</v>
      </c>
      <c r="O4" s="128">
        <f t="shared" si="0"/>
        <v>1286.8852459016393</v>
      </c>
      <c r="P4" s="125">
        <v>122</v>
      </c>
      <c r="Q4" s="109">
        <v>157000</v>
      </c>
    </row>
    <row r="5" spans="1:17" x14ac:dyDescent="0.4">
      <c r="A5" s="57" t="s">
        <v>7</v>
      </c>
      <c r="B5" s="158">
        <f>IF(B$2=0,0,B$4/B$2)</f>
        <v>-3.4068181818181817</v>
      </c>
      <c r="C5" s="159"/>
      <c r="E5" s="65" t="s">
        <v>76</v>
      </c>
      <c r="F5" s="62" t="s">
        <v>29</v>
      </c>
      <c r="G5" s="49">
        <v>105</v>
      </c>
      <c r="H5" s="138">
        <f>IF(B$27=0,0,G5/B$27)</f>
        <v>0.50480769230769229</v>
      </c>
      <c r="I5" s="100">
        <v>11</v>
      </c>
      <c r="K5" s="40">
        <v>3</v>
      </c>
      <c r="L5" s="105">
        <v>-35.5</v>
      </c>
      <c r="N5" s="121" t="s">
        <v>150</v>
      </c>
      <c r="O5" s="128">
        <f t="shared" si="0"/>
        <v>-1069.7247706422017</v>
      </c>
      <c r="P5" s="125">
        <v>109</v>
      </c>
      <c r="Q5" s="109">
        <v>-116600</v>
      </c>
    </row>
    <row r="6" spans="1:17" x14ac:dyDescent="0.4">
      <c r="A6" s="57" t="s">
        <v>1</v>
      </c>
      <c r="B6" s="146">
        <f>IF(B$2=0,0,(B$7*1+B$8*2+B$9*3)/B$2)</f>
        <v>2.0984848484848486</v>
      </c>
      <c r="C6" s="147"/>
      <c r="E6" s="65" t="s">
        <v>72</v>
      </c>
      <c r="F6" s="62" t="s">
        <v>12</v>
      </c>
      <c r="G6" s="49">
        <v>75</v>
      </c>
      <c r="H6" s="138">
        <f>IF(B$27=0,0,G6/B$27)</f>
        <v>0.36057692307692307</v>
      </c>
      <c r="I6" s="100">
        <v>2</v>
      </c>
      <c r="K6" s="40">
        <v>4</v>
      </c>
      <c r="L6" s="105">
        <v>40</v>
      </c>
      <c r="N6" s="121" t="s">
        <v>151</v>
      </c>
      <c r="O6" s="128">
        <f t="shared" si="0"/>
        <v>-1992.4731182795699</v>
      </c>
      <c r="P6" s="125">
        <v>93</v>
      </c>
      <c r="Q6" s="109">
        <v>-185300</v>
      </c>
    </row>
    <row r="7" spans="1:17" x14ac:dyDescent="0.4">
      <c r="A7" s="57" t="s">
        <v>2</v>
      </c>
      <c r="B7" s="49">
        <v>39</v>
      </c>
      <c r="C7" s="41">
        <f>IF(B$2=0,0,B7/B$2)</f>
        <v>0.29545454545454547</v>
      </c>
      <c r="E7" s="65" t="s">
        <v>70</v>
      </c>
      <c r="F7" s="62" t="s">
        <v>24</v>
      </c>
      <c r="G7" s="49">
        <v>66</v>
      </c>
      <c r="H7" s="138">
        <f>IF(B$27=0,0,G7/B$27)</f>
        <v>0.31730769230769229</v>
      </c>
      <c r="I7" s="100">
        <v>6</v>
      </c>
      <c r="K7" s="40">
        <v>5</v>
      </c>
      <c r="L7" s="105">
        <v>11</v>
      </c>
      <c r="N7" s="122" t="s">
        <v>152</v>
      </c>
      <c r="O7" s="129">
        <f t="shared" si="0"/>
        <v>-1786.3013698630136</v>
      </c>
      <c r="P7" s="126">
        <v>73</v>
      </c>
      <c r="Q7" s="110">
        <v>-130400</v>
      </c>
    </row>
    <row r="8" spans="1:17" x14ac:dyDescent="0.4">
      <c r="A8" s="57" t="s">
        <v>3</v>
      </c>
      <c r="B8" s="49">
        <v>41</v>
      </c>
      <c r="C8" s="41">
        <f>IF(B$2=0,0,B8/B$2)</f>
        <v>0.31060606060606061</v>
      </c>
      <c r="E8" s="65" t="s">
        <v>94</v>
      </c>
      <c r="F8" s="62" t="s">
        <v>47</v>
      </c>
      <c r="G8" s="49">
        <v>36</v>
      </c>
      <c r="H8" s="138">
        <f>IF(B$27=0,0,G8/B$27)</f>
        <v>0.17307692307692307</v>
      </c>
      <c r="I8" s="100">
        <v>5</v>
      </c>
      <c r="K8" s="40">
        <v>6</v>
      </c>
      <c r="L8" s="105">
        <v>33</v>
      </c>
      <c r="N8" s="45"/>
      <c r="O8" s="133"/>
      <c r="P8" s="117"/>
      <c r="Q8" s="115"/>
    </row>
    <row r="9" spans="1:17" x14ac:dyDescent="0.4">
      <c r="A9" s="58" t="s">
        <v>4</v>
      </c>
      <c r="B9" s="50">
        <v>52</v>
      </c>
      <c r="C9" s="42">
        <f t="shared" ref="C9" si="1">IF(B$2=0,0,B9/B$2)</f>
        <v>0.39393939393939392</v>
      </c>
      <c r="E9" s="65" t="s">
        <v>73</v>
      </c>
      <c r="F9" s="62" t="s">
        <v>26</v>
      </c>
      <c r="G9" s="49">
        <v>32</v>
      </c>
      <c r="H9" s="138">
        <f>IF(B$27=0,0,G9/B$27)</f>
        <v>0.15384615384615385</v>
      </c>
      <c r="I9" s="100">
        <v>6</v>
      </c>
      <c r="K9" s="40">
        <v>7</v>
      </c>
      <c r="L9" s="105">
        <v>52.5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25</v>
      </c>
      <c r="C10" s="42">
        <f>IF(B$2=0,0,B10/B$2)</f>
        <v>0.18939393939393939</v>
      </c>
      <c r="E10" s="65" t="s">
        <v>68</v>
      </c>
      <c r="F10" s="62" t="s">
        <v>22</v>
      </c>
      <c r="G10" s="49">
        <v>30</v>
      </c>
      <c r="H10" s="138">
        <f>IF(B$27=0,0,G10/B$27)</f>
        <v>0.14423076923076922</v>
      </c>
      <c r="I10" s="100">
        <v>5</v>
      </c>
      <c r="K10" s="40">
        <v>8</v>
      </c>
      <c r="L10" s="105">
        <v>-39.9</v>
      </c>
      <c r="N10" s="120" t="s">
        <v>253</v>
      </c>
      <c r="O10" s="130">
        <f>IF(P10=0,0,Q10/P10)</f>
        <v>-7.3357142857142845</v>
      </c>
      <c r="P10" s="124">
        <v>42</v>
      </c>
      <c r="Q10" s="112">
        <v>-308.09999999999997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0.12878787878787878</v>
      </c>
      <c r="E11" s="65" t="s">
        <v>74</v>
      </c>
      <c r="F11" s="62" t="s">
        <v>27</v>
      </c>
      <c r="G11" s="49">
        <v>29</v>
      </c>
      <c r="H11" s="138">
        <f>IF(B$27=0,0,G11/B$27)</f>
        <v>0.13942307692307693</v>
      </c>
      <c r="I11" s="100">
        <v>3</v>
      </c>
      <c r="K11" s="40">
        <v>9</v>
      </c>
      <c r="L11" s="105">
        <v>-35.799999999999997</v>
      </c>
      <c r="N11" s="121" t="s">
        <v>254</v>
      </c>
      <c r="O11" s="131">
        <f>IF(P11=0,0,Q11/P11)</f>
        <v>-4.6448979591836732</v>
      </c>
      <c r="P11" s="125">
        <v>49</v>
      </c>
      <c r="Q11" s="113">
        <v>-227.59999999999997</v>
      </c>
    </row>
    <row r="12" spans="1:17" x14ac:dyDescent="0.4">
      <c r="A12" s="59" t="s">
        <v>239</v>
      </c>
      <c r="B12" s="51">
        <v>10</v>
      </c>
      <c r="C12" s="44">
        <f>IF(B$2=0,0,B12/B$2)</f>
        <v>7.575757575757576E-2</v>
      </c>
      <c r="E12" s="65" t="s">
        <v>91</v>
      </c>
      <c r="F12" s="62" t="s">
        <v>44</v>
      </c>
      <c r="G12" s="49">
        <v>20</v>
      </c>
      <c r="H12" s="138">
        <f>IF(B$27=0,0,G12/B$27)</f>
        <v>9.6153846153846159E-2</v>
      </c>
      <c r="I12" s="100">
        <v>4</v>
      </c>
      <c r="K12" s="40">
        <v>10</v>
      </c>
      <c r="L12" s="105">
        <v>-44.5</v>
      </c>
      <c r="N12" s="122" t="s">
        <v>255</v>
      </c>
      <c r="O12" s="132">
        <f>IF(P12=0,0,Q12/P12)</f>
        <v>0.9</v>
      </c>
      <c r="P12" s="126">
        <v>40</v>
      </c>
      <c r="Q12" s="114">
        <v>36</v>
      </c>
    </row>
    <row r="13" spans="1:17" x14ac:dyDescent="0.4">
      <c r="A13" s="60" t="s">
        <v>128</v>
      </c>
      <c r="B13" s="52">
        <v>228</v>
      </c>
      <c r="C13" s="46">
        <f>IF(B$26=0,0,B13/B$26)</f>
        <v>0.29765013054830286</v>
      </c>
      <c r="E13" s="65" t="s">
        <v>88</v>
      </c>
      <c r="F13" s="62" t="s">
        <v>41</v>
      </c>
      <c r="G13" s="49">
        <v>16</v>
      </c>
      <c r="H13" s="138">
        <f>IF(B$27=0,0,G13/B$27)</f>
        <v>7.6923076923076927E-2</v>
      </c>
      <c r="I13" s="100">
        <v>5</v>
      </c>
      <c r="K13" s="40">
        <v>11</v>
      </c>
      <c r="L13" s="105">
        <v>16.5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136</v>
      </c>
      <c r="C14" s="41">
        <f>IF(B$26=0,0,B14/B$26)</f>
        <v>0.17754569190600522</v>
      </c>
      <c r="E14" s="65" t="s">
        <v>86</v>
      </c>
      <c r="F14" s="62" t="s">
        <v>39</v>
      </c>
      <c r="G14" s="49">
        <v>10</v>
      </c>
      <c r="H14" s="138">
        <f>IF(B$27=0,0,G14/B$27)</f>
        <v>4.807692307692308E-2</v>
      </c>
      <c r="I14" s="100">
        <v>3</v>
      </c>
      <c r="K14" s="40">
        <v>12</v>
      </c>
      <c r="L14" s="105">
        <v>-8.4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132</v>
      </c>
      <c r="C15" s="39">
        <f>IF(B$13=0,0,B15/B$13)</f>
        <v>0.57894736842105265</v>
      </c>
      <c r="E15" s="65" t="s">
        <v>96</v>
      </c>
      <c r="F15" s="62" t="s">
        <v>49</v>
      </c>
      <c r="G15" s="49">
        <v>7</v>
      </c>
      <c r="H15" s="138">
        <f>IF(B$27=0,0,G15/B$27)</f>
        <v>3.3653846153846152E-2</v>
      </c>
      <c r="I15" s="100">
        <v>2</v>
      </c>
      <c r="K15" s="40">
        <v>13</v>
      </c>
      <c r="L15" s="105">
        <v>61.5</v>
      </c>
      <c r="N15" s="120" t="s">
        <v>250</v>
      </c>
      <c r="O15" s="130">
        <f>IF(P15=0,0,Q15/P15)</f>
        <v>53.3</v>
      </c>
      <c r="P15" s="124">
        <v>2</v>
      </c>
      <c r="Q15" s="112">
        <v>106.6</v>
      </c>
    </row>
    <row r="16" spans="1:17" x14ac:dyDescent="0.4">
      <c r="A16" s="56" t="s">
        <v>131</v>
      </c>
      <c r="B16" s="48">
        <v>52</v>
      </c>
      <c r="C16" s="39">
        <f>IF(B$14=0,0,B16/B$14)</f>
        <v>0.38235294117647056</v>
      </c>
      <c r="E16" s="65" t="s">
        <v>75</v>
      </c>
      <c r="F16" s="62" t="s">
        <v>28</v>
      </c>
      <c r="G16" s="49">
        <v>6</v>
      </c>
      <c r="H16" s="138">
        <f>IF(B$27=0,0,G16/B$27)</f>
        <v>2.8846153846153848E-2</v>
      </c>
      <c r="I16" s="100">
        <v>9</v>
      </c>
      <c r="K16" s="40">
        <v>14</v>
      </c>
      <c r="L16" s="105">
        <v>-16.5</v>
      </c>
      <c r="N16" s="121" t="s">
        <v>136</v>
      </c>
      <c r="O16" s="131">
        <f>IF(P16=0,0,Q16/P16)</f>
        <v>26.972222222222218</v>
      </c>
      <c r="P16" s="125">
        <v>18</v>
      </c>
      <c r="Q16" s="113">
        <v>485.49999999999994</v>
      </c>
    </row>
    <row r="17" spans="1:17" x14ac:dyDescent="0.4">
      <c r="A17" s="56" t="s">
        <v>10</v>
      </c>
      <c r="B17" s="48">
        <f>B19+B18</f>
        <v>269</v>
      </c>
      <c r="C17" s="39">
        <f>IF(B$3=0,0,B17/B$3)</f>
        <v>0.26192794547224929</v>
      </c>
      <c r="E17" s="65" t="s">
        <v>82</v>
      </c>
      <c r="F17" s="62" t="s">
        <v>35</v>
      </c>
      <c r="G17" s="49">
        <v>5</v>
      </c>
      <c r="H17" s="138">
        <f>IF(B$27=0,0,G17/B$27)</f>
        <v>2.403846153846154E-2</v>
      </c>
      <c r="I17" s="100">
        <v>7</v>
      </c>
      <c r="K17" s="40">
        <v>15</v>
      </c>
      <c r="L17" s="105">
        <v>5.5</v>
      </c>
      <c r="N17" s="121" t="s">
        <v>167</v>
      </c>
      <c r="O17" s="131">
        <f>IF(P17=0,0,Q17/P17)</f>
        <v>26.466666666666669</v>
      </c>
      <c r="P17" s="125">
        <v>3</v>
      </c>
      <c r="Q17" s="113">
        <v>79.400000000000006</v>
      </c>
    </row>
    <row r="18" spans="1:17" x14ac:dyDescent="0.4">
      <c r="A18" s="57" t="s">
        <v>12</v>
      </c>
      <c r="B18" s="49">
        <v>119</v>
      </c>
      <c r="C18" s="41">
        <f>IF(B$17=0,0,B18/B$17)</f>
        <v>0.44237918215613381</v>
      </c>
      <c r="E18" s="65" t="s">
        <v>83</v>
      </c>
      <c r="F18" s="62" t="s">
        <v>36</v>
      </c>
      <c r="G18" s="49">
        <v>3</v>
      </c>
      <c r="H18" s="138">
        <f>IF(B$27=0,0,G18/B$27)</f>
        <v>1.4423076923076924E-2</v>
      </c>
      <c r="I18" s="100">
        <v>7</v>
      </c>
      <c r="K18" s="40">
        <v>16</v>
      </c>
      <c r="L18" s="105">
        <v>-23.9</v>
      </c>
      <c r="N18" s="121" t="s">
        <v>139</v>
      </c>
      <c r="O18" s="131">
        <f>IF(P18=0,0,Q18/P18)</f>
        <v>3.4244444444444424</v>
      </c>
      <c r="P18" s="125">
        <v>45</v>
      </c>
      <c r="Q18" s="113">
        <v>154.09999999999991</v>
      </c>
    </row>
    <row r="19" spans="1:17" x14ac:dyDescent="0.4">
      <c r="A19" s="57" t="s">
        <v>11</v>
      </c>
      <c r="B19" s="49">
        <v>150</v>
      </c>
      <c r="C19" s="41">
        <f>IF(B$17=0,0,B19/B$17)</f>
        <v>0.55762081784386619</v>
      </c>
      <c r="E19" s="65" t="s">
        <v>89</v>
      </c>
      <c r="F19" s="62" t="s">
        <v>42</v>
      </c>
      <c r="G19" s="49">
        <v>2</v>
      </c>
      <c r="H19" s="138">
        <f>IF(B$27=0,0,G19/B$27)</f>
        <v>9.6153846153846159E-3</v>
      </c>
      <c r="I19" s="100">
        <v>1</v>
      </c>
      <c r="K19" s="40">
        <v>17</v>
      </c>
      <c r="L19" s="105">
        <v>-0.7</v>
      </c>
      <c r="N19" s="121" t="s">
        <v>138</v>
      </c>
      <c r="O19" s="131">
        <f>IF(P19=0,0,Q19/P19)</f>
        <v>-0.14444444444444493</v>
      </c>
      <c r="P19" s="125">
        <v>9</v>
      </c>
      <c r="Q19" s="113">
        <v>-1.3000000000000043</v>
      </c>
    </row>
    <row r="20" spans="1:17" x14ac:dyDescent="0.4">
      <c r="A20" s="57" t="s">
        <v>13</v>
      </c>
      <c r="B20" s="49">
        <v>198</v>
      </c>
      <c r="C20" s="41">
        <f>IF(B$3=0,0,B20/B$3)</f>
        <v>0.19279454722492698</v>
      </c>
      <c r="E20" s="65" t="s">
        <v>90</v>
      </c>
      <c r="F20" s="62" t="s">
        <v>43</v>
      </c>
      <c r="G20" s="49">
        <v>2</v>
      </c>
      <c r="H20" s="138">
        <f>IF(B$27=0,0,G20/B$27)</f>
        <v>9.6153846153846159E-3</v>
      </c>
      <c r="I20" s="100">
        <v>2</v>
      </c>
      <c r="K20" s="40">
        <v>18</v>
      </c>
      <c r="L20" s="105">
        <v>-35.9</v>
      </c>
      <c r="N20" s="121" t="s">
        <v>133</v>
      </c>
      <c r="O20" s="131">
        <f>IF(P20=0,0,Q20/P20)</f>
        <v>-8.5636363636363591</v>
      </c>
      <c r="P20" s="125">
        <v>110</v>
      </c>
      <c r="Q20" s="113">
        <v>-941.99999999999955</v>
      </c>
    </row>
    <row r="21" spans="1:17" x14ac:dyDescent="0.4">
      <c r="A21" s="57" t="s">
        <v>5</v>
      </c>
      <c r="B21" s="53">
        <f>IF(B$17=0,0,C21/B$17)</f>
        <v>11027.509293680298</v>
      </c>
      <c r="C21" s="43">
        <v>2966400</v>
      </c>
      <c r="E21" s="65" t="s">
        <v>97</v>
      </c>
      <c r="F21" s="62" t="s">
        <v>50</v>
      </c>
      <c r="G21" s="49">
        <v>2</v>
      </c>
      <c r="H21" s="138">
        <f>IF(B$27=0,0,G21/B$27)</f>
        <v>9.6153846153846159E-3</v>
      </c>
      <c r="I21" s="100">
        <v>3</v>
      </c>
      <c r="K21" s="40">
        <v>19</v>
      </c>
      <c r="L21" s="105">
        <v>-4.7</v>
      </c>
      <c r="N21" s="121" t="s">
        <v>157</v>
      </c>
      <c r="O21" s="131">
        <f>IF(P21=0,0,Q21/P21)</f>
        <v>-10.366666666666665</v>
      </c>
      <c r="P21" s="125">
        <v>3</v>
      </c>
      <c r="Q21" s="113">
        <v>-31.099999999999998</v>
      </c>
    </row>
    <row r="22" spans="1:17" x14ac:dyDescent="0.4">
      <c r="A22" s="59" t="s">
        <v>14</v>
      </c>
      <c r="B22" s="54">
        <f>IF(B$20=0,0,C22/B$20)</f>
        <v>-9564.1414141414134</v>
      </c>
      <c r="C22" s="47">
        <v>-1893700</v>
      </c>
      <c r="E22" s="65" t="s">
        <v>77</v>
      </c>
      <c r="F22" s="62" t="s">
        <v>30</v>
      </c>
      <c r="G22" s="49">
        <v>1</v>
      </c>
      <c r="H22" s="138">
        <f>IF(B$27=0,0,G22/B$27)</f>
        <v>4.807692307692308E-3</v>
      </c>
      <c r="I22" s="100">
        <v>6</v>
      </c>
      <c r="K22" s="40">
        <v>20</v>
      </c>
      <c r="L22" s="105">
        <v>-31.2</v>
      </c>
      <c r="N22" s="121" t="s">
        <v>135</v>
      </c>
      <c r="O22" s="131">
        <f>IF(P22=0,0,Q22/P22)</f>
        <v>-15.51666666666666</v>
      </c>
      <c r="P22" s="125">
        <v>36</v>
      </c>
      <c r="Q22" s="113">
        <v>-558.5999999999998</v>
      </c>
    </row>
    <row r="23" spans="1:17" x14ac:dyDescent="0.4">
      <c r="A23" s="96" t="s">
        <v>158</v>
      </c>
      <c r="B23" s="144">
        <v>10</v>
      </c>
      <c r="C23" s="145"/>
      <c r="E23" s="65" t="s">
        <v>78</v>
      </c>
      <c r="F23" s="62" t="s">
        <v>31</v>
      </c>
      <c r="G23" s="49">
        <v>1</v>
      </c>
      <c r="H23" s="138">
        <f>IF(B$27=0,0,G23/B$27)</f>
        <v>4.807692307692308E-3</v>
      </c>
      <c r="I23" s="100">
        <v>1</v>
      </c>
      <c r="K23" s="40">
        <v>21</v>
      </c>
      <c r="L23" s="105">
        <v>-24.8</v>
      </c>
      <c r="N23" s="121" t="s">
        <v>137</v>
      </c>
      <c r="O23" s="131">
        <f>IF(P23=0,0,Q23/P23)</f>
        <v>-15.705714285714285</v>
      </c>
      <c r="P23" s="125">
        <v>35</v>
      </c>
      <c r="Q23" s="113">
        <v>-549.69999999999993</v>
      </c>
    </row>
    <row r="24" spans="1:17" x14ac:dyDescent="0.4">
      <c r="A24" s="60" t="s">
        <v>199</v>
      </c>
      <c r="B24" s="142">
        <v>97700</v>
      </c>
      <c r="C24" s="143"/>
      <c r="E24" s="65" t="s">
        <v>85</v>
      </c>
      <c r="F24" s="62" t="s">
        <v>38</v>
      </c>
      <c r="G24" s="49">
        <v>1</v>
      </c>
      <c r="H24" s="138">
        <f>IF(B$27=0,0,G24/B$27)</f>
        <v>4.807692307692308E-3</v>
      </c>
      <c r="I24" s="100">
        <v>1</v>
      </c>
      <c r="K24" s="40">
        <v>22</v>
      </c>
      <c r="L24" s="105">
        <v>-11.9</v>
      </c>
      <c r="N24" s="121" t="s">
        <v>194</v>
      </c>
      <c r="O24" s="131">
        <f>IF(P24=0,0,Q24/P24)</f>
        <v>-29.333333333333332</v>
      </c>
      <c r="P24" s="125">
        <v>3</v>
      </c>
      <c r="Q24" s="113">
        <v>-88</v>
      </c>
    </row>
    <row r="25" spans="1:17" x14ac:dyDescent="0.4">
      <c r="A25" s="59" t="s">
        <v>159</v>
      </c>
      <c r="B25" s="67">
        <v>4</v>
      </c>
      <c r="C25" s="44">
        <f>IF(B$3=0,0,B25/B$3)</f>
        <v>3.8948393378773127E-3</v>
      </c>
      <c r="E25" s="65" t="s">
        <v>92</v>
      </c>
      <c r="F25" s="62" t="s">
        <v>45</v>
      </c>
      <c r="G25" s="49">
        <v>1</v>
      </c>
      <c r="H25" s="138">
        <f>IF(B$27=0,0,G25/B$27)</f>
        <v>4.807692307692308E-3</v>
      </c>
      <c r="I25" s="100">
        <v>1</v>
      </c>
      <c r="K25" s="40">
        <v>23</v>
      </c>
      <c r="L25" s="105">
        <v>-16.7</v>
      </c>
    </row>
    <row r="26" spans="1:17" x14ac:dyDescent="0.4">
      <c r="A26" s="56" t="s">
        <v>126</v>
      </c>
      <c r="B26" s="148">
        <v>766</v>
      </c>
      <c r="C26" s="149"/>
      <c r="E26" s="65" t="s">
        <v>93</v>
      </c>
      <c r="F26" s="62" t="s">
        <v>46</v>
      </c>
      <c r="G26" s="49">
        <v>1</v>
      </c>
      <c r="H26" s="138">
        <f>IF(B$27=0,0,G26/B$27)</f>
        <v>4.807692307692308E-3</v>
      </c>
      <c r="I26" s="100">
        <v>1</v>
      </c>
      <c r="K26" s="40">
        <v>24</v>
      </c>
      <c r="L26" s="105">
        <v>43.2</v>
      </c>
    </row>
    <row r="27" spans="1:17" x14ac:dyDescent="0.4">
      <c r="A27" s="59" t="s">
        <v>127</v>
      </c>
      <c r="B27" s="150">
        <v>208</v>
      </c>
      <c r="C27" s="151"/>
      <c r="E27" s="65" t="s">
        <v>79</v>
      </c>
      <c r="F27" s="62" t="s">
        <v>32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-2.8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-55</v>
      </c>
    </row>
    <row r="29" spans="1:17" x14ac:dyDescent="0.4">
      <c r="E29" s="65" t="s">
        <v>81</v>
      </c>
      <c r="F29" s="62" t="s">
        <v>34</v>
      </c>
      <c r="G29" s="49">
        <v>0</v>
      </c>
      <c r="H29" s="138">
        <f>IF(B$27=0,0,G29/B$27)</f>
        <v>0</v>
      </c>
      <c r="I29" s="100">
        <v>7</v>
      </c>
      <c r="K29" s="40">
        <v>27</v>
      </c>
      <c r="L29" s="105">
        <v>-37.700000000000003</v>
      </c>
    </row>
    <row r="30" spans="1:17" x14ac:dyDescent="0.4">
      <c r="E30" s="65" t="s">
        <v>84</v>
      </c>
      <c r="F30" s="62" t="s">
        <v>37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-5.9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6.2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-46.1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-50.5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6.3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18.7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5.0999999999999996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-24.5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50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-45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6.8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-2.1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-35.1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-40.4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5.8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29.5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44.9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-16.399999999999999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-24.3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16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-24.2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5.8</v>
      </c>
    </row>
    <row r="52" spans="5:12" x14ac:dyDescent="0.4">
      <c r="K52" s="40">
        <v>50</v>
      </c>
      <c r="L52" s="105">
        <v>-4.0999999999999996</v>
      </c>
    </row>
    <row r="53" spans="5:12" x14ac:dyDescent="0.4">
      <c r="K53" s="40">
        <v>51</v>
      </c>
      <c r="L53" s="105">
        <v>17.5</v>
      </c>
    </row>
    <row r="54" spans="5:12" x14ac:dyDescent="0.4">
      <c r="K54" s="40">
        <v>52</v>
      </c>
      <c r="L54" s="105">
        <v>-38.5</v>
      </c>
    </row>
    <row r="55" spans="5:12" x14ac:dyDescent="0.4">
      <c r="K55" s="40">
        <v>53</v>
      </c>
      <c r="L55" s="105">
        <v>-28.4</v>
      </c>
    </row>
    <row r="56" spans="5:12" x14ac:dyDescent="0.4">
      <c r="K56" s="40">
        <v>54</v>
      </c>
      <c r="L56" s="105">
        <v>-42.4</v>
      </c>
    </row>
    <row r="57" spans="5:12" x14ac:dyDescent="0.4">
      <c r="K57" s="40">
        <v>55</v>
      </c>
      <c r="L57" s="105">
        <v>14.6</v>
      </c>
    </row>
    <row r="58" spans="5:12" x14ac:dyDescent="0.4">
      <c r="K58" s="40">
        <v>56</v>
      </c>
      <c r="L58" s="105">
        <v>48</v>
      </c>
    </row>
    <row r="59" spans="5:12" x14ac:dyDescent="0.4">
      <c r="K59" s="40">
        <v>57</v>
      </c>
      <c r="L59" s="105">
        <v>3.8</v>
      </c>
    </row>
    <row r="60" spans="5:12" x14ac:dyDescent="0.4">
      <c r="K60" s="40">
        <v>58</v>
      </c>
      <c r="L60" s="105">
        <v>57.9</v>
      </c>
    </row>
    <row r="61" spans="5:12" x14ac:dyDescent="0.4">
      <c r="K61" s="40">
        <v>59</v>
      </c>
      <c r="L61" s="105">
        <v>49.5</v>
      </c>
    </row>
    <row r="62" spans="5:12" x14ac:dyDescent="0.4">
      <c r="K62" s="40">
        <v>60</v>
      </c>
      <c r="L62" s="105">
        <v>-9.5</v>
      </c>
    </row>
    <row r="63" spans="5:12" x14ac:dyDescent="0.4">
      <c r="K63" s="40">
        <v>61</v>
      </c>
      <c r="L63" s="105">
        <v>2.7</v>
      </c>
    </row>
    <row r="64" spans="5:12" x14ac:dyDescent="0.4">
      <c r="K64" s="40">
        <v>62</v>
      </c>
      <c r="L64" s="105">
        <v>-39</v>
      </c>
    </row>
    <row r="65" spans="11:12" x14ac:dyDescent="0.4">
      <c r="K65" s="40">
        <v>63</v>
      </c>
      <c r="L65" s="105">
        <v>-40.1</v>
      </c>
    </row>
    <row r="66" spans="11:12" x14ac:dyDescent="0.4">
      <c r="K66" s="40">
        <v>64</v>
      </c>
      <c r="L66" s="105">
        <v>-66</v>
      </c>
    </row>
    <row r="67" spans="11:12" x14ac:dyDescent="0.4">
      <c r="K67" s="40">
        <v>65</v>
      </c>
      <c r="L67" s="105">
        <v>-24.1</v>
      </c>
    </row>
    <row r="68" spans="11:12" x14ac:dyDescent="0.4">
      <c r="K68" s="40">
        <v>66</v>
      </c>
      <c r="L68" s="105">
        <v>2.6</v>
      </c>
    </row>
    <row r="69" spans="11:12" x14ac:dyDescent="0.4">
      <c r="K69" s="40">
        <v>67</v>
      </c>
      <c r="L69" s="105">
        <v>7.3</v>
      </c>
    </row>
    <row r="70" spans="11:12" x14ac:dyDescent="0.4">
      <c r="K70" s="40">
        <v>68</v>
      </c>
      <c r="L70" s="105">
        <v>-36.1</v>
      </c>
    </row>
    <row r="71" spans="11:12" x14ac:dyDescent="0.4">
      <c r="K71" s="40">
        <v>69</v>
      </c>
      <c r="L71" s="105">
        <v>-5.2</v>
      </c>
    </row>
    <row r="72" spans="11:12" x14ac:dyDescent="0.4">
      <c r="K72" s="40">
        <v>70</v>
      </c>
      <c r="L72" s="105">
        <v>33</v>
      </c>
    </row>
    <row r="73" spans="11:12" x14ac:dyDescent="0.4">
      <c r="K73" s="40">
        <v>71</v>
      </c>
      <c r="L73" s="105">
        <v>5.2</v>
      </c>
    </row>
    <row r="74" spans="11:12" x14ac:dyDescent="0.4">
      <c r="K74" s="40">
        <v>72</v>
      </c>
      <c r="L74" s="105">
        <v>-35.5</v>
      </c>
    </row>
    <row r="75" spans="11:12" x14ac:dyDescent="0.4">
      <c r="K75" s="40">
        <v>73</v>
      </c>
      <c r="L75" s="105">
        <v>16.2</v>
      </c>
    </row>
    <row r="76" spans="11:12" x14ac:dyDescent="0.4">
      <c r="K76" s="40">
        <v>74</v>
      </c>
      <c r="L76" s="105">
        <v>-5.9</v>
      </c>
    </row>
    <row r="77" spans="11:12" x14ac:dyDescent="0.4">
      <c r="K77" s="40">
        <v>75</v>
      </c>
      <c r="L77" s="105">
        <v>-20.2</v>
      </c>
    </row>
    <row r="78" spans="11:12" x14ac:dyDescent="0.4">
      <c r="K78" s="40">
        <v>76</v>
      </c>
      <c r="L78" s="105">
        <v>50</v>
      </c>
    </row>
    <row r="79" spans="11:12" x14ac:dyDescent="0.4">
      <c r="K79" s="40">
        <v>77</v>
      </c>
      <c r="L79" s="105">
        <v>-12.1</v>
      </c>
    </row>
    <row r="80" spans="11:12" x14ac:dyDescent="0.4">
      <c r="K80" s="40">
        <v>78</v>
      </c>
      <c r="L80" s="105">
        <v>15.8</v>
      </c>
    </row>
    <row r="81" spans="11:12" x14ac:dyDescent="0.4">
      <c r="K81" s="40">
        <v>79</v>
      </c>
      <c r="L81" s="105">
        <v>-18</v>
      </c>
    </row>
    <row r="82" spans="11:12" x14ac:dyDescent="0.4">
      <c r="K82" s="40">
        <v>80</v>
      </c>
      <c r="L82" s="105">
        <v>-6.8</v>
      </c>
    </row>
    <row r="83" spans="11:12" x14ac:dyDescent="0.4">
      <c r="K83" s="40">
        <v>81</v>
      </c>
      <c r="L83" s="105">
        <v>11.8</v>
      </c>
    </row>
    <row r="84" spans="11:12" x14ac:dyDescent="0.4">
      <c r="K84" s="40">
        <v>82</v>
      </c>
      <c r="L84" s="105">
        <v>-19.600000000000001</v>
      </c>
    </row>
    <row r="85" spans="11:12" x14ac:dyDescent="0.4">
      <c r="K85" s="40">
        <v>83</v>
      </c>
      <c r="L85" s="105">
        <v>1.2</v>
      </c>
    </row>
    <row r="86" spans="11:12" x14ac:dyDescent="0.4">
      <c r="K86" s="40">
        <v>84</v>
      </c>
      <c r="L86" s="105">
        <v>25.5</v>
      </c>
    </row>
    <row r="87" spans="11:12" x14ac:dyDescent="0.4">
      <c r="K87" s="40">
        <v>85</v>
      </c>
      <c r="L87" s="105">
        <v>-38</v>
      </c>
    </row>
    <row r="88" spans="11:12" x14ac:dyDescent="0.4">
      <c r="K88" s="40">
        <v>86</v>
      </c>
      <c r="L88" s="105">
        <v>23.5</v>
      </c>
    </row>
    <row r="89" spans="11:12" x14ac:dyDescent="0.4">
      <c r="K89" s="40">
        <v>87</v>
      </c>
      <c r="L89" s="105">
        <v>25.7</v>
      </c>
    </row>
    <row r="90" spans="11:12" x14ac:dyDescent="0.4">
      <c r="K90" s="40">
        <v>88</v>
      </c>
      <c r="L90" s="105">
        <v>-16.8</v>
      </c>
    </row>
    <row r="91" spans="11:12" x14ac:dyDescent="0.4">
      <c r="K91" s="40">
        <v>89</v>
      </c>
      <c r="L91" s="105">
        <v>-32.799999999999997</v>
      </c>
    </row>
    <row r="92" spans="11:12" x14ac:dyDescent="0.4">
      <c r="K92" s="40">
        <v>90</v>
      </c>
      <c r="L92" s="105">
        <v>4.5</v>
      </c>
    </row>
    <row r="93" spans="11:12" x14ac:dyDescent="0.4">
      <c r="K93" s="40">
        <v>91</v>
      </c>
      <c r="L93" s="105">
        <v>10.5</v>
      </c>
    </row>
    <row r="94" spans="11:12" x14ac:dyDescent="0.4">
      <c r="K94" s="40">
        <v>92</v>
      </c>
      <c r="L94" s="105">
        <v>29.8</v>
      </c>
    </row>
    <row r="95" spans="11:12" x14ac:dyDescent="0.4">
      <c r="K95" s="40">
        <v>93</v>
      </c>
      <c r="L95" s="105">
        <v>-36.5</v>
      </c>
    </row>
    <row r="96" spans="11:12" x14ac:dyDescent="0.4">
      <c r="K96" s="40">
        <v>94</v>
      </c>
      <c r="L96" s="105">
        <v>29.4</v>
      </c>
    </row>
    <row r="97" spans="11:12" x14ac:dyDescent="0.4">
      <c r="K97" s="40">
        <v>95</v>
      </c>
      <c r="L97" s="105">
        <v>-26.8</v>
      </c>
    </row>
    <row r="98" spans="11:12" x14ac:dyDescent="0.4">
      <c r="K98" s="40">
        <v>96</v>
      </c>
      <c r="L98" s="105">
        <v>18.399999999999999</v>
      </c>
    </row>
    <row r="99" spans="11:12" x14ac:dyDescent="0.4">
      <c r="K99" s="40">
        <v>97</v>
      </c>
      <c r="L99" s="105">
        <v>-12.5</v>
      </c>
    </row>
    <row r="100" spans="11:12" x14ac:dyDescent="0.4">
      <c r="K100" s="40">
        <v>98</v>
      </c>
      <c r="L100" s="105">
        <v>60.5</v>
      </c>
    </row>
    <row r="101" spans="11:12" x14ac:dyDescent="0.4">
      <c r="K101" s="40">
        <v>99</v>
      </c>
      <c r="L101" s="105">
        <v>-29.5</v>
      </c>
    </row>
    <row r="102" spans="11:12" x14ac:dyDescent="0.4">
      <c r="K102" s="40">
        <v>100</v>
      </c>
      <c r="L102" s="105">
        <v>-13.9</v>
      </c>
    </row>
    <row r="103" spans="11:12" x14ac:dyDescent="0.4">
      <c r="K103" s="40">
        <v>101</v>
      </c>
      <c r="L103" s="105">
        <v>1.7</v>
      </c>
    </row>
    <row r="104" spans="11:12" x14ac:dyDescent="0.4">
      <c r="K104" s="40">
        <v>102</v>
      </c>
      <c r="L104" s="105">
        <v>-26.7</v>
      </c>
    </row>
    <row r="105" spans="11:12" x14ac:dyDescent="0.4">
      <c r="K105" s="40">
        <v>103</v>
      </c>
      <c r="L105" s="105">
        <v>-25.5</v>
      </c>
    </row>
    <row r="106" spans="11:12" x14ac:dyDescent="0.4">
      <c r="K106" s="40">
        <v>104</v>
      </c>
      <c r="L106" s="105">
        <v>-9.5</v>
      </c>
    </row>
    <row r="107" spans="11:12" x14ac:dyDescent="0.4">
      <c r="K107" s="40">
        <v>105</v>
      </c>
      <c r="L107" s="105">
        <v>10.8</v>
      </c>
    </row>
    <row r="108" spans="11:12" x14ac:dyDescent="0.4">
      <c r="K108" s="40">
        <v>106</v>
      </c>
      <c r="L108" s="105">
        <v>-12.9</v>
      </c>
    </row>
    <row r="109" spans="11:12" x14ac:dyDescent="0.4">
      <c r="K109" s="40">
        <v>107</v>
      </c>
      <c r="L109" s="105">
        <v>4.9000000000000004</v>
      </c>
    </row>
    <row r="110" spans="11:12" x14ac:dyDescent="0.4">
      <c r="K110" s="40">
        <v>108</v>
      </c>
      <c r="L110" s="105">
        <v>6.6</v>
      </c>
    </row>
    <row r="111" spans="11:12" x14ac:dyDescent="0.4">
      <c r="K111" s="40">
        <v>109</v>
      </c>
      <c r="L111" s="105">
        <v>-35.9</v>
      </c>
    </row>
    <row r="112" spans="11:12" x14ac:dyDescent="0.4">
      <c r="K112" s="40">
        <v>110</v>
      </c>
      <c r="L112" s="105">
        <v>-23.4</v>
      </c>
    </row>
    <row r="113" spans="11:12" x14ac:dyDescent="0.4">
      <c r="K113" s="40">
        <v>111</v>
      </c>
      <c r="L113" s="105">
        <v>17.899999999999999</v>
      </c>
    </row>
    <row r="114" spans="11:12" x14ac:dyDescent="0.4">
      <c r="K114" s="40">
        <v>112</v>
      </c>
      <c r="L114" s="105">
        <v>20.7</v>
      </c>
    </row>
    <row r="115" spans="11:12" x14ac:dyDescent="0.4">
      <c r="K115" s="40">
        <v>113</v>
      </c>
      <c r="L115" s="105">
        <v>62.7</v>
      </c>
    </row>
    <row r="116" spans="11:12" x14ac:dyDescent="0.4">
      <c r="K116" s="40">
        <v>114</v>
      </c>
      <c r="L116" s="105">
        <v>12.3</v>
      </c>
    </row>
    <row r="117" spans="11:12" x14ac:dyDescent="0.4">
      <c r="K117" s="40">
        <v>115</v>
      </c>
      <c r="L117" s="105">
        <v>-15.5</v>
      </c>
    </row>
    <row r="118" spans="11:12" x14ac:dyDescent="0.4">
      <c r="K118" s="40">
        <v>116</v>
      </c>
      <c r="L118" s="105">
        <v>4.2</v>
      </c>
    </row>
    <row r="119" spans="11:12" x14ac:dyDescent="0.4">
      <c r="K119" s="40">
        <v>117</v>
      </c>
      <c r="L119" s="105">
        <v>9.6</v>
      </c>
    </row>
    <row r="120" spans="11:12" x14ac:dyDescent="0.4">
      <c r="K120" s="40">
        <v>118</v>
      </c>
      <c r="L120" s="105">
        <v>0.1</v>
      </c>
    </row>
    <row r="121" spans="11:12" x14ac:dyDescent="0.4">
      <c r="K121" s="40">
        <v>119</v>
      </c>
      <c r="L121" s="105">
        <v>-20.5</v>
      </c>
    </row>
    <row r="122" spans="11:12" x14ac:dyDescent="0.4">
      <c r="K122" s="40">
        <v>120</v>
      </c>
      <c r="L122" s="105">
        <v>-39.1</v>
      </c>
    </row>
    <row r="123" spans="11:12" x14ac:dyDescent="0.4">
      <c r="K123" s="40">
        <v>121</v>
      </c>
      <c r="L123" s="105">
        <v>36.9</v>
      </c>
    </row>
    <row r="124" spans="11:12" x14ac:dyDescent="0.4">
      <c r="K124" s="40">
        <v>122</v>
      </c>
      <c r="L124" s="105">
        <v>-11.5</v>
      </c>
    </row>
    <row r="125" spans="11:12" x14ac:dyDescent="0.4">
      <c r="K125" s="40">
        <v>123</v>
      </c>
      <c r="L125" s="105">
        <v>-43.2</v>
      </c>
    </row>
    <row r="126" spans="11:12" x14ac:dyDescent="0.4">
      <c r="K126" s="40">
        <v>124</v>
      </c>
      <c r="L126" s="105">
        <v>9</v>
      </c>
    </row>
    <row r="127" spans="11:12" x14ac:dyDescent="0.4">
      <c r="K127" s="40">
        <v>125</v>
      </c>
      <c r="L127" s="105">
        <v>-2</v>
      </c>
    </row>
    <row r="128" spans="11:12" x14ac:dyDescent="0.4">
      <c r="K128" s="40">
        <v>126</v>
      </c>
      <c r="L128" s="105">
        <v>33.299999999999997</v>
      </c>
    </row>
    <row r="129" spans="11:12" x14ac:dyDescent="0.4">
      <c r="K129" s="40">
        <v>127</v>
      </c>
      <c r="L129" s="105">
        <v>0.5</v>
      </c>
    </row>
    <row r="130" spans="11:12" x14ac:dyDescent="0.4">
      <c r="K130" s="40">
        <v>128</v>
      </c>
      <c r="L130" s="105">
        <v>-5.3</v>
      </c>
    </row>
    <row r="131" spans="11:12" x14ac:dyDescent="0.4">
      <c r="K131" s="40">
        <v>129</v>
      </c>
      <c r="L131" s="105">
        <v>-7.8</v>
      </c>
    </row>
    <row r="132" spans="11:12" x14ac:dyDescent="0.4">
      <c r="K132" s="40">
        <v>130</v>
      </c>
      <c r="L132" s="105">
        <v>-2.6</v>
      </c>
    </row>
    <row r="133" spans="11:12" x14ac:dyDescent="0.4">
      <c r="K133" s="40">
        <v>131</v>
      </c>
      <c r="L133" s="105">
        <v>-14.5</v>
      </c>
    </row>
    <row r="134" spans="11:12" x14ac:dyDescent="0.4">
      <c r="K134" s="40">
        <v>132</v>
      </c>
      <c r="L134" s="105">
        <v>-8.6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BC926-B1CA-4A76-8E01-A495BEBA0C4B}">
  <sheetPr codeName="Sheet15"/>
  <dimension ref="A1:Q6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135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29.126818227579115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61</v>
      </c>
      <c r="C2" s="149"/>
      <c r="E2" s="64" t="s">
        <v>71</v>
      </c>
      <c r="F2" s="61" t="s">
        <v>25</v>
      </c>
      <c r="G2" s="48">
        <v>60</v>
      </c>
      <c r="H2" s="137">
        <f>IF(B$27=0,0,G2/B$27)</f>
        <v>0.90909090909090906</v>
      </c>
      <c r="I2" s="99">
        <v>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-408.19672131147541</v>
      </c>
      <c r="P2" s="124">
        <v>61</v>
      </c>
      <c r="Q2" s="108">
        <v>-24900</v>
      </c>
    </row>
    <row r="3" spans="1:17" x14ac:dyDescent="0.4">
      <c r="A3" s="57" t="s">
        <v>8</v>
      </c>
      <c r="B3" s="154">
        <v>441</v>
      </c>
      <c r="C3" s="155"/>
      <c r="E3" s="65" t="s">
        <v>69</v>
      </c>
      <c r="F3" s="62" t="s">
        <v>23</v>
      </c>
      <c r="G3" s="49">
        <v>57</v>
      </c>
      <c r="H3" s="138">
        <f>IF(B$27=0,0,G3/B$27)</f>
        <v>0.86363636363636365</v>
      </c>
      <c r="I3" s="100">
        <v>2</v>
      </c>
      <c r="K3" s="40">
        <v>1</v>
      </c>
      <c r="L3" s="105">
        <v>-39.9</v>
      </c>
      <c r="N3" s="121" t="s">
        <v>148</v>
      </c>
      <c r="O3" s="128">
        <f t="shared" si="0"/>
        <v>2170.6896551724139</v>
      </c>
      <c r="P3" s="125">
        <v>58</v>
      </c>
      <c r="Q3" s="109">
        <v>125900</v>
      </c>
    </row>
    <row r="4" spans="1:17" x14ac:dyDescent="0.4">
      <c r="A4" s="57" t="s">
        <v>6</v>
      </c>
      <c r="B4" s="156">
        <v>256.20000000000005</v>
      </c>
      <c r="C4" s="157"/>
      <c r="E4" s="65" t="s">
        <v>76</v>
      </c>
      <c r="F4" s="62" t="s">
        <v>29</v>
      </c>
      <c r="G4" s="49">
        <v>43</v>
      </c>
      <c r="H4" s="138">
        <f>IF(B$27=0,0,G4/B$27)</f>
        <v>0.65151515151515149</v>
      </c>
      <c r="I4" s="100">
        <v>4</v>
      </c>
      <c r="K4" s="40">
        <v>2</v>
      </c>
      <c r="L4" s="105">
        <v>26.7</v>
      </c>
      <c r="N4" s="121" t="s">
        <v>149</v>
      </c>
      <c r="O4" s="128">
        <f t="shared" si="0"/>
        <v>-1817.8571428571429</v>
      </c>
      <c r="P4" s="125">
        <v>56</v>
      </c>
      <c r="Q4" s="109">
        <v>-101800</v>
      </c>
    </row>
    <row r="5" spans="1:17" x14ac:dyDescent="0.4">
      <c r="A5" s="57" t="s">
        <v>7</v>
      </c>
      <c r="B5" s="158">
        <f>IF(B$2=0,0,B$4/B$2)</f>
        <v>4.2000000000000011</v>
      </c>
      <c r="C5" s="159"/>
      <c r="E5" s="65" t="s">
        <v>67</v>
      </c>
      <c r="F5" s="62" t="s">
        <v>21</v>
      </c>
      <c r="G5" s="49">
        <v>28</v>
      </c>
      <c r="H5" s="138">
        <f>IF(B$27=0,0,G5/B$27)</f>
        <v>0.42424242424242425</v>
      </c>
      <c r="I5" s="100">
        <v>11</v>
      </c>
      <c r="K5" s="40">
        <v>3</v>
      </c>
      <c r="L5" s="105">
        <v>-44.5</v>
      </c>
      <c r="N5" s="121" t="s">
        <v>150</v>
      </c>
      <c r="O5" s="128">
        <f t="shared" si="0"/>
        <v>-312.7659574468085</v>
      </c>
      <c r="P5" s="125">
        <v>47</v>
      </c>
      <c r="Q5" s="109">
        <v>-14700</v>
      </c>
    </row>
    <row r="6" spans="1:17" x14ac:dyDescent="0.4">
      <c r="A6" s="57" t="s">
        <v>1</v>
      </c>
      <c r="B6" s="146">
        <f>IF(B$2=0,0,(B$7*1+B$8*2+B$9*3)/B$2)</f>
        <v>1.9180327868852458</v>
      </c>
      <c r="C6" s="147"/>
      <c r="E6" s="65" t="s">
        <v>72</v>
      </c>
      <c r="F6" s="62" t="s">
        <v>12</v>
      </c>
      <c r="G6" s="49">
        <v>19</v>
      </c>
      <c r="H6" s="138">
        <f>IF(B$27=0,0,G6/B$27)</f>
        <v>0.2878787878787879</v>
      </c>
      <c r="I6" s="100">
        <v>8</v>
      </c>
      <c r="K6" s="40">
        <v>4</v>
      </c>
      <c r="L6" s="105">
        <v>4</v>
      </c>
      <c r="N6" s="121" t="s">
        <v>151</v>
      </c>
      <c r="O6" s="128">
        <f t="shared" si="0"/>
        <v>7068.292682926829</v>
      </c>
      <c r="P6" s="125">
        <v>41</v>
      </c>
      <c r="Q6" s="109">
        <v>289800</v>
      </c>
    </row>
    <row r="7" spans="1:17" x14ac:dyDescent="0.4">
      <c r="A7" s="57" t="s">
        <v>2</v>
      </c>
      <c r="B7" s="49">
        <v>21</v>
      </c>
      <c r="C7" s="41">
        <f>IF(B$2=0,0,B7/B$2)</f>
        <v>0.34426229508196721</v>
      </c>
      <c r="E7" s="65" t="s">
        <v>70</v>
      </c>
      <c r="F7" s="62" t="s">
        <v>24</v>
      </c>
      <c r="G7" s="49">
        <v>17</v>
      </c>
      <c r="H7" s="138">
        <f>IF(B$27=0,0,G7/B$27)</f>
        <v>0.25757575757575757</v>
      </c>
      <c r="I7" s="100">
        <v>9</v>
      </c>
      <c r="K7" s="40">
        <v>5</v>
      </c>
      <c r="L7" s="105">
        <v>8</v>
      </c>
      <c r="N7" s="122" t="s">
        <v>152</v>
      </c>
      <c r="O7" s="129">
        <f t="shared" si="0"/>
        <v>-541.37931034482756</v>
      </c>
      <c r="P7" s="126">
        <v>29</v>
      </c>
      <c r="Q7" s="110">
        <v>-15700</v>
      </c>
    </row>
    <row r="8" spans="1:17" x14ac:dyDescent="0.4">
      <c r="A8" s="57" t="s">
        <v>3</v>
      </c>
      <c r="B8" s="49">
        <v>24</v>
      </c>
      <c r="C8" s="41">
        <f>IF(B$2=0,0,B8/B$2)</f>
        <v>0.39344262295081966</v>
      </c>
      <c r="E8" s="65" t="s">
        <v>88</v>
      </c>
      <c r="F8" s="62" t="s">
        <v>41</v>
      </c>
      <c r="G8" s="49">
        <v>7</v>
      </c>
      <c r="H8" s="138">
        <f>IF(B$27=0,0,G8/B$27)</f>
        <v>0.10606060606060606</v>
      </c>
      <c r="I8" s="100">
        <v>4</v>
      </c>
      <c r="K8" s="40">
        <v>6</v>
      </c>
      <c r="L8" s="105">
        <v>-4.9000000000000004</v>
      </c>
      <c r="N8" s="45"/>
      <c r="O8" s="133"/>
      <c r="P8" s="117"/>
      <c r="Q8" s="115"/>
    </row>
    <row r="9" spans="1:17" x14ac:dyDescent="0.4">
      <c r="A9" s="58" t="s">
        <v>4</v>
      </c>
      <c r="B9" s="50">
        <v>16</v>
      </c>
      <c r="C9" s="42">
        <f t="shared" ref="C9" si="1">IF(B$2=0,0,B9/B$2)</f>
        <v>0.26229508196721313</v>
      </c>
      <c r="E9" s="65" t="s">
        <v>73</v>
      </c>
      <c r="F9" s="62" t="s">
        <v>26</v>
      </c>
      <c r="G9" s="49">
        <v>6</v>
      </c>
      <c r="H9" s="138">
        <f>IF(B$27=0,0,G9/B$27)</f>
        <v>9.0909090909090912E-2</v>
      </c>
      <c r="I9" s="100">
        <v>11</v>
      </c>
      <c r="K9" s="40">
        <v>7</v>
      </c>
      <c r="L9" s="105">
        <v>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0.11475409836065574</v>
      </c>
      <c r="E10" s="65" t="s">
        <v>94</v>
      </c>
      <c r="F10" s="62" t="s">
        <v>47</v>
      </c>
      <c r="G10" s="49">
        <v>6</v>
      </c>
      <c r="H10" s="138">
        <f>IF(B$27=0,0,G10/B$27)</f>
        <v>9.0909090909090912E-2</v>
      </c>
      <c r="I10" s="100">
        <v>11</v>
      </c>
      <c r="K10" s="40">
        <v>8</v>
      </c>
      <c r="L10" s="105">
        <v>-11.5</v>
      </c>
      <c r="N10" s="120" t="s">
        <v>253</v>
      </c>
      <c r="O10" s="130">
        <f>IF(P10=0,0,Q10/P10)</f>
        <v>3.1666666666666665</v>
      </c>
      <c r="P10" s="124">
        <v>18</v>
      </c>
      <c r="Q10" s="112">
        <v>57</v>
      </c>
    </row>
    <row r="11" spans="1:17" x14ac:dyDescent="0.4">
      <c r="A11" s="58" t="s">
        <v>155</v>
      </c>
      <c r="B11" s="50">
        <v>11</v>
      </c>
      <c r="C11" s="42">
        <f>IF(B$2=0,0,B11/B$2)</f>
        <v>0.18032786885245902</v>
      </c>
      <c r="E11" s="65" t="s">
        <v>68</v>
      </c>
      <c r="F11" s="62" t="s">
        <v>22</v>
      </c>
      <c r="G11" s="49">
        <v>5</v>
      </c>
      <c r="H11" s="138">
        <f>IF(B$27=0,0,G11/B$27)</f>
        <v>7.575757575757576E-2</v>
      </c>
      <c r="I11" s="100">
        <v>11</v>
      </c>
      <c r="K11" s="40">
        <v>9</v>
      </c>
      <c r="L11" s="105">
        <v>-18.8</v>
      </c>
      <c r="N11" s="121" t="s">
        <v>254</v>
      </c>
      <c r="O11" s="131">
        <f>IF(P11=0,0,Q11/P11)</f>
        <v>5.854838709677419</v>
      </c>
      <c r="P11" s="125">
        <v>31</v>
      </c>
      <c r="Q11" s="113">
        <v>181.5</v>
      </c>
    </row>
    <row r="12" spans="1:17" x14ac:dyDescent="0.4">
      <c r="A12" s="59" t="s">
        <v>239</v>
      </c>
      <c r="B12" s="51">
        <v>3</v>
      </c>
      <c r="C12" s="44">
        <f>IF(B$2=0,0,B12/B$2)</f>
        <v>4.9180327868852458E-2</v>
      </c>
      <c r="E12" s="65" t="s">
        <v>74</v>
      </c>
      <c r="F12" s="62" t="s">
        <v>27</v>
      </c>
      <c r="G12" s="49">
        <v>4</v>
      </c>
      <c r="H12" s="138">
        <f>IF(B$27=0,0,G12/B$27)</f>
        <v>6.0606060606060608E-2</v>
      </c>
      <c r="I12" s="100">
        <v>11</v>
      </c>
      <c r="K12" s="40">
        <v>10</v>
      </c>
      <c r="L12" s="105">
        <v>-1</v>
      </c>
      <c r="N12" s="122" t="s">
        <v>255</v>
      </c>
      <c r="O12" s="132">
        <f>IF(P12=0,0,Q12/P12)</f>
        <v>1.4749999999999996</v>
      </c>
      <c r="P12" s="126">
        <v>12</v>
      </c>
      <c r="Q12" s="114">
        <v>17.699999999999996</v>
      </c>
    </row>
    <row r="13" spans="1:17" x14ac:dyDescent="0.4">
      <c r="A13" s="60" t="s">
        <v>128</v>
      </c>
      <c r="B13" s="52">
        <v>48</v>
      </c>
      <c r="C13" s="46">
        <f>IF(B$26=0,0,B13/B$26)</f>
        <v>0.23645320197044334</v>
      </c>
      <c r="E13" s="65" t="s">
        <v>86</v>
      </c>
      <c r="F13" s="62" t="s">
        <v>39</v>
      </c>
      <c r="G13" s="49">
        <v>4</v>
      </c>
      <c r="H13" s="138">
        <f>IF(B$27=0,0,G13/B$27)</f>
        <v>6.0606060606060608E-2</v>
      </c>
      <c r="I13" s="100">
        <v>2</v>
      </c>
      <c r="K13" s="40">
        <v>11</v>
      </c>
      <c r="L13" s="105">
        <v>-10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64</v>
      </c>
      <c r="C14" s="41">
        <f>IF(B$26=0,0,B14/B$26)</f>
        <v>0.31527093596059114</v>
      </c>
      <c r="E14" s="65" t="s">
        <v>91</v>
      </c>
      <c r="F14" s="62" t="s">
        <v>44</v>
      </c>
      <c r="G14" s="49">
        <v>3</v>
      </c>
      <c r="H14" s="138">
        <f>IF(B$27=0,0,G14/B$27)</f>
        <v>4.5454545454545456E-2</v>
      </c>
      <c r="I14" s="100">
        <v>10</v>
      </c>
      <c r="K14" s="40">
        <v>12</v>
      </c>
      <c r="L14" s="105">
        <v>65.400000000000006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28</v>
      </c>
      <c r="C15" s="39">
        <f>IF(B$13=0,0,B15/B$13)</f>
        <v>0.58333333333333337</v>
      </c>
      <c r="E15" s="65" t="s">
        <v>75</v>
      </c>
      <c r="F15" s="62" t="s">
        <v>28</v>
      </c>
      <c r="G15" s="49">
        <v>1</v>
      </c>
      <c r="H15" s="138">
        <f>IF(B$27=0,0,G15/B$27)</f>
        <v>1.5151515151515152E-2</v>
      </c>
      <c r="I15" s="100">
        <v>11</v>
      </c>
      <c r="K15" s="40">
        <v>13</v>
      </c>
      <c r="L15" s="105">
        <v>11.1</v>
      </c>
      <c r="N15" s="120" t="s">
        <v>138</v>
      </c>
      <c r="O15" s="130">
        <f>IF(P15=0,0,Q15/P15)</f>
        <v>34</v>
      </c>
      <c r="P15" s="124">
        <v>1</v>
      </c>
      <c r="Q15" s="112">
        <v>34</v>
      </c>
    </row>
    <row r="16" spans="1:17" x14ac:dyDescent="0.4">
      <c r="A16" s="56" t="s">
        <v>131</v>
      </c>
      <c r="B16" s="48">
        <v>26</v>
      </c>
      <c r="C16" s="39">
        <f>IF(B$14=0,0,B16/B$14)</f>
        <v>0.40625</v>
      </c>
      <c r="E16" s="65" t="s">
        <v>82</v>
      </c>
      <c r="F16" s="62" t="s">
        <v>35</v>
      </c>
      <c r="G16" s="49">
        <v>1</v>
      </c>
      <c r="H16" s="138">
        <f>IF(B$27=0,0,G16/B$27)</f>
        <v>1.5151515151515152E-2</v>
      </c>
      <c r="I16" s="100">
        <v>8</v>
      </c>
      <c r="K16" s="40">
        <v>14</v>
      </c>
      <c r="L16" s="105">
        <v>51</v>
      </c>
      <c r="N16" s="121" t="s">
        <v>166</v>
      </c>
      <c r="O16" s="131">
        <f>IF(P16=0,0,Q16/P16)</f>
        <v>26.766666666666666</v>
      </c>
      <c r="P16" s="125">
        <v>3</v>
      </c>
      <c r="Q16" s="113">
        <v>80.3</v>
      </c>
    </row>
    <row r="17" spans="1:17" x14ac:dyDescent="0.4">
      <c r="A17" s="56" t="s">
        <v>10</v>
      </c>
      <c r="B17" s="48">
        <f>B19+B18</f>
        <v>153</v>
      </c>
      <c r="C17" s="39">
        <f>IF(B$3=0,0,B17/B$3)</f>
        <v>0.34693877551020408</v>
      </c>
      <c r="E17" s="65" t="s">
        <v>96</v>
      </c>
      <c r="F17" s="62" t="s">
        <v>49</v>
      </c>
      <c r="G17" s="49">
        <v>1</v>
      </c>
      <c r="H17" s="138">
        <f>IF(B$27=0,0,G17/B$27)</f>
        <v>1.5151515151515152E-2</v>
      </c>
      <c r="I17" s="100">
        <v>9</v>
      </c>
      <c r="K17" s="40">
        <v>15</v>
      </c>
      <c r="L17" s="105">
        <v>17.2</v>
      </c>
      <c r="N17" s="121" t="s">
        <v>157</v>
      </c>
      <c r="O17" s="131">
        <f>IF(P17=0,0,Q17/P17)</f>
        <v>24.85</v>
      </c>
      <c r="P17" s="125">
        <v>2</v>
      </c>
      <c r="Q17" s="113">
        <v>49.7</v>
      </c>
    </row>
    <row r="18" spans="1:17" x14ac:dyDescent="0.4">
      <c r="A18" s="57" t="s">
        <v>12</v>
      </c>
      <c r="B18" s="49">
        <v>68</v>
      </c>
      <c r="C18" s="41">
        <f>IF(B$17=0,0,B18/B$17)</f>
        <v>0.44444444444444442</v>
      </c>
      <c r="E18" s="65" t="s">
        <v>98</v>
      </c>
      <c r="F18" s="62" t="s">
        <v>51</v>
      </c>
      <c r="G18" s="49">
        <v>1</v>
      </c>
      <c r="H18" s="138">
        <f>IF(B$27=0,0,G18/B$27)</f>
        <v>1.5151515151515152E-2</v>
      </c>
      <c r="I18" s="100">
        <v>1</v>
      </c>
      <c r="K18" s="40">
        <v>16</v>
      </c>
      <c r="L18" s="105">
        <v>-15.5</v>
      </c>
      <c r="N18" s="121" t="s">
        <v>171</v>
      </c>
      <c r="O18" s="131">
        <f>IF(P18=0,0,Q18/P18)</f>
        <v>21.200000000000003</v>
      </c>
      <c r="P18" s="125">
        <v>3</v>
      </c>
      <c r="Q18" s="113">
        <v>63.600000000000009</v>
      </c>
    </row>
    <row r="19" spans="1:17" x14ac:dyDescent="0.4">
      <c r="A19" s="57" t="s">
        <v>11</v>
      </c>
      <c r="B19" s="49">
        <v>85</v>
      </c>
      <c r="C19" s="41">
        <f>IF(B$17=0,0,B19/B$17)</f>
        <v>0.55555555555555558</v>
      </c>
      <c r="E19" s="65" t="s">
        <v>77</v>
      </c>
      <c r="F19" s="62" t="s">
        <v>30</v>
      </c>
      <c r="G19" s="49">
        <v>0</v>
      </c>
      <c r="H19" s="138">
        <f>IF(B$27=0,0,G19/B$27)</f>
        <v>0</v>
      </c>
      <c r="I19" s="100">
        <v>7</v>
      </c>
      <c r="K19" s="40">
        <v>17</v>
      </c>
      <c r="L19" s="105">
        <v>-24.5</v>
      </c>
      <c r="N19" s="121" t="s">
        <v>134</v>
      </c>
      <c r="O19" s="131">
        <f>IF(P19=0,0,Q19/P19)</f>
        <v>15.51666666666666</v>
      </c>
      <c r="P19" s="125">
        <v>36</v>
      </c>
      <c r="Q19" s="113">
        <v>558.5999999999998</v>
      </c>
    </row>
    <row r="20" spans="1:17" x14ac:dyDescent="0.4">
      <c r="A20" s="57" t="s">
        <v>13</v>
      </c>
      <c r="B20" s="49">
        <v>69</v>
      </c>
      <c r="C20" s="41">
        <f>IF(B$3=0,0,B20/B$3)</f>
        <v>0.15646258503401361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-41.5</v>
      </c>
      <c r="N20" s="121" t="s">
        <v>137</v>
      </c>
      <c r="O20" s="131">
        <f>IF(P20=0,0,Q20/P20)</f>
        <v>14.371428571428575</v>
      </c>
      <c r="P20" s="125">
        <v>7</v>
      </c>
      <c r="Q20" s="113">
        <v>100.60000000000002</v>
      </c>
    </row>
    <row r="21" spans="1:17" x14ac:dyDescent="0.4">
      <c r="A21" s="57" t="s">
        <v>5</v>
      </c>
      <c r="B21" s="53">
        <f>IF(B$17=0,0,C21/B$17)</f>
        <v>9726.1437908496737</v>
      </c>
      <c r="C21" s="43">
        <v>1488100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8</v>
      </c>
      <c r="N21" s="121" t="s">
        <v>136</v>
      </c>
      <c r="O21" s="131">
        <f>IF(P21=0,0,Q21/P21)</f>
        <v>13.249999999999998</v>
      </c>
      <c r="P21" s="125">
        <v>2</v>
      </c>
      <c r="Q21" s="113">
        <v>26.499999999999996</v>
      </c>
    </row>
    <row r="22" spans="1:17" x14ac:dyDescent="0.4">
      <c r="A22" s="59" t="s">
        <v>14</v>
      </c>
      <c r="B22" s="54">
        <f>IF(B$20=0,0,C22/B$20)</f>
        <v>-8992.753623188406</v>
      </c>
      <c r="C22" s="47">
        <v>-620500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25.2</v>
      </c>
      <c r="N22" s="121" t="s">
        <v>250</v>
      </c>
      <c r="O22" s="131">
        <f>IF(P22=0,0,Q22/P22)</f>
        <v>9.65</v>
      </c>
      <c r="P22" s="125">
        <v>2</v>
      </c>
      <c r="Q22" s="113">
        <v>19.3</v>
      </c>
    </row>
    <row r="23" spans="1:17" x14ac:dyDescent="0.4">
      <c r="A23" s="96" t="s">
        <v>158</v>
      </c>
      <c r="B23" s="144">
        <v>7</v>
      </c>
      <c r="C23" s="145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7</v>
      </c>
      <c r="K23" s="40">
        <v>21</v>
      </c>
      <c r="L23" s="105">
        <v>62.3</v>
      </c>
      <c r="N23" s="121" t="s">
        <v>133</v>
      </c>
      <c r="O23" s="131">
        <f>IF(P23=0,0,Q23/P23)</f>
        <v>-0.85769230769230742</v>
      </c>
      <c r="P23" s="125">
        <v>52</v>
      </c>
      <c r="Q23" s="113">
        <v>-44.599999999999987</v>
      </c>
    </row>
    <row r="24" spans="1:17" x14ac:dyDescent="0.4">
      <c r="A24" s="60" t="s">
        <v>199</v>
      </c>
      <c r="B24" s="142">
        <v>118000</v>
      </c>
      <c r="C24" s="143"/>
      <c r="E24" s="65" t="s">
        <v>83</v>
      </c>
      <c r="F24" s="62" t="s">
        <v>36</v>
      </c>
      <c r="G24" s="49">
        <v>0</v>
      </c>
      <c r="H24" s="138">
        <f>IF(B$27=0,0,G24/B$27)</f>
        <v>0</v>
      </c>
      <c r="I24" s="100">
        <v>11</v>
      </c>
      <c r="K24" s="40">
        <v>22</v>
      </c>
      <c r="L24" s="105">
        <v>8.6</v>
      </c>
      <c r="N24" s="121" t="s">
        <v>194</v>
      </c>
      <c r="O24" s="131">
        <f>IF(P24=0,0,Q24/P24)</f>
        <v>-4.9000000000000004</v>
      </c>
      <c r="P24" s="125">
        <v>2</v>
      </c>
      <c r="Q24" s="113">
        <v>-9.8000000000000007</v>
      </c>
    </row>
    <row r="25" spans="1:17" x14ac:dyDescent="0.4">
      <c r="A25" s="59" t="s">
        <v>159</v>
      </c>
      <c r="B25" s="67">
        <v>1</v>
      </c>
      <c r="C25" s="44">
        <f>IF(B$3=0,0,B25/B$3)</f>
        <v>2.2675736961451248E-3</v>
      </c>
      <c r="E25" s="65" t="s">
        <v>84</v>
      </c>
      <c r="F25" s="62" t="s">
        <v>37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14.8</v>
      </c>
      <c r="N25" s="121" t="s">
        <v>139</v>
      </c>
      <c r="O25" s="131">
        <f>IF(P25=0,0,Q25/P25)</f>
        <v>-8.8833333333333329</v>
      </c>
      <c r="P25" s="125">
        <v>12</v>
      </c>
      <c r="Q25" s="113">
        <v>-106.6</v>
      </c>
    </row>
    <row r="26" spans="1:17" x14ac:dyDescent="0.4">
      <c r="A26" s="56" t="s">
        <v>126</v>
      </c>
      <c r="B26" s="148">
        <v>203</v>
      </c>
      <c r="C26" s="149"/>
      <c r="E26" s="65" t="s">
        <v>85</v>
      </c>
      <c r="F26" s="62" t="s">
        <v>38</v>
      </c>
      <c r="G26" s="49">
        <v>0</v>
      </c>
      <c r="H26" s="138">
        <f>IF(B$27=0,0,G26/B$27)</f>
        <v>0</v>
      </c>
      <c r="I26" s="100">
        <v>3</v>
      </c>
      <c r="K26" s="40">
        <v>24</v>
      </c>
      <c r="L26" s="105">
        <v>-43.9</v>
      </c>
    </row>
    <row r="27" spans="1:17" x14ac:dyDescent="0.4">
      <c r="A27" s="59" t="s">
        <v>127</v>
      </c>
      <c r="B27" s="150">
        <v>66</v>
      </c>
      <c r="C27" s="151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9.5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83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21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11.9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30.3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-6.5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-11.6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17.5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41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-10.5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-46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47.1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14.8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-18.2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0.4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3.1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-2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21.2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32.799999999999997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-8.8000000000000007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-31.2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-35.5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-20.7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21.8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-2.8</v>
      </c>
    </row>
    <row r="52" spans="5:12" x14ac:dyDescent="0.4">
      <c r="K52" s="40">
        <v>50</v>
      </c>
      <c r="L52" s="105">
        <v>0</v>
      </c>
    </row>
    <row r="53" spans="5:12" x14ac:dyDescent="0.4">
      <c r="K53" s="40">
        <v>51</v>
      </c>
      <c r="L53" s="105">
        <v>78.7</v>
      </c>
    </row>
    <row r="54" spans="5:12" x14ac:dyDescent="0.4">
      <c r="K54" s="40">
        <v>52</v>
      </c>
      <c r="L54" s="105">
        <v>26.5</v>
      </c>
    </row>
    <row r="55" spans="5:12" x14ac:dyDescent="0.4">
      <c r="K55" s="40">
        <v>53</v>
      </c>
      <c r="L55" s="105">
        <v>-50.5</v>
      </c>
    </row>
    <row r="56" spans="5:12" x14ac:dyDescent="0.4">
      <c r="K56" s="40">
        <v>54</v>
      </c>
      <c r="L56" s="105">
        <v>-15.1</v>
      </c>
    </row>
    <row r="57" spans="5:12" x14ac:dyDescent="0.4">
      <c r="K57" s="40">
        <v>55</v>
      </c>
      <c r="L57" s="105">
        <v>15.9</v>
      </c>
    </row>
    <row r="58" spans="5:12" x14ac:dyDescent="0.4">
      <c r="K58" s="40">
        <v>56</v>
      </c>
      <c r="L58" s="105">
        <v>4.4000000000000004</v>
      </c>
    </row>
    <row r="59" spans="5:12" x14ac:dyDescent="0.4">
      <c r="K59" s="40">
        <v>57</v>
      </c>
      <c r="L59" s="105">
        <v>-13.5</v>
      </c>
    </row>
    <row r="60" spans="5:12" x14ac:dyDescent="0.4">
      <c r="K60" s="40">
        <v>58</v>
      </c>
      <c r="L60" s="105">
        <v>33</v>
      </c>
    </row>
    <row r="61" spans="5:12" x14ac:dyDescent="0.4">
      <c r="K61" s="40">
        <v>59</v>
      </c>
      <c r="L61" s="105">
        <v>-10</v>
      </c>
    </row>
    <row r="62" spans="5:12" x14ac:dyDescent="0.4">
      <c r="K62" s="40">
        <v>60</v>
      </c>
      <c r="L62" s="105">
        <v>-10.7</v>
      </c>
    </row>
    <row r="63" spans="5:12" x14ac:dyDescent="0.4">
      <c r="K63" s="40">
        <v>61</v>
      </c>
      <c r="L63" s="105">
        <v>-13.4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182D4-C692-4E62-BE26-12980C14C414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171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22.646191732827837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5</v>
      </c>
      <c r="C2" s="149"/>
      <c r="E2" s="64" t="s">
        <v>67</v>
      </c>
      <c r="F2" s="61" t="s">
        <v>21</v>
      </c>
      <c r="G2" s="48">
        <v>6</v>
      </c>
      <c r="H2" s="137">
        <f>IF(B$27=0,0,G2/B$27)</f>
        <v>0.66666666666666663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-2740</v>
      </c>
      <c r="P2" s="124">
        <v>5</v>
      </c>
      <c r="Q2" s="108">
        <v>-13700</v>
      </c>
    </row>
    <row r="3" spans="1:17" x14ac:dyDescent="0.4">
      <c r="A3" s="57" t="s">
        <v>8</v>
      </c>
      <c r="B3" s="154">
        <v>37</v>
      </c>
      <c r="C3" s="155"/>
      <c r="E3" s="65" t="s">
        <v>71</v>
      </c>
      <c r="F3" s="62" t="s">
        <v>25</v>
      </c>
      <c r="G3" s="49">
        <v>6</v>
      </c>
      <c r="H3" s="138">
        <f>IF(B$27=0,0,G3/B$27)</f>
        <v>0.66666666666666663</v>
      </c>
      <c r="I3" s="100">
        <v>11</v>
      </c>
      <c r="K3" s="40">
        <v>1</v>
      </c>
      <c r="L3" s="105">
        <v>-40.700000000000003</v>
      </c>
      <c r="N3" s="121" t="s">
        <v>148</v>
      </c>
      <c r="O3" s="128">
        <f t="shared" si="0"/>
        <v>1500</v>
      </c>
      <c r="P3" s="125">
        <v>5</v>
      </c>
      <c r="Q3" s="109">
        <v>7500</v>
      </c>
    </row>
    <row r="4" spans="1:17" x14ac:dyDescent="0.4">
      <c r="A4" s="57" t="s">
        <v>6</v>
      </c>
      <c r="B4" s="156">
        <v>-86.4</v>
      </c>
      <c r="C4" s="157"/>
      <c r="E4" s="65" t="s">
        <v>68</v>
      </c>
      <c r="F4" s="62" t="s">
        <v>22</v>
      </c>
      <c r="G4" s="49">
        <v>4</v>
      </c>
      <c r="H4" s="138">
        <f>IF(B$27=0,0,G4/B$27)</f>
        <v>0.44444444444444442</v>
      </c>
      <c r="I4" s="100">
        <v>1</v>
      </c>
      <c r="K4" s="40">
        <v>2</v>
      </c>
      <c r="L4" s="105">
        <v>-41</v>
      </c>
      <c r="N4" s="121" t="s">
        <v>149</v>
      </c>
      <c r="O4" s="128">
        <f t="shared" si="0"/>
        <v>-11250</v>
      </c>
      <c r="P4" s="125">
        <v>4</v>
      </c>
      <c r="Q4" s="109">
        <v>-45000</v>
      </c>
    </row>
    <row r="5" spans="1:17" x14ac:dyDescent="0.4">
      <c r="A5" s="57" t="s">
        <v>7</v>
      </c>
      <c r="B5" s="158">
        <f>IF(B$2=0,0,B$4/B$2)</f>
        <v>-17.28</v>
      </c>
      <c r="C5" s="159"/>
      <c r="E5" s="65" t="s">
        <v>76</v>
      </c>
      <c r="F5" s="62" t="s">
        <v>29</v>
      </c>
      <c r="G5" s="49">
        <v>4</v>
      </c>
      <c r="H5" s="138">
        <f>IF(B$27=0,0,G5/B$27)</f>
        <v>0.44444444444444442</v>
      </c>
      <c r="I5" s="100">
        <v>12</v>
      </c>
      <c r="K5" s="40">
        <v>3</v>
      </c>
      <c r="L5" s="105">
        <v>-7.2</v>
      </c>
      <c r="N5" s="121" t="s">
        <v>150</v>
      </c>
      <c r="O5" s="128">
        <f t="shared" si="0"/>
        <v>-12000</v>
      </c>
      <c r="P5" s="125">
        <v>3</v>
      </c>
      <c r="Q5" s="109">
        <v>-36000</v>
      </c>
    </row>
    <row r="6" spans="1:17" x14ac:dyDescent="0.4">
      <c r="A6" s="57" t="s">
        <v>1</v>
      </c>
      <c r="B6" s="146">
        <f>IF(B$2=0,0,(B$7*1+B$8*2+B$9*3)/B$2)</f>
        <v>2.2000000000000002</v>
      </c>
      <c r="C6" s="147"/>
      <c r="E6" s="65" t="s">
        <v>72</v>
      </c>
      <c r="F6" s="62" t="s">
        <v>12</v>
      </c>
      <c r="G6" s="49">
        <v>3</v>
      </c>
      <c r="H6" s="138">
        <f>IF(B$27=0,0,G6/B$27)</f>
        <v>0.33333333333333331</v>
      </c>
      <c r="I6" s="100">
        <v>3</v>
      </c>
      <c r="K6" s="40">
        <v>4</v>
      </c>
      <c r="L6" s="105">
        <v>-20.3</v>
      </c>
      <c r="N6" s="121" t="s">
        <v>151</v>
      </c>
      <c r="O6" s="128">
        <f t="shared" si="0"/>
        <v>5400</v>
      </c>
      <c r="P6" s="125">
        <v>2</v>
      </c>
      <c r="Q6" s="109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38">
        <f>IF(B$27=0,0,G7/B$27)</f>
        <v>0.22222222222222221</v>
      </c>
      <c r="I7" s="100">
        <v>10</v>
      </c>
      <c r="K7" s="40">
        <v>5</v>
      </c>
      <c r="L7" s="105">
        <v>22.8</v>
      </c>
      <c r="N7" s="122" t="s">
        <v>152</v>
      </c>
      <c r="O7" s="129">
        <f t="shared" si="0"/>
        <v>-5000</v>
      </c>
      <c r="P7" s="126">
        <v>2</v>
      </c>
      <c r="Q7" s="110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38">
        <f>IF(B$27=0,0,G8/B$27)</f>
        <v>0.22222222222222221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38">
        <f>IF(B$27=0,0,G9/B$27)</f>
        <v>0.1111111111111111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38">
        <f>IF(B$27=0,0,G10/B$27)</f>
        <v>0.1111111111111111</v>
      </c>
      <c r="I10" s="100">
        <v>10</v>
      </c>
      <c r="N10" s="120" t="s">
        <v>253</v>
      </c>
      <c r="O10" s="130">
        <f>IF(P10=0,0,Q10/P10)</f>
        <v>-24.1</v>
      </c>
      <c r="P10" s="124">
        <v>2</v>
      </c>
      <c r="Q10" s="112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38">
        <f>IF(B$27=0,0,G11/B$27)</f>
        <v>0.1111111111111111</v>
      </c>
      <c r="I11" s="100">
        <v>3</v>
      </c>
      <c r="N11" s="121" t="s">
        <v>254</v>
      </c>
      <c r="O11" s="131">
        <f>IF(P11=0,0,Q11/P11)</f>
        <v>-12.733333333333334</v>
      </c>
      <c r="P11" s="125">
        <v>3</v>
      </c>
      <c r="Q11" s="113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38">
        <f>IF(B$27=0,0,G12/B$27)</f>
        <v>0</v>
      </c>
      <c r="I12" s="100">
        <v>12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38">
        <f>IF(B$27=0,0,G14/B$27)</f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38">
        <f>IF(B$27=0,0,G15/B$27)</f>
        <v>0</v>
      </c>
      <c r="I15" s="100">
        <v>6</v>
      </c>
      <c r="N15" s="120" t="s">
        <v>139</v>
      </c>
      <c r="O15" s="130">
        <f>IF(P15=0,0,Q15/P15)</f>
        <v>17.200000000000003</v>
      </c>
      <c r="P15" s="124">
        <v>2</v>
      </c>
      <c r="Q15" s="112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38">
        <f>IF(B$27=0,0,G16/B$27)</f>
        <v>0</v>
      </c>
      <c r="I16" s="100">
        <v>6</v>
      </c>
      <c r="N16" s="121" t="s">
        <v>157</v>
      </c>
      <c r="O16" s="131">
        <f>IF(P16=0,0,Q16/P16)</f>
        <v>-13.45</v>
      </c>
      <c r="P16" s="125">
        <v>2</v>
      </c>
      <c r="Q16" s="113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38">
        <f>IF(B$27=0,0,G17/B$27)</f>
        <v>0</v>
      </c>
      <c r="I17" s="100">
        <v>1</v>
      </c>
      <c r="N17" s="121" t="s">
        <v>135</v>
      </c>
      <c r="O17" s="131">
        <f>IF(P17=0,0,Q17/P17)</f>
        <v>-21.200000000000003</v>
      </c>
      <c r="P17" s="125">
        <v>3</v>
      </c>
      <c r="Q17" s="113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38">
        <f>IF(B$27=0,0,G18/B$27)</f>
        <v>0</v>
      </c>
      <c r="I18" s="100">
        <v>7</v>
      </c>
      <c r="N18" s="121" t="s">
        <v>194</v>
      </c>
      <c r="O18" s="131">
        <f>IF(P18=0,0,Q18/P18)</f>
        <v>-38.6</v>
      </c>
      <c r="P18" s="125">
        <v>2</v>
      </c>
      <c r="Q18" s="113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38">
        <f>IF(B$27=0,0,G19/B$27)</f>
        <v>0</v>
      </c>
      <c r="I19" s="100">
        <v>10</v>
      </c>
      <c r="N19" s="121" t="s">
        <v>133</v>
      </c>
      <c r="O19" s="131">
        <f>IF(P19=0,0,Q19/P19)</f>
        <v>-125.9</v>
      </c>
      <c r="P19" s="125">
        <v>1</v>
      </c>
      <c r="Q19" s="113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38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38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38">
        <f>IF(B$27=0,0,G22/B$27)</f>
        <v>0</v>
      </c>
      <c r="I22" s="100">
        <v>10</v>
      </c>
    </row>
    <row r="23" spans="1:17" x14ac:dyDescent="0.4">
      <c r="A23" s="96" t="s">
        <v>158</v>
      </c>
      <c r="B23" s="144">
        <v>3</v>
      </c>
      <c r="C23" s="145"/>
      <c r="E23" s="65" t="s">
        <v>87</v>
      </c>
      <c r="F23" s="62" t="s">
        <v>40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42">
        <v>57800</v>
      </c>
      <c r="C24" s="143"/>
      <c r="E24" s="65" t="s">
        <v>88</v>
      </c>
      <c r="F24" s="62" t="s">
        <v>41</v>
      </c>
      <c r="G24" s="49">
        <v>0</v>
      </c>
      <c r="H24" s="138">
        <f>IF(B$27=0,0,G24/B$27)</f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8">
        <f>IF(B$27=0,0,G25/B$27)</f>
        <v>0</v>
      </c>
      <c r="I25" s="100">
        <v>5</v>
      </c>
    </row>
    <row r="26" spans="1:17" x14ac:dyDescent="0.4">
      <c r="A26" s="56" t="s">
        <v>126</v>
      </c>
      <c r="B26" s="148">
        <v>31</v>
      </c>
      <c r="C26" s="149"/>
      <c r="E26" s="65" t="s">
        <v>90</v>
      </c>
      <c r="F26" s="62" t="s">
        <v>43</v>
      </c>
      <c r="G26" s="49">
        <v>0</v>
      </c>
      <c r="H26" s="138">
        <f>IF(B$27=0,0,G26/B$27)</f>
        <v>0</v>
      </c>
      <c r="I26" s="100">
        <v>6</v>
      </c>
    </row>
    <row r="27" spans="1:17" x14ac:dyDescent="0.4">
      <c r="A27" s="59" t="s">
        <v>127</v>
      </c>
      <c r="B27" s="150">
        <v>9</v>
      </c>
      <c r="C27" s="151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D0EE3-9A32-4FC8-8677-1E277B9A31F3}">
  <sheetPr codeName="Sheet19"/>
  <dimension ref="A1:Q7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136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26.869708458390257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71</v>
      </c>
      <c r="C2" s="149"/>
      <c r="E2" s="64" t="s">
        <v>71</v>
      </c>
      <c r="F2" s="61" t="s">
        <v>25</v>
      </c>
      <c r="G2" s="48">
        <v>86</v>
      </c>
      <c r="H2" s="137">
        <f>IF(B$27=0,0,G2/B$27)</f>
        <v>0.89583333333333337</v>
      </c>
      <c r="I2" s="99">
        <v>7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-1422.5352112676057</v>
      </c>
      <c r="P2" s="124">
        <v>71</v>
      </c>
      <c r="Q2" s="108">
        <v>-101000</v>
      </c>
    </row>
    <row r="3" spans="1:17" x14ac:dyDescent="0.4">
      <c r="A3" s="57" t="s">
        <v>8</v>
      </c>
      <c r="B3" s="154">
        <v>550</v>
      </c>
      <c r="C3" s="155"/>
      <c r="E3" s="65" t="s">
        <v>69</v>
      </c>
      <c r="F3" s="62" t="s">
        <v>23</v>
      </c>
      <c r="G3" s="49">
        <v>63</v>
      </c>
      <c r="H3" s="138">
        <f>IF(B$27=0,0,G3/B$27)</f>
        <v>0.65625</v>
      </c>
      <c r="I3" s="100">
        <v>10</v>
      </c>
      <c r="K3" s="40">
        <v>1</v>
      </c>
      <c r="L3" s="105">
        <v>68.2</v>
      </c>
      <c r="N3" s="121" t="s">
        <v>148</v>
      </c>
      <c r="O3" s="128">
        <f t="shared" si="0"/>
        <v>-3371.6417910447763</v>
      </c>
      <c r="P3" s="125">
        <v>67</v>
      </c>
      <c r="Q3" s="109">
        <v>-225900</v>
      </c>
    </row>
    <row r="4" spans="1:17" x14ac:dyDescent="0.4">
      <c r="A4" s="57" t="s">
        <v>6</v>
      </c>
      <c r="B4" s="156">
        <v>-446.7</v>
      </c>
      <c r="C4" s="157"/>
      <c r="E4" s="65" t="s">
        <v>76</v>
      </c>
      <c r="F4" s="62" t="s">
        <v>29</v>
      </c>
      <c r="G4" s="49">
        <v>60</v>
      </c>
      <c r="H4" s="138">
        <f>IF(B$27=0,0,G4/B$27)</f>
        <v>0.625</v>
      </c>
      <c r="I4" s="100">
        <v>5</v>
      </c>
      <c r="K4" s="40">
        <v>2</v>
      </c>
      <c r="L4" s="105">
        <v>-9.6999999999999993</v>
      </c>
      <c r="N4" s="121" t="s">
        <v>149</v>
      </c>
      <c r="O4" s="128">
        <f t="shared" si="0"/>
        <v>-1023.728813559322</v>
      </c>
      <c r="P4" s="125">
        <v>59</v>
      </c>
      <c r="Q4" s="109">
        <v>-60400</v>
      </c>
    </row>
    <row r="5" spans="1:17" x14ac:dyDescent="0.4">
      <c r="A5" s="57" t="s">
        <v>7</v>
      </c>
      <c r="B5" s="158">
        <f>IF(B$2=0,0,B$4/B$2)</f>
        <v>-6.2915492957746482</v>
      </c>
      <c r="C5" s="159"/>
      <c r="E5" s="65" t="s">
        <v>67</v>
      </c>
      <c r="F5" s="62" t="s">
        <v>21</v>
      </c>
      <c r="G5" s="49">
        <v>46</v>
      </c>
      <c r="H5" s="138">
        <f>IF(B$27=0,0,G5/B$27)</f>
        <v>0.47916666666666669</v>
      </c>
      <c r="I5" s="100">
        <v>10</v>
      </c>
      <c r="K5" s="40">
        <v>3</v>
      </c>
      <c r="L5" s="105">
        <v>23.6</v>
      </c>
      <c r="N5" s="121" t="s">
        <v>150</v>
      </c>
      <c r="O5" s="128">
        <f t="shared" si="0"/>
        <v>1263.1578947368421</v>
      </c>
      <c r="P5" s="125">
        <v>57</v>
      </c>
      <c r="Q5" s="109">
        <v>72000</v>
      </c>
    </row>
    <row r="6" spans="1:17" x14ac:dyDescent="0.4">
      <c r="A6" s="57" t="s">
        <v>1</v>
      </c>
      <c r="B6" s="146">
        <f>IF(B$2=0,0,(B$7*1+B$8*2+B$9*3)/B$2)</f>
        <v>2.1971830985915495</v>
      </c>
      <c r="C6" s="147"/>
      <c r="E6" s="65" t="s">
        <v>72</v>
      </c>
      <c r="F6" s="62" t="s">
        <v>12</v>
      </c>
      <c r="G6" s="49">
        <v>30</v>
      </c>
      <c r="H6" s="138">
        <f>IF(B$27=0,0,G6/B$27)</f>
        <v>0.3125</v>
      </c>
      <c r="I6" s="100">
        <v>6</v>
      </c>
      <c r="K6" s="40">
        <v>4</v>
      </c>
      <c r="L6" s="105">
        <v>-24.4</v>
      </c>
      <c r="N6" s="121" t="s">
        <v>151</v>
      </c>
      <c r="O6" s="128">
        <f t="shared" si="0"/>
        <v>-2336.1702127659573</v>
      </c>
      <c r="P6" s="125">
        <v>47</v>
      </c>
      <c r="Q6" s="109">
        <v>-109800</v>
      </c>
    </row>
    <row r="7" spans="1:17" x14ac:dyDescent="0.4">
      <c r="A7" s="57" t="s">
        <v>2</v>
      </c>
      <c r="B7" s="49">
        <v>15</v>
      </c>
      <c r="C7" s="41">
        <f>IF(B$2=0,0,B7/B$2)</f>
        <v>0.21126760563380281</v>
      </c>
      <c r="E7" s="65" t="s">
        <v>68</v>
      </c>
      <c r="F7" s="62" t="s">
        <v>22</v>
      </c>
      <c r="G7" s="49">
        <v>14</v>
      </c>
      <c r="H7" s="138">
        <f>IF(B$27=0,0,G7/B$27)</f>
        <v>0.14583333333333334</v>
      </c>
      <c r="I7" s="100">
        <v>4</v>
      </c>
      <c r="K7" s="40">
        <v>5</v>
      </c>
      <c r="L7" s="105">
        <v>66</v>
      </c>
      <c r="N7" s="122" t="s">
        <v>152</v>
      </c>
      <c r="O7" s="129">
        <f t="shared" si="0"/>
        <v>-583.78378378378375</v>
      </c>
      <c r="P7" s="126">
        <v>37</v>
      </c>
      <c r="Q7" s="110">
        <v>-21600</v>
      </c>
    </row>
    <row r="8" spans="1:17" x14ac:dyDescent="0.4">
      <c r="A8" s="57" t="s">
        <v>3</v>
      </c>
      <c r="B8" s="49">
        <v>27</v>
      </c>
      <c r="C8" s="41">
        <f>IF(B$2=0,0,B8/B$2)</f>
        <v>0.38028169014084506</v>
      </c>
      <c r="E8" s="65" t="s">
        <v>73</v>
      </c>
      <c r="F8" s="62" t="s">
        <v>26</v>
      </c>
      <c r="G8" s="49">
        <v>12</v>
      </c>
      <c r="H8" s="138">
        <f>IF(B$27=0,0,G8/B$27)</f>
        <v>0.125</v>
      </c>
      <c r="I8" s="100">
        <v>8</v>
      </c>
      <c r="K8" s="40">
        <v>6</v>
      </c>
      <c r="L8" s="105">
        <v>1.5</v>
      </c>
      <c r="N8" s="45"/>
      <c r="O8" s="133"/>
      <c r="P8" s="117"/>
      <c r="Q8" s="115"/>
    </row>
    <row r="9" spans="1:17" x14ac:dyDescent="0.4">
      <c r="A9" s="58" t="s">
        <v>4</v>
      </c>
      <c r="B9" s="50">
        <v>29</v>
      </c>
      <c r="C9" s="42">
        <f t="shared" ref="C9" si="1">IF(B$2=0,0,B9/B$2)</f>
        <v>0.40845070422535212</v>
      </c>
      <c r="E9" s="65" t="s">
        <v>70</v>
      </c>
      <c r="F9" s="62" t="s">
        <v>24</v>
      </c>
      <c r="G9" s="49">
        <v>11</v>
      </c>
      <c r="H9" s="138">
        <f>IF(B$27=0,0,G9/B$27)</f>
        <v>0.11458333333333333</v>
      </c>
      <c r="I9" s="100">
        <v>13</v>
      </c>
      <c r="K9" s="40">
        <v>7</v>
      </c>
      <c r="L9" s="105">
        <v>3.8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0.18309859154929578</v>
      </c>
      <c r="E10" s="65" t="s">
        <v>74</v>
      </c>
      <c r="F10" s="62" t="s">
        <v>27</v>
      </c>
      <c r="G10" s="49">
        <v>7</v>
      </c>
      <c r="H10" s="138">
        <f>IF(B$27=0,0,G10/B$27)</f>
        <v>7.2916666666666671E-2</v>
      </c>
      <c r="I10" s="100">
        <v>10</v>
      </c>
      <c r="K10" s="40">
        <v>8</v>
      </c>
      <c r="L10" s="105">
        <v>-32.5</v>
      </c>
      <c r="N10" s="120" t="s">
        <v>253</v>
      </c>
      <c r="O10" s="130">
        <f>IF(P10=0,0,Q10/P10)</f>
        <v>-7.7875000000000023</v>
      </c>
      <c r="P10" s="124">
        <v>32</v>
      </c>
      <c r="Q10" s="112">
        <v>-249.20000000000007</v>
      </c>
    </row>
    <row r="11" spans="1:17" x14ac:dyDescent="0.4">
      <c r="A11" s="58" t="s">
        <v>155</v>
      </c>
      <c r="B11" s="50">
        <v>9</v>
      </c>
      <c r="C11" s="42">
        <f>IF(B$2=0,0,B11/B$2)</f>
        <v>0.12676056338028169</v>
      </c>
      <c r="E11" s="65" t="s">
        <v>94</v>
      </c>
      <c r="F11" s="62" t="s">
        <v>47</v>
      </c>
      <c r="G11" s="49">
        <v>6</v>
      </c>
      <c r="H11" s="138">
        <f>IF(B$27=0,0,G11/B$27)</f>
        <v>6.25E-2</v>
      </c>
      <c r="I11" s="100">
        <v>12</v>
      </c>
      <c r="K11" s="40">
        <v>9</v>
      </c>
      <c r="L11" s="105">
        <v>-13.7</v>
      </c>
      <c r="N11" s="121" t="s">
        <v>254</v>
      </c>
      <c r="O11" s="131">
        <f>IF(P11=0,0,Q11/P11)</f>
        <v>-6.3299999999999983</v>
      </c>
      <c r="P11" s="125">
        <v>20</v>
      </c>
      <c r="Q11" s="113">
        <v>-126.59999999999997</v>
      </c>
    </row>
    <row r="12" spans="1:17" x14ac:dyDescent="0.4">
      <c r="A12" s="59" t="s">
        <v>239</v>
      </c>
      <c r="B12" s="51">
        <v>4</v>
      </c>
      <c r="C12" s="44">
        <f>IF(B$2=0,0,B12/B$2)</f>
        <v>5.6338028169014086E-2</v>
      </c>
      <c r="E12" s="65" t="s">
        <v>75</v>
      </c>
      <c r="F12" s="62" t="s">
        <v>28</v>
      </c>
      <c r="G12" s="49">
        <v>4</v>
      </c>
      <c r="H12" s="138">
        <f>IF(B$27=0,0,G12/B$27)</f>
        <v>4.1666666666666664E-2</v>
      </c>
      <c r="I12" s="100">
        <v>7</v>
      </c>
      <c r="K12" s="40">
        <v>10</v>
      </c>
      <c r="L12" s="105">
        <v>27.7</v>
      </c>
      <c r="N12" s="122" t="s">
        <v>255</v>
      </c>
      <c r="O12" s="132">
        <f>IF(P12=0,0,Q12/P12)</f>
        <v>-3.7315789473684213</v>
      </c>
      <c r="P12" s="126">
        <v>19</v>
      </c>
      <c r="Q12" s="114">
        <v>-70.900000000000006</v>
      </c>
    </row>
    <row r="13" spans="1:17" x14ac:dyDescent="0.4">
      <c r="A13" s="60" t="s">
        <v>128</v>
      </c>
      <c r="B13" s="52">
        <v>100</v>
      </c>
      <c r="C13" s="46">
        <f>IF(B$26=0,0,B13/B$26)</f>
        <v>0.27027027027027029</v>
      </c>
      <c r="E13" s="65" t="s">
        <v>82</v>
      </c>
      <c r="F13" s="62" t="s">
        <v>35</v>
      </c>
      <c r="G13" s="49">
        <v>4</v>
      </c>
      <c r="H13" s="138">
        <f>IF(B$27=0,0,G13/B$27)</f>
        <v>4.1666666666666664E-2</v>
      </c>
      <c r="I13" s="100">
        <v>4</v>
      </c>
      <c r="K13" s="40">
        <v>11</v>
      </c>
      <c r="L13" s="105">
        <v>-38.9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102</v>
      </c>
      <c r="C14" s="41">
        <f>IF(B$26=0,0,B14/B$26)</f>
        <v>0.27567567567567569</v>
      </c>
      <c r="E14" s="65" t="s">
        <v>91</v>
      </c>
      <c r="F14" s="62" t="s">
        <v>44</v>
      </c>
      <c r="G14" s="49">
        <v>4</v>
      </c>
      <c r="H14" s="138">
        <f>IF(B$27=0,0,G14/B$27)</f>
        <v>4.1666666666666664E-2</v>
      </c>
      <c r="I14" s="100">
        <v>11</v>
      </c>
      <c r="K14" s="40">
        <v>12</v>
      </c>
      <c r="L14" s="105">
        <v>-38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49</v>
      </c>
      <c r="C15" s="39">
        <f>IF(B$13=0,0,B15/B$13)</f>
        <v>0.49</v>
      </c>
      <c r="E15" s="65" t="s">
        <v>83</v>
      </c>
      <c r="F15" s="62" t="s">
        <v>36</v>
      </c>
      <c r="G15" s="49">
        <v>3</v>
      </c>
      <c r="H15" s="138">
        <f>IF(B$27=0,0,G15/B$27)</f>
        <v>3.125E-2</v>
      </c>
      <c r="I15" s="100">
        <v>4</v>
      </c>
      <c r="K15" s="40">
        <v>13</v>
      </c>
      <c r="L15" s="105">
        <v>-20.3</v>
      </c>
      <c r="N15" s="120" t="s">
        <v>157</v>
      </c>
      <c r="O15" s="130">
        <f>IF(P15=0,0,Q15/P15)</f>
        <v>16.125</v>
      </c>
      <c r="P15" s="124">
        <v>4</v>
      </c>
      <c r="Q15" s="112">
        <v>64.5</v>
      </c>
    </row>
    <row r="16" spans="1:17" x14ac:dyDescent="0.4">
      <c r="A16" s="56" t="s">
        <v>131</v>
      </c>
      <c r="B16" s="48">
        <v>37</v>
      </c>
      <c r="C16" s="39">
        <f>IF(B$14=0,0,B16/B$14)</f>
        <v>0.36274509803921567</v>
      </c>
      <c r="E16" s="65" t="s">
        <v>88</v>
      </c>
      <c r="F16" s="62" t="s">
        <v>41</v>
      </c>
      <c r="G16" s="49">
        <v>2</v>
      </c>
      <c r="H16" s="138">
        <f>IF(B$27=0,0,G16/B$27)</f>
        <v>2.0833333333333332E-2</v>
      </c>
      <c r="I16" s="100">
        <v>11</v>
      </c>
      <c r="K16" s="40">
        <v>14</v>
      </c>
      <c r="L16" s="105">
        <v>-8.5</v>
      </c>
      <c r="N16" s="121" t="s">
        <v>139</v>
      </c>
      <c r="O16" s="131">
        <f>IF(P16=0,0,Q16/P16)</f>
        <v>11.846666666666668</v>
      </c>
      <c r="P16" s="125">
        <v>15</v>
      </c>
      <c r="Q16" s="113">
        <v>177.70000000000002</v>
      </c>
    </row>
    <row r="17" spans="1:17" x14ac:dyDescent="0.4">
      <c r="A17" s="56" t="s">
        <v>10</v>
      </c>
      <c r="B17" s="48">
        <f>B19+B18</f>
        <v>147</v>
      </c>
      <c r="C17" s="39">
        <f>IF(B$3=0,0,B17/B$3)</f>
        <v>0.26727272727272727</v>
      </c>
      <c r="E17" s="65" t="s">
        <v>79</v>
      </c>
      <c r="F17" s="62" t="s">
        <v>32</v>
      </c>
      <c r="G17" s="49">
        <v>1</v>
      </c>
      <c r="H17" s="138">
        <f>IF(B$27=0,0,G17/B$27)</f>
        <v>1.0416666666666666E-2</v>
      </c>
      <c r="I17" s="100">
        <v>2</v>
      </c>
      <c r="K17" s="40">
        <v>15</v>
      </c>
      <c r="L17" s="105">
        <v>-38.5</v>
      </c>
      <c r="N17" s="121" t="s">
        <v>137</v>
      </c>
      <c r="O17" s="131">
        <f>IF(P17=0,0,Q17/P17)</f>
        <v>3.3548387096774182</v>
      </c>
      <c r="P17" s="125">
        <v>31</v>
      </c>
      <c r="Q17" s="113">
        <v>103.99999999999996</v>
      </c>
    </row>
    <row r="18" spans="1:17" x14ac:dyDescent="0.4">
      <c r="A18" s="57" t="s">
        <v>12</v>
      </c>
      <c r="B18" s="49">
        <v>69</v>
      </c>
      <c r="C18" s="41">
        <f>IF(B$17=0,0,B18/B$17)</f>
        <v>0.46938775510204084</v>
      </c>
      <c r="E18" s="65" t="s">
        <v>81</v>
      </c>
      <c r="F18" s="62" t="s">
        <v>34</v>
      </c>
      <c r="G18" s="49">
        <v>1</v>
      </c>
      <c r="H18" s="138">
        <f>IF(B$27=0,0,G18/B$27)</f>
        <v>1.0416666666666666E-2</v>
      </c>
      <c r="I18" s="100">
        <v>2</v>
      </c>
      <c r="K18" s="40">
        <v>16</v>
      </c>
      <c r="L18" s="105">
        <v>-11.6</v>
      </c>
      <c r="N18" s="121" t="s">
        <v>135</v>
      </c>
      <c r="O18" s="131">
        <f>IF(P18=0,0,Q18/P18)</f>
        <v>-13.249999999999998</v>
      </c>
      <c r="P18" s="125">
        <v>2</v>
      </c>
      <c r="Q18" s="113">
        <v>-26.499999999999996</v>
      </c>
    </row>
    <row r="19" spans="1:17" x14ac:dyDescent="0.4">
      <c r="A19" s="57" t="s">
        <v>11</v>
      </c>
      <c r="B19" s="49">
        <v>78</v>
      </c>
      <c r="C19" s="41">
        <f>IF(B$17=0,0,B19/B$17)</f>
        <v>0.53061224489795922</v>
      </c>
      <c r="E19" s="65" t="s">
        <v>86</v>
      </c>
      <c r="F19" s="62" t="s">
        <v>39</v>
      </c>
      <c r="G19" s="49">
        <v>1</v>
      </c>
      <c r="H19" s="138">
        <f>IF(B$27=0,0,G19/B$27)</f>
        <v>1.0416666666666666E-2</v>
      </c>
      <c r="I19" s="100">
        <v>9</v>
      </c>
      <c r="K19" s="40">
        <v>17</v>
      </c>
      <c r="L19" s="105">
        <v>0.3</v>
      </c>
      <c r="N19" s="121" t="s">
        <v>133</v>
      </c>
      <c r="O19" s="131">
        <f>IF(P19=0,0,Q19/P19)</f>
        <v>-14.024561403508777</v>
      </c>
      <c r="P19" s="125">
        <v>57</v>
      </c>
      <c r="Q19" s="113">
        <v>-799.40000000000032</v>
      </c>
    </row>
    <row r="20" spans="1:17" x14ac:dyDescent="0.4">
      <c r="A20" s="57" t="s">
        <v>13</v>
      </c>
      <c r="B20" s="49">
        <v>100</v>
      </c>
      <c r="C20" s="41">
        <f>IF(B$3=0,0,B20/B$3)</f>
        <v>0.18181818181818182</v>
      </c>
      <c r="E20" s="65" t="s">
        <v>77</v>
      </c>
      <c r="F20" s="62" t="s">
        <v>30</v>
      </c>
      <c r="G20" s="49">
        <v>0</v>
      </c>
      <c r="H20" s="138">
        <f>IF(B$27=0,0,G20/B$27)</f>
        <v>0</v>
      </c>
      <c r="I20" s="100">
        <v>7</v>
      </c>
      <c r="K20" s="40">
        <v>18</v>
      </c>
      <c r="L20" s="105">
        <v>14.7</v>
      </c>
      <c r="N20" s="121" t="s">
        <v>138</v>
      </c>
      <c r="O20" s="131">
        <f>IF(P20=0,0,Q20/P20)</f>
        <v>-24.993333333333332</v>
      </c>
      <c r="P20" s="125">
        <v>15</v>
      </c>
      <c r="Q20" s="113">
        <v>-374.9</v>
      </c>
    </row>
    <row r="21" spans="1:17" x14ac:dyDescent="0.4">
      <c r="A21" s="57" t="s">
        <v>5</v>
      </c>
      <c r="B21" s="53">
        <f>IF(B$17=0,0,C21/B$17)</f>
        <v>9092.5170068027219</v>
      </c>
      <c r="C21" s="43">
        <v>1336600</v>
      </c>
      <c r="E21" s="65" t="s">
        <v>78</v>
      </c>
      <c r="F21" s="62" t="s">
        <v>31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48</v>
      </c>
      <c r="N21" s="121" t="s">
        <v>134</v>
      </c>
      <c r="O21" s="131">
        <f>IF(P21=0,0,Q21/P21)</f>
        <v>-26.972222222222218</v>
      </c>
      <c r="P21" s="125">
        <v>18</v>
      </c>
      <c r="Q21" s="113">
        <v>-485.49999999999994</v>
      </c>
    </row>
    <row r="22" spans="1:17" x14ac:dyDescent="0.4">
      <c r="A22" s="59" t="s">
        <v>14</v>
      </c>
      <c r="B22" s="54">
        <f>IF(B$20=0,0,C22/B$20)</f>
        <v>-9718</v>
      </c>
      <c r="C22" s="47">
        <v>-971800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-41.8</v>
      </c>
    </row>
    <row r="23" spans="1:17" x14ac:dyDescent="0.4">
      <c r="A23" s="96" t="s">
        <v>158</v>
      </c>
      <c r="B23" s="144">
        <v>6</v>
      </c>
      <c r="C23" s="145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  <c r="K23" s="40">
        <v>21</v>
      </c>
      <c r="L23" s="105">
        <v>-5.5</v>
      </c>
    </row>
    <row r="24" spans="1:17" x14ac:dyDescent="0.4">
      <c r="A24" s="60" t="s">
        <v>199</v>
      </c>
      <c r="B24" s="142">
        <v>103200</v>
      </c>
      <c r="C24" s="143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  <c r="K24" s="40">
        <v>22</v>
      </c>
      <c r="L24" s="105">
        <v>24.9</v>
      </c>
    </row>
    <row r="25" spans="1:17" x14ac:dyDescent="0.4">
      <c r="A25" s="59" t="s">
        <v>159</v>
      </c>
      <c r="B25" s="67">
        <v>2</v>
      </c>
      <c r="C25" s="44">
        <f>IF(B$3=0,0,B25/B$3)</f>
        <v>3.6363636363636364E-3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-13.9</v>
      </c>
    </row>
    <row r="26" spans="1:17" x14ac:dyDescent="0.4">
      <c r="A26" s="56" t="s">
        <v>126</v>
      </c>
      <c r="B26" s="148">
        <v>370</v>
      </c>
      <c r="C26" s="149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  <c r="K26" s="40">
        <v>24</v>
      </c>
      <c r="L26" s="105">
        <v>-8.3000000000000007</v>
      </c>
    </row>
    <row r="27" spans="1:17" x14ac:dyDescent="0.4">
      <c r="A27" s="59" t="s">
        <v>127</v>
      </c>
      <c r="B27" s="150">
        <v>96</v>
      </c>
      <c r="C27" s="151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-11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  <c r="K28" s="40">
        <v>26</v>
      </c>
      <c r="L28" s="105">
        <v>-21.9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  <c r="K29" s="40">
        <v>27</v>
      </c>
      <c r="L29" s="105">
        <v>6.1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0.6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  <c r="K31" s="40">
        <v>29</v>
      </c>
      <c r="L31" s="105">
        <v>40.200000000000003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  <c r="K32" s="40">
        <v>30</v>
      </c>
      <c r="L32" s="105">
        <v>-35.700000000000003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-16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-5.8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-51.9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-12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33.4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-5.6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-27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5.2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-7.7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-15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-50.6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4.8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-45.5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-1.1000000000000001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-37.200000000000003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-41.3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-4.2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-60.3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-15.9</v>
      </c>
    </row>
    <row r="52" spans="5:12" x14ac:dyDescent="0.4">
      <c r="K52" s="40">
        <v>50</v>
      </c>
      <c r="L52" s="105">
        <v>6</v>
      </c>
    </row>
    <row r="53" spans="5:12" x14ac:dyDescent="0.4">
      <c r="K53" s="40">
        <v>51</v>
      </c>
      <c r="L53" s="105">
        <v>-21</v>
      </c>
    </row>
    <row r="54" spans="5:12" x14ac:dyDescent="0.4">
      <c r="K54" s="40">
        <v>52</v>
      </c>
      <c r="L54" s="105">
        <v>-4</v>
      </c>
    </row>
    <row r="55" spans="5:12" x14ac:dyDescent="0.4">
      <c r="K55" s="40">
        <v>53</v>
      </c>
      <c r="L55" s="105">
        <v>-30.4</v>
      </c>
    </row>
    <row r="56" spans="5:12" x14ac:dyDescent="0.4">
      <c r="K56" s="40">
        <v>54</v>
      </c>
      <c r="L56" s="105">
        <v>6.6</v>
      </c>
    </row>
    <row r="57" spans="5:12" x14ac:dyDescent="0.4">
      <c r="K57" s="40">
        <v>55</v>
      </c>
      <c r="L57" s="105">
        <v>-20.5</v>
      </c>
    </row>
    <row r="58" spans="5:12" x14ac:dyDescent="0.4">
      <c r="K58" s="40">
        <v>56</v>
      </c>
      <c r="L58" s="105">
        <v>-37</v>
      </c>
    </row>
    <row r="59" spans="5:12" x14ac:dyDescent="0.4">
      <c r="K59" s="40">
        <v>57</v>
      </c>
      <c r="L59" s="105">
        <v>-30.7</v>
      </c>
    </row>
    <row r="60" spans="5:12" x14ac:dyDescent="0.4">
      <c r="K60" s="40">
        <v>58</v>
      </c>
      <c r="L60" s="105">
        <v>-40</v>
      </c>
    </row>
    <row r="61" spans="5:12" x14ac:dyDescent="0.4">
      <c r="K61" s="40">
        <v>59</v>
      </c>
      <c r="L61" s="105">
        <v>22.5</v>
      </c>
    </row>
    <row r="62" spans="5:12" x14ac:dyDescent="0.4">
      <c r="K62" s="40">
        <v>60</v>
      </c>
      <c r="L62" s="105">
        <v>15.5</v>
      </c>
    </row>
    <row r="63" spans="5:12" x14ac:dyDescent="0.4">
      <c r="K63" s="40">
        <v>61</v>
      </c>
      <c r="L63" s="105">
        <v>43</v>
      </c>
    </row>
    <row r="64" spans="5:12" x14ac:dyDescent="0.4">
      <c r="K64" s="40">
        <v>62</v>
      </c>
      <c r="L64" s="105">
        <v>-19.600000000000001</v>
      </c>
    </row>
    <row r="65" spans="11:12" x14ac:dyDescent="0.4">
      <c r="K65" s="40">
        <v>63</v>
      </c>
      <c r="L65" s="105">
        <v>-12.2</v>
      </c>
    </row>
    <row r="66" spans="11:12" x14ac:dyDescent="0.4">
      <c r="K66" s="40">
        <v>64</v>
      </c>
      <c r="L66" s="105">
        <v>-11.8</v>
      </c>
    </row>
    <row r="67" spans="11:12" x14ac:dyDescent="0.4">
      <c r="K67" s="40">
        <v>65</v>
      </c>
      <c r="L67" s="105">
        <v>41.3</v>
      </c>
    </row>
    <row r="68" spans="11:12" x14ac:dyDescent="0.4">
      <c r="K68" s="40">
        <v>66</v>
      </c>
      <c r="L68" s="105">
        <v>11.4</v>
      </c>
    </row>
    <row r="69" spans="11:12" x14ac:dyDescent="0.4">
      <c r="K69" s="40">
        <v>67</v>
      </c>
      <c r="L69" s="105">
        <v>16.5</v>
      </c>
    </row>
    <row r="70" spans="11:12" x14ac:dyDescent="0.4">
      <c r="K70" s="40">
        <v>68</v>
      </c>
      <c r="L70" s="105">
        <v>4.7</v>
      </c>
    </row>
    <row r="71" spans="11:12" x14ac:dyDescent="0.4">
      <c r="K71" s="40">
        <v>69</v>
      </c>
      <c r="L71" s="105">
        <v>-10.6</v>
      </c>
    </row>
    <row r="72" spans="11:12" x14ac:dyDescent="0.4">
      <c r="K72" s="40">
        <v>70</v>
      </c>
      <c r="L72" s="105">
        <v>5.8</v>
      </c>
    </row>
    <row r="73" spans="11:12" x14ac:dyDescent="0.4">
      <c r="K73" s="40">
        <v>71</v>
      </c>
      <c r="L73" s="105">
        <v>20.100000000000001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41E38-8040-46E0-9A47-426FA3A19AA0}">
  <sheetPr codeName="Sheet21"/>
  <dimension ref="A1:Q11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137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26.994845097485968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112</v>
      </c>
      <c r="C2" s="149"/>
      <c r="E2" s="64" t="s">
        <v>71</v>
      </c>
      <c r="F2" s="61" t="s">
        <v>25</v>
      </c>
      <c r="G2" s="48">
        <v>196</v>
      </c>
      <c r="H2" s="137">
        <f>IF(B$27=0,0,G2/B$27)</f>
        <v>0.8990825688073395</v>
      </c>
      <c r="I2" s="99">
        <v>6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1675.4545454545455</v>
      </c>
      <c r="P2" s="124">
        <v>110</v>
      </c>
      <c r="Q2" s="108">
        <v>184300</v>
      </c>
    </row>
    <row r="3" spans="1:17" x14ac:dyDescent="0.4">
      <c r="A3" s="57" t="s">
        <v>8</v>
      </c>
      <c r="B3" s="154">
        <v>847</v>
      </c>
      <c r="C3" s="155"/>
      <c r="E3" s="65" t="s">
        <v>69</v>
      </c>
      <c r="F3" s="62" t="s">
        <v>23</v>
      </c>
      <c r="G3" s="49">
        <v>168</v>
      </c>
      <c r="H3" s="138">
        <f>IF(B$27=0,0,G3/B$27)</f>
        <v>0.77064220183486243</v>
      </c>
      <c r="I3" s="100">
        <v>4</v>
      </c>
      <c r="K3" s="40">
        <v>1</v>
      </c>
      <c r="L3" s="105">
        <v>-36.700000000000003</v>
      </c>
      <c r="N3" s="121" t="s">
        <v>148</v>
      </c>
      <c r="O3" s="128">
        <f t="shared" si="0"/>
        <v>577.88461538461536</v>
      </c>
      <c r="P3" s="125">
        <v>104</v>
      </c>
      <c r="Q3" s="109">
        <v>60100</v>
      </c>
    </row>
    <row r="4" spans="1:17" x14ac:dyDescent="0.4">
      <c r="A4" s="57" t="s">
        <v>6</v>
      </c>
      <c r="B4" s="156">
        <v>225.49999999999983</v>
      </c>
      <c r="C4" s="157"/>
      <c r="E4" s="65" t="s">
        <v>67</v>
      </c>
      <c r="F4" s="62" t="s">
        <v>21</v>
      </c>
      <c r="G4" s="49">
        <v>122</v>
      </c>
      <c r="H4" s="138">
        <f>IF(B$27=0,0,G4/B$27)</f>
        <v>0.55963302752293576</v>
      </c>
      <c r="I4" s="100">
        <v>6</v>
      </c>
      <c r="K4" s="40">
        <v>2</v>
      </c>
      <c r="L4" s="105">
        <v>-8.6</v>
      </c>
      <c r="N4" s="121" t="s">
        <v>149</v>
      </c>
      <c r="O4" s="128">
        <f t="shared" si="0"/>
        <v>-29.166666666666668</v>
      </c>
      <c r="P4" s="125">
        <v>96</v>
      </c>
      <c r="Q4" s="109">
        <v>-2800</v>
      </c>
    </row>
    <row r="5" spans="1:17" x14ac:dyDescent="0.4">
      <c r="A5" s="57" t="s">
        <v>7</v>
      </c>
      <c r="B5" s="158">
        <f>IF(B$2=0,0,B$4/B$2)</f>
        <v>2.0133928571428554</v>
      </c>
      <c r="C5" s="159"/>
      <c r="E5" s="65" t="s">
        <v>76</v>
      </c>
      <c r="F5" s="62" t="s">
        <v>29</v>
      </c>
      <c r="G5" s="49">
        <v>121</v>
      </c>
      <c r="H5" s="138">
        <f>IF(B$27=0,0,G5/B$27)</f>
        <v>0.55504587155963303</v>
      </c>
      <c r="I5" s="100">
        <v>8</v>
      </c>
      <c r="K5" s="40">
        <v>3</v>
      </c>
      <c r="L5" s="105">
        <v>-36.4</v>
      </c>
      <c r="N5" s="121" t="s">
        <v>150</v>
      </c>
      <c r="O5" s="128">
        <f t="shared" si="0"/>
        <v>-1273.3333333333333</v>
      </c>
      <c r="P5" s="125">
        <v>90</v>
      </c>
      <c r="Q5" s="109">
        <v>-114600</v>
      </c>
    </row>
    <row r="6" spans="1:17" x14ac:dyDescent="0.4">
      <c r="A6" s="57" t="s">
        <v>1</v>
      </c>
      <c r="B6" s="146">
        <f>IF(B$2=0,0,(B$7*1+B$8*2+B$9*3)/B$2)</f>
        <v>1.9285714285714286</v>
      </c>
      <c r="C6" s="147"/>
      <c r="E6" s="65" t="s">
        <v>70</v>
      </c>
      <c r="F6" s="62" t="s">
        <v>24</v>
      </c>
      <c r="G6" s="49">
        <v>80</v>
      </c>
      <c r="H6" s="138">
        <f>IF(B$27=0,0,G6/B$27)</f>
        <v>0.3669724770642202</v>
      </c>
      <c r="I6" s="100">
        <v>4</v>
      </c>
      <c r="K6" s="40">
        <v>4</v>
      </c>
      <c r="L6" s="105">
        <v>-32.6</v>
      </c>
      <c r="N6" s="121" t="s">
        <v>151</v>
      </c>
      <c r="O6" s="128">
        <f t="shared" si="0"/>
        <v>997.43589743589746</v>
      </c>
      <c r="P6" s="125">
        <v>78</v>
      </c>
      <c r="Q6" s="109">
        <v>77800</v>
      </c>
    </row>
    <row r="7" spans="1:17" x14ac:dyDescent="0.4">
      <c r="A7" s="57" t="s">
        <v>2</v>
      </c>
      <c r="B7" s="49">
        <v>42</v>
      </c>
      <c r="C7" s="41">
        <f>IF(B$2=0,0,B7/B$2)</f>
        <v>0.375</v>
      </c>
      <c r="E7" s="65" t="s">
        <v>72</v>
      </c>
      <c r="F7" s="62" t="s">
        <v>12</v>
      </c>
      <c r="G7" s="49">
        <v>70</v>
      </c>
      <c r="H7" s="138">
        <f>IF(B$27=0,0,G7/B$27)</f>
        <v>0.32110091743119268</v>
      </c>
      <c r="I7" s="100">
        <v>4</v>
      </c>
      <c r="K7" s="40">
        <v>5</v>
      </c>
      <c r="L7" s="105">
        <v>-22</v>
      </c>
      <c r="N7" s="122" t="s">
        <v>152</v>
      </c>
      <c r="O7" s="129">
        <f t="shared" si="0"/>
        <v>-303.030303030303</v>
      </c>
      <c r="P7" s="126">
        <v>66</v>
      </c>
      <c r="Q7" s="110">
        <v>-20000</v>
      </c>
    </row>
    <row r="8" spans="1:17" x14ac:dyDescent="0.4">
      <c r="A8" s="57" t="s">
        <v>3</v>
      </c>
      <c r="B8" s="49">
        <v>36</v>
      </c>
      <c r="C8" s="41">
        <f>IF(B$2=0,0,B8/B$2)</f>
        <v>0.32142857142857145</v>
      </c>
      <c r="E8" s="65" t="s">
        <v>73</v>
      </c>
      <c r="F8" s="62" t="s">
        <v>26</v>
      </c>
      <c r="G8" s="49">
        <v>40</v>
      </c>
      <c r="H8" s="138">
        <f>IF(B$27=0,0,G8/B$27)</f>
        <v>0.1834862385321101</v>
      </c>
      <c r="I8" s="100">
        <v>2</v>
      </c>
      <c r="K8" s="40">
        <v>6</v>
      </c>
      <c r="L8" s="105">
        <v>35.5</v>
      </c>
      <c r="N8" s="45"/>
      <c r="O8" s="133"/>
      <c r="P8" s="117"/>
      <c r="Q8" s="115"/>
    </row>
    <row r="9" spans="1:17" x14ac:dyDescent="0.4">
      <c r="A9" s="58" t="s">
        <v>4</v>
      </c>
      <c r="B9" s="50">
        <v>34</v>
      </c>
      <c r="C9" s="42">
        <f t="shared" ref="C9" si="1">IF(B$2=0,0,B9/B$2)</f>
        <v>0.30357142857142855</v>
      </c>
      <c r="E9" s="65" t="s">
        <v>94</v>
      </c>
      <c r="F9" s="62" t="s">
        <v>47</v>
      </c>
      <c r="G9" s="49">
        <v>33</v>
      </c>
      <c r="H9" s="138">
        <f>IF(B$27=0,0,G9/B$27)</f>
        <v>0.15137614678899083</v>
      </c>
      <c r="I9" s="100">
        <v>7</v>
      </c>
      <c r="K9" s="40">
        <v>7</v>
      </c>
      <c r="L9" s="105">
        <v>-5.4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0.11607142857142858</v>
      </c>
      <c r="E10" s="65" t="s">
        <v>68</v>
      </c>
      <c r="F10" s="62" t="s">
        <v>22</v>
      </c>
      <c r="G10" s="49">
        <v>25</v>
      </c>
      <c r="H10" s="138">
        <f>IF(B$27=0,0,G10/B$27)</f>
        <v>0.11467889908256881</v>
      </c>
      <c r="I10" s="100">
        <v>7</v>
      </c>
      <c r="K10" s="40">
        <v>8</v>
      </c>
      <c r="L10" s="105">
        <v>53.9</v>
      </c>
      <c r="N10" s="120" t="s">
        <v>253</v>
      </c>
      <c r="O10" s="130">
        <f>IF(P10=0,0,Q10/P10)</f>
        <v>4.7078431372549003</v>
      </c>
      <c r="P10" s="124">
        <v>51</v>
      </c>
      <c r="Q10" s="112">
        <v>240.09999999999991</v>
      </c>
    </row>
    <row r="11" spans="1:17" x14ac:dyDescent="0.4">
      <c r="A11" s="58" t="s">
        <v>155</v>
      </c>
      <c r="B11" s="50">
        <v>19</v>
      </c>
      <c r="C11" s="42">
        <f>IF(B$2=0,0,B11/B$2)</f>
        <v>0.16964285714285715</v>
      </c>
      <c r="E11" s="65" t="s">
        <v>74</v>
      </c>
      <c r="F11" s="62" t="s">
        <v>27</v>
      </c>
      <c r="G11" s="49">
        <v>19</v>
      </c>
      <c r="H11" s="138">
        <f>IF(B$27=0,0,G11/B$27)</f>
        <v>8.7155963302752298E-2</v>
      </c>
      <c r="I11" s="100">
        <v>8</v>
      </c>
      <c r="K11" s="40">
        <v>9</v>
      </c>
      <c r="L11" s="105">
        <v>-1.2</v>
      </c>
      <c r="N11" s="121" t="s">
        <v>254</v>
      </c>
      <c r="O11" s="131">
        <f>IF(P11=0,0,Q11/P11)</f>
        <v>-5.6709677419354838</v>
      </c>
      <c r="P11" s="125">
        <v>31</v>
      </c>
      <c r="Q11" s="113">
        <v>-175.8</v>
      </c>
    </row>
    <row r="12" spans="1:17" x14ac:dyDescent="0.4">
      <c r="A12" s="59" t="s">
        <v>239</v>
      </c>
      <c r="B12" s="51">
        <v>11</v>
      </c>
      <c r="C12" s="44">
        <f>IF(B$2=0,0,B12/B$2)</f>
        <v>9.8214285714285712E-2</v>
      </c>
      <c r="E12" s="65" t="s">
        <v>75</v>
      </c>
      <c r="F12" s="62" t="s">
        <v>28</v>
      </c>
      <c r="G12" s="49">
        <v>14</v>
      </c>
      <c r="H12" s="138">
        <f>IF(B$27=0,0,G12/B$27)</f>
        <v>6.4220183486238536E-2</v>
      </c>
      <c r="I12" s="100">
        <v>3</v>
      </c>
      <c r="K12" s="40">
        <v>10</v>
      </c>
      <c r="L12" s="105">
        <v>-19.3</v>
      </c>
      <c r="N12" s="122" t="s">
        <v>255</v>
      </c>
      <c r="O12" s="132">
        <f>IF(P12=0,0,Q12/P12)</f>
        <v>4.5178571428571432</v>
      </c>
      <c r="P12" s="126">
        <v>28</v>
      </c>
      <c r="Q12" s="114">
        <v>126.5</v>
      </c>
    </row>
    <row r="13" spans="1:17" x14ac:dyDescent="0.4">
      <c r="A13" s="60" t="s">
        <v>128</v>
      </c>
      <c r="B13" s="52">
        <v>221</v>
      </c>
      <c r="C13" s="46">
        <f>IF(B$26=0,0,B13/B$26)</f>
        <v>0.30651872399445212</v>
      </c>
      <c r="E13" s="65" t="s">
        <v>82</v>
      </c>
      <c r="F13" s="62" t="s">
        <v>35</v>
      </c>
      <c r="G13" s="49">
        <v>14</v>
      </c>
      <c r="H13" s="138">
        <f>IF(B$27=0,0,G13/B$27)</f>
        <v>6.4220183486238536E-2</v>
      </c>
      <c r="I13" s="100">
        <v>1</v>
      </c>
      <c r="K13" s="40">
        <v>11</v>
      </c>
      <c r="L13" s="105">
        <v>3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154</v>
      </c>
      <c r="C14" s="41">
        <f>IF(B$26=0,0,B14/B$26)</f>
        <v>0.21359223300970873</v>
      </c>
      <c r="E14" s="65" t="s">
        <v>91</v>
      </c>
      <c r="F14" s="62" t="s">
        <v>44</v>
      </c>
      <c r="G14" s="49">
        <v>9</v>
      </c>
      <c r="H14" s="138">
        <f>IF(B$27=0,0,G14/B$27)</f>
        <v>4.1284403669724773E-2</v>
      </c>
      <c r="I14" s="100">
        <v>12</v>
      </c>
      <c r="K14" s="40">
        <v>12</v>
      </c>
      <c r="L14" s="105">
        <v>15.5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124</v>
      </c>
      <c r="C15" s="39">
        <f>IF(B$13=0,0,B15/B$13)</f>
        <v>0.56108597285067874</v>
      </c>
      <c r="E15" s="65" t="s">
        <v>86</v>
      </c>
      <c r="F15" s="62" t="s">
        <v>39</v>
      </c>
      <c r="G15" s="49">
        <v>8</v>
      </c>
      <c r="H15" s="138">
        <f>IF(B$27=0,0,G15/B$27)</f>
        <v>3.669724770642202E-2</v>
      </c>
      <c r="I15" s="100">
        <v>5</v>
      </c>
      <c r="K15" s="40">
        <v>13</v>
      </c>
      <c r="L15" s="105">
        <v>11.1</v>
      </c>
      <c r="N15" s="120" t="s">
        <v>134</v>
      </c>
      <c r="O15" s="130">
        <f>IF(P15=0,0,Q15/P15)</f>
        <v>15.705714285714285</v>
      </c>
      <c r="P15" s="124">
        <v>35</v>
      </c>
      <c r="Q15" s="112">
        <v>549.69999999999993</v>
      </c>
    </row>
    <row r="16" spans="1:17" x14ac:dyDescent="0.4">
      <c r="A16" s="56" t="s">
        <v>131</v>
      </c>
      <c r="B16" s="48">
        <v>59</v>
      </c>
      <c r="C16" s="39">
        <f>IF(B$14=0,0,B16/B$14)</f>
        <v>0.38311688311688313</v>
      </c>
      <c r="E16" s="65" t="s">
        <v>88</v>
      </c>
      <c r="F16" s="62" t="s">
        <v>41</v>
      </c>
      <c r="G16" s="49">
        <v>7</v>
      </c>
      <c r="H16" s="138">
        <f>IF(B$27=0,0,G16/B$27)</f>
        <v>3.2110091743119268E-2</v>
      </c>
      <c r="I16" s="100">
        <v>7</v>
      </c>
      <c r="K16" s="40">
        <v>14</v>
      </c>
      <c r="L16" s="105">
        <v>-7.2</v>
      </c>
      <c r="N16" s="121" t="s">
        <v>157</v>
      </c>
      <c r="O16" s="131">
        <f>IF(P16=0,0,Q16/P16)</f>
        <v>15.14</v>
      </c>
      <c r="P16" s="125">
        <v>10</v>
      </c>
      <c r="Q16" s="113">
        <v>151.4</v>
      </c>
    </row>
    <row r="17" spans="1:17" x14ac:dyDescent="0.4">
      <c r="A17" s="56" t="s">
        <v>10</v>
      </c>
      <c r="B17" s="48">
        <f>B19+B18</f>
        <v>255</v>
      </c>
      <c r="C17" s="39">
        <f>IF(B$3=0,0,B17/B$3)</f>
        <v>0.30106257378984652</v>
      </c>
      <c r="E17" s="65" t="s">
        <v>77</v>
      </c>
      <c r="F17" s="62" t="s">
        <v>30</v>
      </c>
      <c r="G17" s="49">
        <v>4</v>
      </c>
      <c r="H17" s="138">
        <f>IF(B$27=0,0,G17/B$27)</f>
        <v>1.834862385321101E-2</v>
      </c>
      <c r="I17" s="100">
        <v>2</v>
      </c>
      <c r="K17" s="40">
        <v>15</v>
      </c>
      <c r="L17" s="105">
        <v>74.3</v>
      </c>
      <c r="N17" s="121" t="s">
        <v>139</v>
      </c>
      <c r="O17" s="131">
        <f>IF(P17=0,0,Q17/P17)</f>
        <v>14.182499999999996</v>
      </c>
      <c r="P17" s="125">
        <v>40</v>
      </c>
      <c r="Q17" s="113">
        <v>567.29999999999984</v>
      </c>
    </row>
    <row r="18" spans="1:17" x14ac:dyDescent="0.4">
      <c r="A18" s="57" t="s">
        <v>12</v>
      </c>
      <c r="B18" s="49">
        <v>113</v>
      </c>
      <c r="C18" s="41">
        <f>IF(B$17=0,0,B18/B$17)</f>
        <v>0.44313725490196076</v>
      </c>
      <c r="E18" s="65" t="s">
        <v>96</v>
      </c>
      <c r="F18" s="62" t="s">
        <v>49</v>
      </c>
      <c r="G18" s="49">
        <v>4</v>
      </c>
      <c r="H18" s="138">
        <f>IF(B$27=0,0,G18/B$27)</f>
        <v>1.834862385321101E-2</v>
      </c>
      <c r="I18" s="100">
        <v>6</v>
      </c>
      <c r="K18" s="40">
        <v>16</v>
      </c>
      <c r="L18" s="105">
        <v>35</v>
      </c>
      <c r="N18" s="121" t="s">
        <v>136</v>
      </c>
      <c r="O18" s="131">
        <f>IF(P18=0,0,Q18/P18)</f>
        <v>-3.3548387096774213</v>
      </c>
      <c r="P18" s="125">
        <v>31</v>
      </c>
      <c r="Q18" s="113">
        <v>-104.00000000000006</v>
      </c>
    </row>
    <row r="19" spans="1:17" x14ac:dyDescent="0.4">
      <c r="A19" s="57" t="s">
        <v>11</v>
      </c>
      <c r="B19" s="49">
        <v>142</v>
      </c>
      <c r="C19" s="41">
        <f>IF(B$17=0,0,B19/B$17)</f>
        <v>0.55686274509803924</v>
      </c>
      <c r="E19" s="65" t="s">
        <v>81</v>
      </c>
      <c r="F19" s="62" t="s">
        <v>34</v>
      </c>
      <c r="G19" s="49">
        <v>2</v>
      </c>
      <c r="H19" s="138">
        <f>IF(B$27=0,0,G19/B$27)</f>
        <v>9.1743119266055051E-3</v>
      </c>
      <c r="I19" s="100">
        <v>3</v>
      </c>
      <c r="K19" s="40">
        <v>17</v>
      </c>
      <c r="L19" s="105">
        <v>-0.3</v>
      </c>
      <c r="N19" s="121" t="s">
        <v>138</v>
      </c>
      <c r="O19" s="131">
        <f>IF(P19=0,0,Q19/P19)</f>
        <v>-3.38</v>
      </c>
      <c r="P19" s="125">
        <v>5</v>
      </c>
      <c r="Q19" s="113">
        <v>-16.899999999999999</v>
      </c>
    </row>
    <row r="20" spans="1:17" x14ac:dyDescent="0.4">
      <c r="A20" s="57" t="s">
        <v>13</v>
      </c>
      <c r="B20" s="49">
        <v>138</v>
      </c>
      <c r="C20" s="41">
        <f>IF(B$3=0,0,B20/B$3)</f>
        <v>0.16292798110979928</v>
      </c>
      <c r="E20" s="65" t="s">
        <v>83</v>
      </c>
      <c r="F20" s="62" t="s">
        <v>36</v>
      </c>
      <c r="G20" s="49">
        <v>2</v>
      </c>
      <c r="H20" s="138">
        <f>IF(B$27=0,0,G20/B$27)</f>
        <v>9.1743119266055051E-3</v>
      </c>
      <c r="I20" s="100">
        <v>10</v>
      </c>
      <c r="K20" s="40">
        <v>18</v>
      </c>
      <c r="L20" s="105">
        <v>64</v>
      </c>
      <c r="N20" s="121" t="s">
        <v>133</v>
      </c>
      <c r="O20" s="131">
        <f>IF(P20=0,0,Q20/P20)</f>
        <v>-3.7720430107526877</v>
      </c>
      <c r="P20" s="125">
        <v>93</v>
      </c>
      <c r="Q20" s="113">
        <v>-350.79999999999995</v>
      </c>
    </row>
    <row r="21" spans="1:17" x14ac:dyDescent="0.4">
      <c r="A21" s="57" t="s">
        <v>5</v>
      </c>
      <c r="B21" s="53">
        <f>IF(B$17=0,0,C21/B$17)</f>
        <v>10497.64705882353</v>
      </c>
      <c r="C21" s="43">
        <v>2676900</v>
      </c>
      <c r="E21" s="65" t="s">
        <v>98</v>
      </c>
      <c r="F21" s="62" t="s">
        <v>51</v>
      </c>
      <c r="G21" s="49">
        <v>2</v>
      </c>
      <c r="H21" s="138">
        <f>IF(B$27=0,0,G21/B$27)</f>
        <v>9.1743119266055051E-3</v>
      </c>
      <c r="I21" s="100">
        <v>2</v>
      </c>
      <c r="K21" s="40">
        <v>19</v>
      </c>
      <c r="L21" s="105">
        <v>3.1</v>
      </c>
      <c r="N21" s="121" t="s">
        <v>194</v>
      </c>
      <c r="O21" s="131">
        <f>IF(P21=0,0,Q21/P21)</f>
        <v>-5.8666666666666671</v>
      </c>
      <c r="P21" s="125">
        <v>3</v>
      </c>
      <c r="Q21" s="113">
        <v>-17.600000000000001</v>
      </c>
    </row>
    <row r="22" spans="1:17" x14ac:dyDescent="0.4">
      <c r="A22" s="59" t="s">
        <v>14</v>
      </c>
      <c r="B22" s="54">
        <f>IF(B$20=0,0,C22/B$20)</f>
        <v>-9266.6666666666661</v>
      </c>
      <c r="C22" s="47">
        <v>-1278800</v>
      </c>
      <c r="E22" s="65" t="s">
        <v>78</v>
      </c>
      <c r="F22" s="62" t="s">
        <v>31</v>
      </c>
      <c r="G22" s="49">
        <v>1</v>
      </c>
      <c r="H22" s="138">
        <f>IF(B$27=0,0,G22/B$27)</f>
        <v>4.5871559633027525E-3</v>
      </c>
      <c r="I22" s="100">
        <v>2</v>
      </c>
      <c r="K22" s="40">
        <v>20</v>
      </c>
      <c r="L22" s="105">
        <v>1.2</v>
      </c>
      <c r="N22" s="121" t="s">
        <v>135</v>
      </c>
      <c r="O22" s="131">
        <f>IF(P22=0,0,Q22/P22)</f>
        <v>-14.371428571428575</v>
      </c>
      <c r="P22" s="125">
        <v>7</v>
      </c>
      <c r="Q22" s="113">
        <v>-100.60000000000002</v>
      </c>
    </row>
    <row r="23" spans="1:17" x14ac:dyDescent="0.4">
      <c r="A23" s="96" t="s">
        <v>158</v>
      </c>
      <c r="B23" s="144">
        <v>9</v>
      </c>
      <c r="C23" s="145"/>
      <c r="E23" s="65" t="s">
        <v>79</v>
      </c>
      <c r="F23" s="62" t="s">
        <v>32</v>
      </c>
      <c r="G23" s="49">
        <v>1</v>
      </c>
      <c r="H23" s="138">
        <f>IF(B$27=0,0,G23/B$27)</f>
        <v>4.5871559633027525E-3</v>
      </c>
      <c r="I23" s="100">
        <v>5</v>
      </c>
      <c r="K23" s="40">
        <v>21</v>
      </c>
      <c r="L23" s="105">
        <v>2.8</v>
      </c>
    </row>
    <row r="24" spans="1:17" x14ac:dyDescent="0.4">
      <c r="A24" s="60" t="s">
        <v>199</v>
      </c>
      <c r="B24" s="142">
        <v>109300</v>
      </c>
      <c r="C24" s="143"/>
      <c r="E24" s="65" t="s">
        <v>89</v>
      </c>
      <c r="F24" s="62" t="s">
        <v>42</v>
      </c>
      <c r="G24" s="49">
        <v>1</v>
      </c>
      <c r="H24" s="138">
        <f>IF(B$27=0,0,G24/B$27)</f>
        <v>4.5871559633027525E-3</v>
      </c>
      <c r="I24" s="100">
        <v>2</v>
      </c>
      <c r="K24" s="40">
        <v>22</v>
      </c>
      <c r="L24" s="105">
        <v>44.6</v>
      </c>
    </row>
    <row r="25" spans="1:17" x14ac:dyDescent="0.4">
      <c r="A25" s="59" t="s">
        <v>159</v>
      </c>
      <c r="B25" s="67">
        <v>3</v>
      </c>
      <c r="C25" s="44">
        <f>IF(B$3=0,0,B25/B$3)</f>
        <v>3.5419126328217238E-3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-1.4</v>
      </c>
    </row>
    <row r="26" spans="1:17" x14ac:dyDescent="0.4">
      <c r="A26" s="56" t="s">
        <v>126</v>
      </c>
      <c r="B26" s="148">
        <v>721</v>
      </c>
      <c r="C26" s="149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-39.700000000000003</v>
      </c>
    </row>
    <row r="27" spans="1:17" x14ac:dyDescent="0.4">
      <c r="A27" s="59" t="s">
        <v>127</v>
      </c>
      <c r="B27" s="150">
        <v>218</v>
      </c>
      <c r="C27" s="151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-15.8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11.3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-44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-41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-10.8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15.6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-43.4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0.7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12.2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-37.299999999999997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49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-13.8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41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-3.4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71.599999999999994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31.5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35.4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11.5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9.1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-48.4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44.9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9.9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-20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-4.9000000000000004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17.8</v>
      </c>
    </row>
    <row r="52" spans="5:12" x14ac:dyDescent="0.4">
      <c r="K52" s="40">
        <v>50</v>
      </c>
      <c r="L52" s="105">
        <v>-26.4</v>
      </c>
    </row>
    <row r="53" spans="5:12" x14ac:dyDescent="0.4">
      <c r="K53" s="40">
        <v>51</v>
      </c>
      <c r="L53" s="105">
        <v>10.5</v>
      </c>
    </row>
    <row r="54" spans="5:12" x14ac:dyDescent="0.4">
      <c r="K54" s="40">
        <v>52</v>
      </c>
      <c r="L54" s="105">
        <v>-0.4</v>
      </c>
    </row>
    <row r="55" spans="5:12" x14ac:dyDescent="0.4">
      <c r="K55" s="40">
        <v>53</v>
      </c>
      <c r="L55" s="105">
        <v>18.100000000000001</v>
      </c>
    </row>
    <row r="56" spans="5:12" x14ac:dyDescent="0.4">
      <c r="K56" s="40">
        <v>54</v>
      </c>
      <c r="L56" s="105">
        <v>22.8</v>
      </c>
    </row>
    <row r="57" spans="5:12" x14ac:dyDescent="0.4">
      <c r="K57" s="40">
        <v>55</v>
      </c>
      <c r="L57" s="105">
        <v>-12.8</v>
      </c>
    </row>
    <row r="58" spans="5:12" x14ac:dyDescent="0.4">
      <c r="K58" s="40">
        <v>56</v>
      </c>
      <c r="L58" s="105">
        <v>36</v>
      </c>
    </row>
    <row r="59" spans="5:12" x14ac:dyDescent="0.4">
      <c r="K59" s="40">
        <v>57</v>
      </c>
      <c r="L59" s="105">
        <v>-49.1</v>
      </c>
    </row>
    <row r="60" spans="5:12" x14ac:dyDescent="0.4">
      <c r="K60" s="40">
        <v>58</v>
      </c>
      <c r="L60" s="105">
        <v>-2.6</v>
      </c>
    </row>
    <row r="61" spans="5:12" x14ac:dyDescent="0.4">
      <c r="K61" s="40">
        <v>59</v>
      </c>
      <c r="L61" s="105">
        <v>12.5</v>
      </c>
    </row>
    <row r="62" spans="5:12" x14ac:dyDescent="0.4">
      <c r="K62" s="40">
        <v>60</v>
      </c>
      <c r="L62" s="105">
        <v>12.3</v>
      </c>
    </row>
    <row r="63" spans="5:12" x14ac:dyDescent="0.4">
      <c r="K63" s="40">
        <v>61</v>
      </c>
      <c r="L63" s="105">
        <v>0.9</v>
      </c>
    </row>
    <row r="64" spans="5:12" x14ac:dyDescent="0.4">
      <c r="K64" s="40">
        <v>62</v>
      </c>
      <c r="L64" s="105">
        <v>-3.8</v>
      </c>
    </row>
    <row r="65" spans="11:12" x14ac:dyDescent="0.4">
      <c r="K65" s="40">
        <v>63</v>
      </c>
      <c r="L65" s="105">
        <v>-11.9</v>
      </c>
    </row>
    <row r="66" spans="11:12" x14ac:dyDescent="0.4">
      <c r="K66" s="40">
        <v>64</v>
      </c>
      <c r="L66" s="105">
        <v>-17.5</v>
      </c>
    </row>
    <row r="67" spans="11:12" x14ac:dyDescent="0.4">
      <c r="K67" s="40">
        <v>65</v>
      </c>
      <c r="L67" s="105">
        <v>7.3</v>
      </c>
    </row>
    <row r="68" spans="11:12" x14ac:dyDescent="0.4">
      <c r="K68" s="40">
        <v>66</v>
      </c>
      <c r="L68" s="105">
        <v>-4.5999999999999996</v>
      </c>
    </row>
    <row r="69" spans="11:12" x14ac:dyDescent="0.4">
      <c r="K69" s="40">
        <v>67</v>
      </c>
      <c r="L69" s="105">
        <v>14.1</v>
      </c>
    </row>
    <row r="70" spans="11:12" x14ac:dyDescent="0.4">
      <c r="K70" s="40">
        <v>68</v>
      </c>
      <c r="L70" s="105">
        <v>-38.5</v>
      </c>
    </row>
    <row r="71" spans="11:12" x14ac:dyDescent="0.4">
      <c r="K71" s="40">
        <v>69</v>
      </c>
      <c r="L71" s="105">
        <v>8.9</v>
      </c>
    </row>
    <row r="72" spans="11:12" x14ac:dyDescent="0.4">
      <c r="K72" s="40">
        <v>70</v>
      </c>
      <c r="L72" s="105">
        <v>29.7</v>
      </c>
    </row>
    <row r="73" spans="11:12" x14ac:dyDescent="0.4">
      <c r="K73" s="40">
        <v>71</v>
      </c>
      <c r="L73" s="105">
        <v>-20.7</v>
      </c>
    </row>
    <row r="74" spans="11:12" x14ac:dyDescent="0.4">
      <c r="K74" s="40">
        <v>72</v>
      </c>
      <c r="L74" s="105">
        <v>-38</v>
      </c>
    </row>
    <row r="75" spans="11:12" x14ac:dyDescent="0.4">
      <c r="K75" s="40">
        <v>73</v>
      </c>
      <c r="L75" s="105">
        <v>36</v>
      </c>
    </row>
    <row r="76" spans="11:12" x14ac:dyDescent="0.4">
      <c r="K76" s="40">
        <v>74</v>
      </c>
      <c r="L76" s="105">
        <v>29.9</v>
      </c>
    </row>
    <row r="77" spans="11:12" x14ac:dyDescent="0.4">
      <c r="K77" s="40">
        <v>75</v>
      </c>
      <c r="L77" s="105">
        <v>23.5</v>
      </c>
    </row>
    <row r="78" spans="11:12" x14ac:dyDescent="0.4">
      <c r="K78" s="40">
        <v>76</v>
      </c>
      <c r="L78" s="105">
        <v>-5.8</v>
      </c>
    </row>
    <row r="79" spans="11:12" x14ac:dyDescent="0.4">
      <c r="K79" s="40">
        <v>77</v>
      </c>
      <c r="L79" s="105">
        <v>-3</v>
      </c>
    </row>
    <row r="80" spans="11:12" x14ac:dyDescent="0.4">
      <c r="K80" s="40">
        <v>78</v>
      </c>
      <c r="L80" s="105">
        <v>-6.7</v>
      </c>
    </row>
    <row r="81" spans="11:12" x14ac:dyDescent="0.4">
      <c r="K81" s="40">
        <v>79</v>
      </c>
      <c r="L81" s="105">
        <v>-20.3</v>
      </c>
    </row>
    <row r="82" spans="11:12" x14ac:dyDescent="0.4">
      <c r="K82" s="40">
        <v>80</v>
      </c>
      <c r="L82" s="105">
        <v>27.5</v>
      </c>
    </row>
    <row r="83" spans="11:12" x14ac:dyDescent="0.4">
      <c r="K83" s="40">
        <v>81</v>
      </c>
      <c r="L83" s="105">
        <v>5.7</v>
      </c>
    </row>
    <row r="84" spans="11:12" x14ac:dyDescent="0.4">
      <c r="K84" s="40">
        <v>82</v>
      </c>
      <c r="L84" s="105">
        <v>13.2</v>
      </c>
    </row>
    <row r="85" spans="11:12" x14ac:dyDescent="0.4">
      <c r="K85" s="40">
        <v>83</v>
      </c>
      <c r="L85" s="105">
        <v>-7</v>
      </c>
    </row>
    <row r="86" spans="11:12" x14ac:dyDescent="0.4">
      <c r="K86" s="40">
        <v>84</v>
      </c>
      <c r="L86" s="105">
        <v>20.3</v>
      </c>
    </row>
    <row r="87" spans="11:12" x14ac:dyDescent="0.4">
      <c r="K87" s="40">
        <v>85</v>
      </c>
      <c r="L87" s="105">
        <v>-6</v>
      </c>
    </row>
    <row r="88" spans="11:12" x14ac:dyDescent="0.4">
      <c r="K88" s="40">
        <v>86</v>
      </c>
      <c r="L88" s="105">
        <v>-26.2</v>
      </c>
    </row>
    <row r="89" spans="11:12" x14ac:dyDescent="0.4">
      <c r="K89" s="40">
        <v>87</v>
      </c>
      <c r="L89" s="105">
        <v>36</v>
      </c>
    </row>
    <row r="90" spans="11:12" x14ac:dyDescent="0.4">
      <c r="K90" s="40">
        <v>88</v>
      </c>
      <c r="L90" s="105">
        <v>0.3</v>
      </c>
    </row>
    <row r="91" spans="11:12" x14ac:dyDescent="0.4">
      <c r="K91" s="40">
        <v>89</v>
      </c>
      <c r="L91" s="105">
        <v>-16.600000000000001</v>
      </c>
    </row>
    <row r="92" spans="11:12" x14ac:dyDescent="0.4">
      <c r="K92" s="40">
        <v>90</v>
      </c>
      <c r="L92" s="105">
        <v>27.4</v>
      </c>
    </row>
    <row r="93" spans="11:12" x14ac:dyDescent="0.4">
      <c r="K93" s="40">
        <v>91</v>
      </c>
      <c r="L93" s="105">
        <v>-34.5</v>
      </c>
    </row>
    <row r="94" spans="11:12" x14ac:dyDescent="0.4">
      <c r="K94" s="40">
        <v>92</v>
      </c>
      <c r="L94" s="105">
        <v>26.2</v>
      </c>
    </row>
    <row r="95" spans="11:12" x14ac:dyDescent="0.4">
      <c r="K95" s="40">
        <v>93</v>
      </c>
      <c r="L95" s="105">
        <v>-13.8</v>
      </c>
    </row>
    <row r="96" spans="11:12" x14ac:dyDescent="0.4">
      <c r="K96" s="40">
        <v>94</v>
      </c>
      <c r="L96" s="105">
        <v>-16.899999999999999</v>
      </c>
    </row>
    <row r="97" spans="11:12" x14ac:dyDescent="0.4">
      <c r="K97" s="40">
        <v>95</v>
      </c>
      <c r="L97" s="105">
        <v>-25.4</v>
      </c>
    </row>
    <row r="98" spans="11:12" x14ac:dyDescent="0.4">
      <c r="K98" s="40">
        <v>96</v>
      </c>
      <c r="L98" s="105">
        <v>12.5</v>
      </c>
    </row>
    <row r="99" spans="11:12" x14ac:dyDescent="0.4">
      <c r="K99" s="40">
        <v>97</v>
      </c>
      <c r="L99" s="105">
        <v>17.2</v>
      </c>
    </row>
    <row r="100" spans="11:12" x14ac:dyDescent="0.4">
      <c r="K100" s="40">
        <v>98</v>
      </c>
      <c r="L100" s="105">
        <v>-30.6</v>
      </c>
    </row>
    <row r="101" spans="11:12" x14ac:dyDescent="0.4">
      <c r="K101" s="40">
        <v>99</v>
      </c>
      <c r="L101" s="105">
        <v>23.8</v>
      </c>
    </row>
    <row r="102" spans="11:12" x14ac:dyDescent="0.4">
      <c r="K102" s="40">
        <v>100</v>
      </c>
      <c r="L102" s="105">
        <v>7.5</v>
      </c>
    </row>
    <row r="103" spans="11:12" x14ac:dyDescent="0.4">
      <c r="K103" s="40">
        <v>101</v>
      </c>
      <c r="L103" s="105">
        <v>17.8</v>
      </c>
    </row>
    <row r="104" spans="11:12" x14ac:dyDescent="0.4">
      <c r="K104" s="40">
        <v>102</v>
      </c>
      <c r="L104" s="105">
        <v>-21.8</v>
      </c>
    </row>
    <row r="105" spans="11:12" x14ac:dyDescent="0.4">
      <c r="K105" s="40">
        <v>103</v>
      </c>
      <c r="L105" s="105">
        <v>2.1</v>
      </c>
    </row>
    <row r="106" spans="11:12" x14ac:dyDescent="0.4">
      <c r="K106" s="40">
        <v>104</v>
      </c>
      <c r="L106" s="105">
        <v>5.6</v>
      </c>
    </row>
    <row r="107" spans="11:12" x14ac:dyDescent="0.4">
      <c r="K107" s="40">
        <v>105</v>
      </c>
      <c r="L107" s="105">
        <v>-49</v>
      </c>
    </row>
    <row r="108" spans="11:12" x14ac:dyDescent="0.4">
      <c r="K108" s="40">
        <v>106</v>
      </c>
      <c r="L108" s="105">
        <v>-15.4</v>
      </c>
    </row>
    <row r="109" spans="11:12" x14ac:dyDescent="0.4">
      <c r="K109" s="40">
        <v>107</v>
      </c>
      <c r="L109" s="105">
        <v>42.5</v>
      </c>
    </row>
    <row r="110" spans="11:12" x14ac:dyDescent="0.4">
      <c r="K110" s="40">
        <v>108</v>
      </c>
      <c r="L110" s="105">
        <v>9</v>
      </c>
    </row>
    <row r="111" spans="11:12" x14ac:dyDescent="0.4">
      <c r="K111" s="40">
        <v>109</v>
      </c>
      <c r="L111" s="105">
        <v>-58.9</v>
      </c>
    </row>
    <row r="112" spans="11:12" x14ac:dyDescent="0.4">
      <c r="K112" s="40">
        <v>110</v>
      </c>
      <c r="L112" s="105">
        <v>40.700000000000003</v>
      </c>
    </row>
    <row r="113" spans="11:12" x14ac:dyDescent="0.4">
      <c r="K113" s="40">
        <v>111</v>
      </c>
      <c r="L113" s="105">
        <v>-8.5</v>
      </c>
    </row>
    <row r="114" spans="11:12" x14ac:dyDescent="0.4">
      <c r="K114" s="40">
        <v>112</v>
      </c>
      <c r="L114" s="105">
        <v>8.5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B3A7E-A194-4E2F-B7E1-93E51964B90F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138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30.630477209275604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32</v>
      </c>
      <c r="C2" s="149"/>
      <c r="E2" s="64" t="s">
        <v>71</v>
      </c>
      <c r="F2" s="61" t="s">
        <v>25</v>
      </c>
      <c r="G2" s="48">
        <v>43</v>
      </c>
      <c r="H2" s="137">
        <f>IF(B$27=0,0,G2/B$27)</f>
        <v>0.97727272727272729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543.75</v>
      </c>
      <c r="P2" s="124">
        <v>32</v>
      </c>
      <c r="Q2" s="108">
        <v>17400</v>
      </c>
    </row>
    <row r="3" spans="1:17" x14ac:dyDescent="0.4">
      <c r="A3" s="57" t="s">
        <v>8</v>
      </c>
      <c r="B3" s="154">
        <v>262</v>
      </c>
      <c r="C3" s="155"/>
      <c r="E3" s="65" t="s">
        <v>67</v>
      </c>
      <c r="F3" s="62" t="s">
        <v>21</v>
      </c>
      <c r="G3" s="49">
        <v>30</v>
      </c>
      <c r="H3" s="138">
        <f>IF(B$27=0,0,G3/B$27)</f>
        <v>0.68181818181818177</v>
      </c>
      <c r="I3" s="100">
        <v>1</v>
      </c>
      <c r="K3" s="40">
        <v>1</v>
      </c>
      <c r="L3" s="105">
        <v>-14.4</v>
      </c>
      <c r="N3" s="121" t="s">
        <v>148</v>
      </c>
      <c r="O3" s="128">
        <f t="shared" si="0"/>
        <v>2250</v>
      </c>
      <c r="P3" s="125">
        <v>30</v>
      </c>
      <c r="Q3" s="109">
        <v>67500</v>
      </c>
    </row>
    <row r="4" spans="1:17" x14ac:dyDescent="0.4">
      <c r="A4" s="57" t="s">
        <v>6</v>
      </c>
      <c r="B4" s="156">
        <v>8.2000000000000242</v>
      </c>
      <c r="C4" s="157"/>
      <c r="E4" s="65" t="s">
        <v>70</v>
      </c>
      <c r="F4" s="62" t="s">
        <v>24</v>
      </c>
      <c r="G4" s="49">
        <v>24</v>
      </c>
      <c r="H4" s="138">
        <f>IF(B$27=0,0,G4/B$27)</f>
        <v>0.54545454545454541</v>
      </c>
      <c r="I4" s="100">
        <v>1</v>
      </c>
      <c r="K4" s="40">
        <v>2</v>
      </c>
      <c r="L4" s="105">
        <v>52</v>
      </c>
      <c r="N4" s="121" t="s">
        <v>149</v>
      </c>
      <c r="O4" s="128">
        <f t="shared" si="0"/>
        <v>-900</v>
      </c>
      <c r="P4" s="125">
        <v>27</v>
      </c>
      <c r="Q4" s="109">
        <v>-24300</v>
      </c>
    </row>
    <row r="5" spans="1:17" x14ac:dyDescent="0.4">
      <c r="A5" s="57" t="s">
        <v>7</v>
      </c>
      <c r="B5" s="158">
        <f>IF(B$2=0,0,B$4/B$2)</f>
        <v>0.25625000000000075</v>
      </c>
      <c r="C5" s="159"/>
      <c r="E5" s="65" t="s">
        <v>69</v>
      </c>
      <c r="F5" s="62" t="s">
        <v>23</v>
      </c>
      <c r="G5" s="49">
        <v>23</v>
      </c>
      <c r="H5" s="138">
        <f>IF(B$27=0,0,G5/B$27)</f>
        <v>0.52272727272727271</v>
      </c>
      <c r="I5" s="100">
        <v>12</v>
      </c>
      <c r="K5" s="40">
        <v>3</v>
      </c>
      <c r="L5" s="105">
        <v>-40.4</v>
      </c>
      <c r="N5" s="121" t="s">
        <v>150</v>
      </c>
      <c r="O5" s="128">
        <f t="shared" si="0"/>
        <v>608</v>
      </c>
      <c r="P5" s="125">
        <v>25</v>
      </c>
      <c r="Q5" s="109">
        <v>15200</v>
      </c>
    </row>
    <row r="6" spans="1:17" x14ac:dyDescent="0.4">
      <c r="A6" s="57" t="s">
        <v>1</v>
      </c>
      <c r="B6" s="146">
        <f>IF(B$2=0,0,(B$7*1+B$8*2+B$9*3)/B$2)</f>
        <v>2.03125</v>
      </c>
      <c r="C6" s="147"/>
      <c r="E6" s="65" t="s">
        <v>76</v>
      </c>
      <c r="F6" s="62" t="s">
        <v>29</v>
      </c>
      <c r="G6" s="49">
        <v>19</v>
      </c>
      <c r="H6" s="138">
        <f>IF(B$27=0,0,G6/B$27)</f>
        <v>0.43181818181818182</v>
      </c>
      <c r="I6" s="100">
        <v>13</v>
      </c>
      <c r="K6" s="40">
        <v>4</v>
      </c>
      <c r="L6" s="105">
        <v>-41.5</v>
      </c>
      <c r="N6" s="121" t="s">
        <v>151</v>
      </c>
      <c r="O6" s="128">
        <f t="shared" si="0"/>
        <v>-1685.7142857142858</v>
      </c>
      <c r="P6" s="125">
        <v>21</v>
      </c>
      <c r="Q6" s="109">
        <v>-35400</v>
      </c>
    </row>
    <row r="7" spans="1:17" x14ac:dyDescent="0.4">
      <c r="A7" s="57" t="s">
        <v>2</v>
      </c>
      <c r="B7" s="49">
        <v>11</v>
      </c>
      <c r="C7" s="41">
        <f>IF(B$2=0,0,B7/B$2)</f>
        <v>0.34375</v>
      </c>
      <c r="E7" s="65" t="s">
        <v>72</v>
      </c>
      <c r="F7" s="62" t="s">
        <v>12</v>
      </c>
      <c r="G7" s="49">
        <v>17</v>
      </c>
      <c r="H7" s="138">
        <f>IF(B$27=0,0,G7/B$27)</f>
        <v>0.38636363636363635</v>
      </c>
      <c r="I7" s="100">
        <v>1</v>
      </c>
      <c r="K7" s="40">
        <v>5</v>
      </c>
      <c r="L7" s="105">
        <v>52.5</v>
      </c>
      <c r="N7" s="122" t="s">
        <v>152</v>
      </c>
      <c r="O7" s="129">
        <f t="shared" si="0"/>
        <v>-1788.8888888888889</v>
      </c>
      <c r="P7" s="126">
        <v>18</v>
      </c>
      <c r="Q7" s="110">
        <v>-32200</v>
      </c>
    </row>
    <row r="8" spans="1:17" x14ac:dyDescent="0.4">
      <c r="A8" s="57" t="s">
        <v>3</v>
      </c>
      <c r="B8" s="49">
        <v>9</v>
      </c>
      <c r="C8" s="41">
        <f>IF(B$2=0,0,B8/B$2)</f>
        <v>0.28125</v>
      </c>
      <c r="E8" s="65" t="s">
        <v>68</v>
      </c>
      <c r="F8" s="62" t="s">
        <v>22</v>
      </c>
      <c r="G8" s="49">
        <v>7</v>
      </c>
      <c r="H8" s="138">
        <f>IF(B$27=0,0,G8/B$27)</f>
        <v>0.15909090909090909</v>
      </c>
      <c r="I8" s="100">
        <v>2</v>
      </c>
      <c r="K8" s="40">
        <v>6</v>
      </c>
      <c r="L8" s="105">
        <v>15</v>
      </c>
      <c r="N8" s="45"/>
      <c r="O8" s="133"/>
      <c r="P8" s="117"/>
      <c r="Q8" s="115"/>
    </row>
    <row r="9" spans="1:17" x14ac:dyDescent="0.4">
      <c r="A9" s="58" t="s">
        <v>4</v>
      </c>
      <c r="B9" s="50">
        <v>12</v>
      </c>
      <c r="C9" s="42">
        <f t="shared" ref="C9" si="1">IF(B$2=0,0,B9/B$2)</f>
        <v>0.375</v>
      </c>
      <c r="E9" s="65" t="s">
        <v>94</v>
      </c>
      <c r="F9" s="62" t="s">
        <v>47</v>
      </c>
      <c r="G9" s="49">
        <v>6</v>
      </c>
      <c r="H9" s="138">
        <f>IF(B$27=0,0,G9/B$27)</f>
        <v>0.13636363636363635</v>
      </c>
      <c r="I9" s="100">
        <v>9</v>
      </c>
      <c r="K9" s="40">
        <v>7</v>
      </c>
      <c r="L9" s="105">
        <v>16.8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0.1875</v>
      </c>
      <c r="E10" s="65" t="s">
        <v>73</v>
      </c>
      <c r="F10" s="62" t="s">
        <v>26</v>
      </c>
      <c r="G10" s="49">
        <v>5</v>
      </c>
      <c r="H10" s="138">
        <f>IF(B$27=0,0,G10/B$27)</f>
        <v>0.11363636363636363</v>
      </c>
      <c r="I10" s="100">
        <v>9</v>
      </c>
      <c r="K10" s="40">
        <v>8</v>
      </c>
      <c r="L10" s="105">
        <v>-35.799999999999997</v>
      </c>
      <c r="N10" s="120" t="s">
        <v>253</v>
      </c>
      <c r="O10" s="130">
        <f>IF(P10=0,0,Q10/P10)</f>
        <v>5.815384615384616</v>
      </c>
      <c r="P10" s="124">
        <v>13</v>
      </c>
      <c r="Q10" s="112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0.15625</v>
      </c>
      <c r="E11" s="65" t="s">
        <v>74</v>
      </c>
      <c r="F11" s="62" t="s">
        <v>27</v>
      </c>
      <c r="G11" s="49">
        <v>4</v>
      </c>
      <c r="H11" s="138">
        <f>IF(B$27=0,0,G11/B$27)</f>
        <v>9.0909090909090912E-2</v>
      </c>
      <c r="I11" s="100">
        <v>7</v>
      </c>
      <c r="K11" s="40">
        <v>9</v>
      </c>
      <c r="L11" s="105">
        <v>2.6</v>
      </c>
      <c r="N11" s="121" t="s">
        <v>254</v>
      </c>
      <c r="O11" s="131">
        <f>IF(P11=0,0,Q11/P11)</f>
        <v>9.259999999999998</v>
      </c>
      <c r="P11" s="125">
        <v>10</v>
      </c>
      <c r="Q11" s="113">
        <v>92.59999999999998</v>
      </c>
    </row>
    <row r="12" spans="1:17" x14ac:dyDescent="0.4">
      <c r="A12" s="59" t="s">
        <v>239</v>
      </c>
      <c r="B12" s="51">
        <v>3</v>
      </c>
      <c r="C12" s="44">
        <f>IF(B$2=0,0,B12/B$2)</f>
        <v>9.375E-2</v>
      </c>
      <c r="E12" s="65" t="s">
        <v>75</v>
      </c>
      <c r="F12" s="62" t="s">
        <v>28</v>
      </c>
      <c r="G12" s="49">
        <v>2</v>
      </c>
      <c r="H12" s="138">
        <f>IF(B$27=0,0,G12/B$27)</f>
        <v>4.5454545454545456E-2</v>
      </c>
      <c r="I12" s="100">
        <v>6</v>
      </c>
      <c r="K12" s="40">
        <v>10</v>
      </c>
      <c r="L12" s="105">
        <v>50</v>
      </c>
      <c r="N12" s="122" t="s">
        <v>255</v>
      </c>
      <c r="O12" s="132">
        <f>IF(P12=0,0,Q12/P12)</f>
        <v>-17.777777777777779</v>
      </c>
      <c r="P12" s="126">
        <v>9</v>
      </c>
      <c r="Q12" s="114">
        <v>-160</v>
      </c>
    </row>
    <row r="13" spans="1:17" x14ac:dyDescent="0.4">
      <c r="A13" s="60" t="s">
        <v>128</v>
      </c>
      <c r="B13" s="52">
        <v>56</v>
      </c>
      <c r="C13" s="46">
        <f>IF(B$26=0,0,B13/B$26)</f>
        <v>0.31111111111111112</v>
      </c>
      <c r="E13" s="65" t="s">
        <v>82</v>
      </c>
      <c r="F13" s="62" t="s">
        <v>35</v>
      </c>
      <c r="G13" s="49">
        <v>2</v>
      </c>
      <c r="H13" s="138">
        <f>IF(B$27=0,0,G13/B$27)</f>
        <v>4.5454545454545456E-2</v>
      </c>
      <c r="I13" s="100">
        <v>3</v>
      </c>
      <c r="K13" s="40">
        <v>11</v>
      </c>
      <c r="L13" s="105">
        <v>12.5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37</v>
      </c>
      <c r="C14" s="41">
        <f>IF(B$26=0,0,B14/B$26)</f>
        <v>0.20555555555555555</v>
      </c>
      <c r="E14" s="65" t="s">
        <v>77</v>
      </c>
      <c r="F14" s="62" t="s">
        <v>30</v>
      </c>
      <c r="G14" s="49">
        <v>1</v>
      </c>
      <c r="H14" s="138">
        <f>IF(B$27=0,0,G14/B$27)</f>
        <v>2.2727272727272728E-2</v>
      </c>
      <c r="I14" s="100">
        <v>1</v>
      </c>
      <c r="K14" s="40">
        <v>12</v>
      </c>
      <c r="L14" s="105">
        <v>11.5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0.5178571428571429</v>
      </c>
      <c r="E15" s="65" t="s">
        <v>83</v>
      </c>
      <c r="F15" s="62" t="s">
        <v>36</v>
      </c>
      <c r="G15" s="49">
        <v>1</v>
      </c>
      <c r="H15" s="138">
        <f>IF(B$27=0,0,G15/B$27)</f>
        <v>2.2727272727272728E-2</v>
      </c>
      <c r="I15" s="100">
        <v>5</v>
      </c>
      <c r="K15" s="40">
        <v>13</v>
      </c>
      <c r="L15" s="105">
        <v>74.3</v>
      </c>
      <c r="N15" s="120" t="s">
        <v>136</v>
      </c>
      <c r="O15" s="130">
        <f>IF(P15=0,0,Q15/P15)</f>
        <v>24.993333333333332</v>
      </c>
      <c r="P15" s="124">
        <v>15</v>
      </c>
      <c r="Q15" s="112">
        <v>374.9</v>
      </c>
    </row>
    <row r="16" spans="1:17" x14ac:dyDescent="0.4">
      <c r="A16" s="56" t="s">
        <v>131</v>
      </c>
      <c r="B16" s="48">
        <v>8</v>
      </c>
      <c r="C16" s="39">
        <f>IF(B$14=0,0,B16/B$14)</f>
        <v>0.21621621621621623</v>
      </c>
      <c r="E16" s="65" t="s">
        <v>88</v>
      </c>
      <c r="F16" s="62" t="s">
        <v>41</v>
      </c>
      <c r="G16" s="49">
        <v>1</v>
      </c>
      <c r="H16" s="138">
        <f>IF(B$27=0,0,G16/B$27)</f>
        <v>2.2727272727272728E-2</v>
      </c>
      <c r="I16" s="100">
        <v>10</v>
      </c>
      <c r="K16" s="40">
        <v>14</v>
      </c>
      <c r="L16" s="105">
        <v>-8</v>
      </c>
      <c r="N16" s="121" t="s">
        <v>137</v>
      </c>
      <c r="O16" s="131">
        <f>IF(P16=0,0,Q16/P16)</f>
        <v>3.38</v>
      </c>
      <c r="P16" s="125">
        <v>5</v>
      </c>
      <c r="Q16" s="113">
        <v>16.899999999999999</v>
      </c>
    </row>
    <row r="17" spans="1:17" x14ac:dyDescent="0.4">
      <c r="A17" s="56" t="s">
        <v>10</v>
      </c>
      <c r="B17" s="48">
        <f>B19+B18</f>
        <v>72</v>
      </c>
      <c r="C17" s="39">
        <f>IF(B$3=0,0,B17/B$3)</f>
        <v>0.27480916030534353</v>
      </c>
      <c r="E17" s="65" t="s">
        <v>91</v>
      </c>
      <c r="F17" s="62" t="s">
        <v>44</v>
      </c>
      <c r="G17" s="49">
        <v>1</v>
      </c>
      <c r="H17" s="138">
        <f>IF(B$27=0,0,G17/B$27)</f>
        <v>2.2727272727272728E-2</v>
      </c>
      <c r="I17" s="100">
        <v>13</v>
      </c>
      <c r="K17" s="40">
        <v>15</v>
      </c>
      <c r="L17" s="105">
        <v>1.7</v>
      </c>
      <c r="N17" s="121" t="s">
        <v>134</v>
      </c>
      <c r="O17" s="131">
        <f>IF(P17=0,0,Q17/P17)</f>
        <v>0.14444444444444493</v>
      </c>
      <c r="P17" s="125">
        <v>9</v>
      </c>
      <c r="Q17" s="113">
        <v>1.3000000000000043</v>
      </c>
    </row>
    <row r="18" spans="1:17" x14ac:dyDescent="0.4">
      <c r="A18" s="57" t="s">
        <v>12</v>
      </c>
      <c r="B18" s="49">
        <v>33</v>
      </c>
      <c r="C18" s="41">
        <f>IF(B$17=0,0,B18/B$17)</f>
        <v>0.45833333333333331</v>
      </c>
      <c r="E18" s="65" t="s">
        <v>96</v>
      </c>
      <c r="F18" s="62" t="s">
        <v>49</v>
      </c>
      <c r="G18" s="49">
        <v>1</v>
      </c>
      <c r="H18" s="138">
        <f>IF(B$27=0,0,G18/B$27)</f>
        <v>2.2727272727272728E-2</v>
      </c>
      <c r="I18" s="100">
        <v>3</v>
      </c>
      <c r="K18" s="40">
        <v>16</v>
      </c>
      <c r="L18" s="105">
        <v>3.5</v>
      </c>
      <c r="N18" s="121" t="s">
        <v>250</v>
      </c>
      <c r="O18" s="131">
        <f>IF(P18=0,0,Q18/P18)</f>
        <v>-4.3000000000000007</v>
      </c>
      <c r="P18" s="125">
        <v>4</v>
      </c>
      <c r="Q18" s="113">
        <v>-17.200000000000003</v>
      </c>
    </row>
    <row r="19" spans="1:17" x14ac:dyDescent="0.4">
      <c r="A19" s="57" t="s">
        <v>11</v>
      </c>
      <c r="B19" s="49">
        <v>39</v>
      </c>
      <c r="C19" s="41">
        <f>IF(B$17=0,0,B19/B$17)</f>
        <v>0.54166666666666663</v>
      </c>
      <c r="E19" s="65" t="s">
        <v>97</v>
      </c>
      <c r="F19" s="62" t="s">
        <v>50</v>
      </c>
      <c r="G19" s="49">
        <v>1</v>
      </c>
      <c r="H19" s="138">
        <f>IF(B$27=0,0,G19/B$27)</f>
        <v>2.2727272727272728E-2</v>
      </c>
      <c r="I19" s="100">
        <v>1</v>
      </c>
      <c r="K19" s="40">
        <v>17</v>
      </c>
      <c r="L19" s="105">
        <v>25.8</v>
      </c>
      <c r="N19" s="121" t="s">
        <v>133</v>
      </c>
      <c r="O19" s="131">
        <f>IF(P19=0,0,Q19/P19)</f>
        <v>-9.155555555555555</v>
      </c>
      <c r="P19" s="125">
        <v>27</v>
      </c>
      <c r="Q19" s="113">
        <v>-247.2</v>
      </c>
    </row>
    <row r="20" spans="1:17" x14ac:dyDescent="0.4">
      <c r="A20" s="57" t="s">
        <v>13</v>
      </c>
      <c r="B20" s="49">
        <v>45</v>
      </c>
      <c r="C20" s="41">
        <f>IF(B$3=0,0,B20/B$3)</f>
        <v>0.1717557251908397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-23.1</v>
      </c>
      <c r="N20" s="121" t="s">
        <v>139</v>
      </c>
      <c r="O20" s="131">
        <f>IF(P20=0,0,Q20/P20)</f>
        <v>-23.366666666666671</v>
      </c>
      <c r="P20" s="125">
        <v>3</v>
      </c>
      <c r="Q20" s="113">
        <v>-70.100000000000009</v>
      </c>
    </row>
    <row r="21" spans="1:17" x14ac:dyDescent="0.4">
      <c r="A21" s="57" t="s">
        <v>5</v>
      </c>
      <c r="B21" s="53">
        <f>IF(B$17=0,0,C21/B$17)</f>
        <v>11041.666666666666</v>
      </c>
      <c r="C21" s="43">
        <v>795000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-11.4</v>
      </c>
      <c r="N21" s="121" t="s">
        <v>135</v>
      </c>
      <c r="O21" s="131">
        <f>IF(P21=0,0,Q21/P21)</f>
        <v>-34</v>
      </c>
      <c r="P21" s="125">
        <v>1</v>
      </c>
      <c r="Q21" s="113">
        <v>-34</v>
      </c>
    </row>
    <row r="22" spans="1:17" x14ac:dyDescent="0.4">
      <c r="A22" s="59" t="s">
        <v>14</v>
      </c>
      <c r="B22" s="54">
        <f>IF(B$20=0,0,C22/B$20)</f>
        <v>-8928.8888888888887</v>
      </c>
      <c r="C22" s="47">
        <v>-401800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8.9</v>
      </c>
    </row>
    <row r="23" spans="1:17" x14ac:dyDescent="0.4">
      <c r="A23" s="96" t="s">
        <v>158</v>
      </c>
      <c r="B23" s="144">
        <v>7</v>
      </c>
      <c r="C23" s="145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7</v>
      </c>
      <c r="K23" s="40">
        <v>21</v>
      </c>
      <c r="L23" s="105">
        <v>-14.5</v>
      </c>
    </row>
    <row r="24" spans="1:17" x14ac:dyDescent="0.4">
      <c r="A24" s="60" t="s">
        <v>199</v>
      </c>
      <c r="B24" s="142">
        <v>109300</v>
      </c>
      <c r="C24" s="143"/>
      <c r="E24" s="65" t="s">
        <v>84</v>
      </c>
      <c r="F24" s="62" t="s">
        <v>37</v>
      </c>
      <c r="G24" s="49">
        <v>0</v>
      </c>
      <c r="H24" s="138">
        <f>IF(B$27=0,0,G24/B$27)</f>
        <v>0</v>
      </c>
      <c r="I24" s="100">
        <v>1</v>
      </c>
      <c r="K24" s="40">
        <v>22</v>
      </c>
      <c r="L24" s="105">
        <v>-36.700000000000003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38">
        <f>IF(B$27=0,0,G25/B$27)</f>
        <v>0</v>
      </c>
      <c r="I25" s="100">
        <v>3</v>
      </c>
      <c r="K25" s="40">
        <v>23</v>
      </c>
      <c r="L25" s="105">
        <v>-47.5</v>
      </c>
    </row>
    <row r="26" spans="1:17" x14ac:dyDescent="0.4">
      <c r="A26" s="56" t="s">
        <v>126</v>
      </c>
      <c r="B26" s="148">
        <v>180</v>
      </c>
      <c r="C26" s="149"/>
      <c r="E26" s="65" t="s">
        <v>86</v>
      </c>
      <c r="F26" s="62" t="s">
        <v>39</v>
      </c>
      <c r="G26" s="49">
        <v>0</v>
      </c>
      <c r="H26" s="138">
        <f>IF(B$27=0,0,G26/B$27)</f>
        <v>0</v>
      </c>
      <c r="I26" s="100">
        <v>10</v>
      </c>
      <c r="K26" s="40">
        <v>24</v>
      </c>
      <c r="L26" s="105">
        <v>27.7</v>
      </c>
    </row>
    <row r="27" spans="1:17" x14ac:dyDescent="0.4">
      <c r="A27" s="59" t="s">
        <v>127</v>
      </c>
      <c r="B27" s="150">
        <v>44</v>
      </c>
      <c r="C27" s="151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-2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-28.4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13.6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-15.1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-34.200000000000003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-46.2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4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35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F469E-CF52-4FD2-89B2-177743074E06}">
  <sheetPr codeName="Sheet25"/>
  <dimension ref="A1:Q12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139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28.175860241991607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121</v>
      </c>
      <c r="C2" s="149"/>
      <c r="E2" s="64" t="s">
        <v>71</v>
      </c>
      <c r="F2" s="61" t="s">
        <v>25</v>
      </c>
      <c r="G2" s="48">
        <v>233</v>
      </c>
      <c r="H2" s="137">
        <f>IF(B$27=0,0,G2/B$27)</f>
        <v>0.9066147859922179</v>
      </c>
      <c r="I2" s="99">
        <v>5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-1787.1794871794871</v>
      </c>
      <c r="P2" s="124">
        <v>117</v>
      </c>
      <c r="Q2" s="108">
        <v>-209100</v>
      </c>
    </row>
    <row r="3" spans="1:17" x14ac:dyDescent="0.4">
      <c r="A3" s="57" t="s">
        <v>8</v>
      </c>
      <c r="B3" s="154">
        <v>939</v>
      </c>
      <c r="C3" s="155"/>
      <c r="E3" s="65" t="s">
        <v>69</v>
      </c>
      <c r="F3" s="62" t="s">
        <v>23</v>
      </c>
      <c r="G3" s="49">
        <v>199</v>
      </c>
      <c r="H3" s="138">
        <f>IF(B$27=0,0,G3/B$27)</f>
        <v>0.77431906614785995</v>
      </c>
      <c r="I3" s="100">
        <v>3</v>
      </c>
      <c r="K3" s="40">
        <v>1</v>
      </c>
      <c r="L3" s="105">
        <v>3.9</v>
      </c>
      <c r="N3" s="121" t="s">
        <v>148</v>
      </c>
      <c r="O3" s="128">
        <f t="shared" si="0"/>
        <v>759.13043478260875</v>
      </c>
      <c r="P3" s="125">
        <v>115</v>
      </c>
      <c r="Q3" s="109">
        <v>87300</v>
      </c>
    </row>
    <row r="4" spans="1:17" x14ac:dyDescent="0.4">
      <c r="A4" s="57" t="s">
        <v>6</v>
      </c>
      <c r="B4" s="156">
        <v>-509.69999999999987</v>
      </c>
      <c r="C4" s="157"/>
      <c r="E4" s="65" t="s">
        <v>67</v>
      </c>
      <c r="F4" s="62" t="s">
        <v>21</v>
      </c>
      <c r="G4" s="49">
        <v>155</v>
      </c>
      <c r="H4" s="138">
        <f>IF(B$27=0,0,G4/B$27)</f>
        <v>0.60311284046692604</v>
      </c>
      <c r="I4" s="100">
        <v>5</v>
      </c>
      <c r="K4" s="40">
        <v>2</v>
      </c>
      <c r="L4" s="105">
        <v>-37.799999999999997</v>
      </c>
      <c r="N4" s="121" t="s">
        <v>149</v>
      </c>
      <c r="O4" s="128">
        <f t="shared" si="0"/>
        <v>-199.08256880733944</v>
      </c>
      <c r="P4" s="125">
        <v>109</v>
      </c>
      <c r="Q4" s="109">
        <v>-21700</v>
      </c>
    </row>
    <row r="5" spans="1:17" x14ac:dyDescent="0.4">
      <c r="A5" s="57" t="s">
        <v>7</v>
      </c>
      <c r="B5" s="158">
        <f>IF(B$2=0,0,B$4/B$2)</f>
        <v>-4.2123966942148749</v>
      </c>
      <c r="C5" s="159"/>
      <c r="E5" s="65" t="s">
        <v>76</v>
      </c>
      <c r="F5" s="62" t="s">
        <v>29</v>
      </c>
      <c r="G5" s="49">
        <v>153</v>
      </c>
      <c r="H5" s="138">
        <f>IF(B$27=0,0,G5/B$27)</f>
        <v>0.59533073929961089</v>
      </c>
      <c r="I5" s="100">
        <v>6</v>
      </c>
      <c r="K5" s="40">
        <v>3</v>
      </c>
      <c r="L5" s="105">
        <v>-36.200000000000003</v>
      </c>
      <c r="N5" s="121" t="s">
        <v>150</v>
      </c>
      <c r="O5" s="128">
        <f t="shared" si="0"/>
        <v>-578.78787878787875</v>
      </c>
      <c r="P5" s="125">
        <v>99</v>
      </c>
      <c r="Q5" s="109">
        <v>-57300</v>
      </c>
    </row>
    <row r="6" spans="1:17" x14ac:dyDescent="0.4">
      <c r="A6" s="57" t="s">
        <v>1</v>
      </c>
      <c r="B6" s="146">
        <f>IF(B$2=0,0,(B$7*1+B$8*2+B$9*3)/B$2)</f>
        <v>2.1818181818181817</v>
      </c>
      <c r="C6" s="147"/>
      <c r="E6" s="65" t="s">
        <v>70</v>
      </c>
      <c r="F6" s="62" t="s">
        <v>24</v>
      </c>
      <c r="G6" s="49">
        <v>91</v>
      </c>
      <c r="H6" s="138">
        <f>IF(B$27=0,0,G6/B$27)</f>
        <v>0.35408560311284049</v>
      </c>
      <c r="I6" s="100">
        <v>5</v>
      </c>
      <c r="K6" s="40">
        <v>4</v>
      </c>
      <c r="L6" s="105">
        <v>35</v>
      </c>
      <c r="N6" s="121" t="s">
        <v>151</v>
      </c>
      <c r="O6" s="128">
        <f t="shared" si="0"/>
        <v>-2642.391304347826</v>
      </c>
      <c r="P6" s="125">
        <v>92</v>
      </c>
      <c r="Q6" s="109">
        <v>-243100</v>
      </c>
    </row>
    <row r="7" spans="1:17" x14ac:dyDescent="0.4">
      <c r="A7" s="57" t="s">
        <v>2</v>
      </c>
      <c r="B7" s="49">
        <v>29</v>
      </c>
      <c r="C7" s="41">
        <f>IF(B$2=0,0,B7/B$2)</f>
        <v>0.23966942148760331</v>
      </c>
      <c r="E7" s="65" t="s">
        <v>72</v>
      </c>
      <c r="F7" s="62" t="s">
        <v>12</v>
      </c>
      <c r="G7" s="49">
        <v>82</v>
      </c>
      <c r="H7" s="138">
        <f>IF(B$27=0,0,G7/B$27)</f>
        <v>0.31906614785992216</v>
      </c>
      <c r="I7" s="100">
        <v>5</v>
      </c>
      <c r="K7" s="40">
        <v>5</v>
      </c>
      <c r="L7" s="105">
        <v>-45</v>
      </c>
      <c r="N7" s="122" t="s">
        <v>152</v>
      </c>
      <c r="O7" s="129">
        <f t="shared" si="0"/>
        <v>628.37837837837833</v>
      </c>
      <c r="P7" s="126">
        <v>74</v>
      </c>
      <c r="Q7" s="110">
        <v>46500</v>
      </c>
    </row>
    <row r="8" spans="1:17" x14ac:dyDescent="0.4">
      <c r="A8" s="57" t="s">
        <v>3</v>
      </c>
      <c r="B8" s="49">
        <v>41</v>
      </c>
      <c r="C8" s="41">
        <f>IF(B$2=0,0,B8/B$2)</f>
        <v>0.33884297520661155</v>
      </c>
      <c r="E8" s="65" t="s">
        <v>73</v>
      </c>
      <c r="F8" s="62" t="s">
        <v>26</v>
      </c>
      <c r="G8" s="49">
        <v>40</v>
      </c>
      <c r="H8" s="138">
        <f>IF(B$27=0,0,G8/B$27)</f>
        <v>0.1556420233463035</v>
      </c>
      <c r="I8" s="100">
        <v>5</v>
      </c>
      <c r="K8" s="40">
        <v>6</v>
      </c>
      <c r="L8" s="105">
        <v>-36</v>
      </c>
      <c r="N8" s="45"/>
      <c r="O8" s="133"/>
      <c r="P8" s="117"/>
      <c r="Q8" s="115"/>
    </row>
    <row r="9" spans="1:17" x14ac:dyDescent="0.4">
      <c r="A9" s="58" t="s">
        <v>4</v>
      </c>
      <c r="B9" s="50">
        <v>51</v>
      </c>
      <c r="C9" s="42">
        <f t="shared" ref="C9" si="1">IF(B$2=0,0,B9/B$2)</f>
        <v>0.42148760330578511</v>
      </c>
      <c r="E9" s="65" t="s">
        <v>94</v>
      </c>
      <c r="F9" s="62" t="s">
        <v>47</v>
      </c>
      <c r="G9" s="49">
        <v>33</v>
      </c>
      <c r="H9" s="138">
        <f>IF(B$27=0,0,G9/B$27)</f>
        <v>0.12840466926070038</v>
      </c>
      <c r="I9" s="100">
        <v>10</v>
      </c>
      <c r="K9" s="40">
        <v>7</v>
      </c>
      <c r="L9" s="105">
        <v>-31.3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0.19008264462809918</v>
      </c>
      <c r="E10" s="65" t="s">
        <v>74</v>
      </c>
      <c r="F10" s="62" t="s">
        <v>27</v>
      </c>
      <c r="G10" s="49">
        <v>30</v>
      </c>
      <c r="H10" s="138">
        <f>IF(B$27=0,0,G10/B$27)</f>
        <v>0.11673151750972763</v>
      </c>
      <c r="I10" s="100">
        <v>5</v>
      </c>
      <c r="K10" s="40">
        <v>8</v>
      </c>
      <c r="L10" s="105">
        <v>1.4</v>
      </c>
      <c r="N10" s="120" t="s">
        <v>253</v>
      </c>
      <c r="O10" s="130">
        <f>IF(P10=0,0,Q10/P10)</f>
        <v>-11.826829268292686</v>
      </c>
      <c r="P10" s="124">
        <v>41</v>
      </c>
      <c r="Q10" s="112">
        <v>-484.90000000000009</v>
      </c>
    </row>
    <row r="11" spans="1:17" x14ac:dyDescent="0.4">
      <c r="A11" s="58" t="s">
        <v>155</v>
      </c>
      <c r="B11" s="50">
        <v>17</v>
      </c>
      <c r="C11" s="42">
        <f>IF(B$2=0,0,B11/B$2)</f>
        <v>0.14049586776859505</v>
      </c>
      <c r="E11" s="65" t="s">
        <v>68</v>
      </c>
      <c r="F11" s="62" t="s">
        <v>22</v>
      </c>
      <c r="G11" s="49">
        <v>27</v>
      </c>
      <c r="H11" s="138">
        <f>IF(B$27=0,0,G11/B$27)</f>
        <v>0.10505836575875487</v>
      </c>
      <c r="I11" s="100">
        <v>9</v>
      </c>
      <c r="K11" s="40">
        <v>9</v>
      </c>
      <c r="L11" s="105">
        <v>-27</v>
      </c>
      <c r="N11" s="121" t="s">
        <v>254</v>
      </c>
      <c r="O11" s="131">
        <f>IF(P11=0,0,Q11/P11)</f>
        <v>1.3666666666666667</v>
      </c>
      <c r="P11" s="125">
        <v>45</v>
      </c>
      <c r="Q11" s="113">
        <v>61.5</v>
      </c>
    </row>
    <row r="12" spans="1:17" x14ac:dyDescent="0.4">
      <c r="A12" s="59" t="s">
        <v>239</v>
      </c>
      <c r="B12" s="51">
        <v>12</v>
      </c>
      <c r="C12" s="44">
        <f>IF(B$2=0,0,B12/B$2)</f>
        <v>9.9173553719008267E-2</v>
      </c>
      <c r="E12" s="65" t="s">
        <v>91</v>
      </c>
      <c r="F12" s="62" t="s">
        <v>44</v>
      </c>
      <c r="G12" s="49">
        <v>23</v>
      </c>
      <c r="H12" s="138">
        <f>IF(B$27=0,0,G12/B$27)</f>
        <v>8.9494163424124515E-2</v>
      </c>
      <c r="I12" s="100">
        <v>5</v>
      </c>
      <c r="K12" s="40">
        <v>10</v>
      </c>
      <c r="L12" s="105">
        <v>-33.1</v>
      </c>
      <c r="N12" s="122" t="s">
        <v>255</v>
      </c>
      <c r="O12" s="132">
        <f>IF(P12=0,0,Q12/P12)</f>
        <v>0.8125</v>
      </c>
      <c r="P12" s="126">
        <v>32</v>
      </c>
      <c r="Q12" s="114">
        <v>26</v>
      </c>
    </row>
    <row r="13" spans="1:17" x14ac:dyDescent="0.4">
      <c r="A13" s="60" t="s">
        <v>128</v>
      </c>
      <c r="B13" s="52">
        <v>269</v>
      </c>
      <c r="C13" s="46">
        <f>IF(B$26=0,0,B13/B$26)</f>
        <v>0.29822616407982261</v>
      </c>
      <c r="E13" s="65" t="s">
        <v>82</v>
      </c>
      <c r="F13" s="62" t="s">
        <v>35</v>
      </c>
      <c r="G13" s="49">
        <v>10</v>
      </c>
      <c r="H13" s="138">
        <f>IF(B$27=0,0,G13/B$27)</f>
        <v>3.8910505836575876E-2</v>
      </c>
      <c r="I13" s="100">
        <v>5</v>
      </c>
      <c r="K13" s="40">
        <v>11</v>
      </c>
      <c r="L13" s="105">
        <v>32.1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175</v>
      </c>
      <c r="C14" s="41">
        <f>IF(B$26=0,0,B14/B$26)</f>
        <v>0.19401330376940132</v>
      </c>
      <c r="E14" s="65" t="s">
        <v>88</v>
      </c>
      <c r="F14" s="62" t="s">
        <v>41</v>
      </c>
      <c r="G14" s="49">
        <v>8</v>
      </c>
      <c r="H14" s="138">
        <f>IF(B$27=0,0,G14/B$27)</f>
        <v>3.1128404669260701E-2</v>
      </c>
      <c r="I14" s="100">
        <v>8</v>
      </c>
      <c r="K14" s="40">
        <v>12</v>
      </c>
      <c r="L14" s="105">
        <v>-23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158</v>
      </c>
      <c r="C15" s="39">
        <f>IF(B$13=0,0,B15/B$13)</f>
        <v>0.58736059479553904</v>
      </c>
      <c r="E15" s="65" t="s">
        <v>75</v>
      </c>
      <c r="F15" s="62" t="s">
        <v>28</v>
      </c>
      <c r="G15" s="49">
        <v>7</v>
      </c>
      <c r="H15" s="138">
        <f>IF(B$27=0,0,G15/B$27)</f>
        <v>2.7237354085603113E-2</v>
      </c>
      <c r="I15" s="100">
        <v>10</v>
      </c>
      <c r="K15" s="40">
        <v>13</v>
      </c>
      <c r="L15" s="105">
        <v>-38</v>
      </c>
      <c r="N15" s="120" t="s">
        <v>250</v>
      </c>
      <c r="O15" s="130">
        <f>IF(P15=0,0,Q15/P15)</f>
        <v>28.18</v>
      </c>
      <c r="P15" s="124">
        <v>5</v>
      </c>
      <c r="Q15" s="112">
        <v>140.9</v>
      </c>
    </row>
    <row r="16" spans="1:17" x14ac:dyDescent="0.4">
      <c r="A16" s="56" t="s">
        <v>131</v>
      </c>
      <c r="B16" s="48">
        <v>68</v>
      </c>
      <c r="C16" s="39">
        <f>IF(B$14=0,0,B16/B$14)</f>
        <v>0.38857142857142857</v>
      </c>
      <c r="E16" s="65" t="s">
        <v>86</v>
      </c>
      <c r="F16" s="62" t="s">
        <v>39</v>
      </c>
      <c r="G16" s="49">
        <v>6</v>
      </c>
      <c r="H16" s="138">
        <f>IF(B$27=0,0,G16/B$27)</f>
        <v>2.3346303501945526E-2</v>
      </c>
      <c r="I16" s="100">
        <v>7</v>
      </c>
      <c r="K16" s="40">
        <v>14</v>
      </c>
      <c r="L16" s="105">
        <v>4</v>
      </c>
      <c r="N16" s="121" t="s">
        <v>194</v>
      </c>
      <c r="O16" s="131">
        <f>IF(P16=0,0,Q16/P16)</f>
        <v>25.3</v>
      </c>
      <c r="P16" s="125">
        <v>2</v>
      </c>
      <c r="Q16" s="113">
        <v>50.6</v>
      </c>
    </row>
    <row r="17" spans="1:17" x14ac:dyDescent="0.4">
      <c r="A17" s="56" t="s">
        <v>10</v>
      </c>
      <c r="B17" s="48">
        <f>B19+B18</f>
        <v>267</v>
      </c>
      <c r="C17" s="39">
        <f>IF(B$3=0,0,B17/B$3)</f>
        <v>0.28434504792332266</v>
      </c>
      <c r="E17" s="65" t="s">
        <v>77</v>
      </c>
      <c r="F17" s="62" t="s">
        <v>30</v>
      </c>
      <c r="G17" s="49">
        <v>4</v>
      </c>
      <c r="H17" s="138">
        <f>IF(B$27=0,0,G17/B$27)</f>
        <v>1.556420233463035E-2</v>
      </c>
      <c r="I17" s="100">
        <v>3</v>
      </c>
      <c r="K17" s="40">
        <v>15</v>
      </c>
      <c r="L17" s="105">
        <v>18.5</v>
      </c>
      <c r="N17" s="121" t="s">
        <v>138</v>
      </c>
      <c r="O17" s="131">
        <f>IF(P17=0,0,Q17/P17)</f>
        <v>23.366666666666664</v>
      </c>
      <c r="P17" s="125">
        <v>3</v>
      </c>
      <c r="Q17" s="113">
        <v>70.099999999999994</v>
      </c>
    </row>
    <row r="18" spans="1:17" x14ac:dyDescent="0.4">
      <c r="A18" s="57" t="s">
        <v>12</v>
      </c>
      <c r="B18" s="49">
        <v>117</v>
      </c>
      <c r="C18" s="41">
        <f>IF(B$17=0,0,B18/B$17)</f>
        <v>0.43820224719101125</v>
      </c>
      <c r="E18" s="65" t="s">
        <v>96</v>
      </c>
      <c r="F18" s="62" t="s">
        <v>49</v>
      </c>
      <c r="G18" s="49">
        <v>4</v>
      </c>
      <c r="H18" s="138">
        <f>IF(B$27=0,0,G18/B$27)</f>
        <v>1.556420233463035E-2</v>
      </c>
      <c r="I18" s="100">
        <v>8</v>
      </c>
      <c r="K18" s="40">
        <v>16</v>
      </c>
      <c r="L18" s="105">
        <v>-20.7</v>
      </c>
      <c r="N18" s="121" t="s">
        <v>157</v>
      </c>
      <c r="O18" s="131">
        <f>IF(P18=0,0,Q18/P18)</f>
        <v>10.761111111111113</v>
      </c>
      <c r="P18" s="125">
        <v>18</v>
      </c>
      <c r="Q18" s="113">
        <v>193.70000000000002</v>
      </c>
    </row>
    <row r="19" spans="1:17" x14ac:dyDescent="0.4">
      <c r="A19" s="57" t="s">
        <v>11</v>
      </c>
      <c r="B19" s="49">
        <v>150</v>
      </c>
      <c r="C19" s="41">
        <f>IF(B$17=0,0,B19/B$17)</f>
        <v>0.5617977528089888</v>
      </c>
      <c r="E19" s="65" t="s">
        <v>79</v>
      </c>
      <c r="F19" s="62" t="s">
        <v>32</v>
      </c>
      <c r="G19" s="49">
        <v>3</v>
      </c>
      <c r="H19" s="138">
        <f>IF(B$27=0,0,G19/B$27)</f>
        <v>1.1673151750972763E-2</v>
      </c>
      <c r="I19" s="100">
        <v>1</v>
      </c>
      <c r="K19" s="40">
        <v>17</v>
      </c>
      <c r="L19" s="105">
        <v>-35.5</v>
      </c>
      <c r="N19" s="121" t="s">
        <v>135</v>
      </c>
      <c r="O19" s="131">
        <f>IF(P19=0,0,Q19/P19)</f>
        <v>8.8833333333333329</v>
      </c>
      <c r="P19" s="125">
        <v>12</v>
      </c>
      <c r="Q19" s="113">
        <v>106.6</v>
      </c>
    </row>
    <row r="20" spans="1:17" x14ac:dyDescent="0.4">
      <c r="A20" s="57" t="s">
        <v>13</v>
      </c>
      <c r="B20" s="49">
        <v>189</v>
      </c>
      <c r="C20" s="41">
        <f>IF(B$3=0,0,B20/B$3)</f>
        <v>0.2012779552715655</v>
      </c>
      <c r="E20" s="65" t="s">
        <v>83</v>
      </c>
      <c r="F20" s="62" t="s">
        <v>36</v>
      </c>
      <c r="G20" s="49">
        <v>3</v>
      </c>
      <c r="H20" s="138">
        <f>IF(B$27=0,0,G20/B$27)</f>
        <v>1.1673151750972763E-2</v>
      </c>
      <c r="I20" s="100">
        <v>8</v>
      </c>
      <c r="K20" s="40">
        <v>18</v>
      </c>
      <c r="L20" s="105">
        <v>-27.1</v>
      </c>
      <c r="N20" s="121" t="s">
        <v>134</v>
      </c>
      <c r="O20" s="131">
        <f>IF(P20=0,0,Q20/P20)</f>
        <v>-3.4244444444444411</v>
      </c>
      <c r="P20" s="125">
        <v>45</v>
      </c>
      <c r="Q20" s="113">
        <v>-154.09999999999985</v>
      </c>
    </row>
    <row r="21" spans="1:17" x14ac:dyDescent="0.4">
      <c r="A21" s="57" t="s">
        <v>5</v>
      </c>
      <c r="B21" s="53">
        <f>IF(B$17=0,0,C21/B$17)</f>
        <v>10486.142322097377</v>
      </c>
      <c r="C21" s="43">
        <v>2799800</v>
      </c>
      <c r="E21" s="65" t="s">
        <v>98</v>
      </c>
      <c r="F21" s="62" t="s">
        <v>51</v>
      </c>
      <c r="G21" s="49">
        <v>2</v>
      </c>
      <c r="H21" s="138">
        <f>IF(B$27=0,0,G21/B$27)</f>
        <v>7.7821011673151752E-3</v>
      </c>
      <c r="I21" s="100">
        <v>3</v>
      </c>
      <c r="K21" s="40">
        <v>19</v>
      </c>
      <c r="L21" s="105">
        <v>22.6</v>
      </c>
      <c r="N21" s="121" t="s">
        <v>167</v>
      </c>
      <c r="O21" s="131">
        <f>IF(P21=0,0,Q21/P21)</f>
        <v>-3.9666666666666663</v>
      </c>
      <c r="P21" s="125">
        <v>3</v>
      </c>
      <c r="Q21" s="113">
        <v>-11.899999999999999</v>
      </c>
    </row>
    <row r="22" spans="1:17" x14ac:dyDescent="0.4">
      <c r="A22" s="59" t="s">
        <v>14</v>
      </c>
      <c r="B22" s="54">
        <f>IF(B$20=0,0,C22/B$20)</f>
        <v>-9495.2380952380954</v>
      </c>
      <c r="C22" s="47">
        <v>-1794600</v>
      </c>
      <c r="E22" s="65" t="s">
        <v>78</v>
      </c>
      <c r="F22" s="62" t="s">
        <v>31</v>
      </c>
      <c r="G22" s="49">
        <v>1</v>
      </c>
      <c r="H22" s="138">
        <f>IF(B$27=0,0,G22/B$27)</f>
        <v>3.8910505836575876E-3</v>
      </c>
      <c r="I22" s="100">
        <v>4</v>
      </c>
      <c r="K22" s="40">
        <v>20</v>
      </c>
      <c r="L22" s="105">
        <v>3.2</v>
      </c>
      <c r="N22" s="121" t="s">
        <v>133</v>
      </c>
      <c r="O22" s="131">
        <f>IF(P22=0,0,Q22/P22)</f>
        <v>-11.8</v>
      </c>
      <c r="P22" s="125">
        <v>97</v>
      </c>
      <c r="Q22" s="113">
        <v>-1144.6000000000001</v>
      </c>
    </row>
    <row r="23" spans="1:17" x14ac:dyDescent="0.4">
      <c r="A23" s="96" t="s">
        <v>158</v>
      </c>
      <c r="B23" s="144">
        <v>7</v>
      </c>
      <c r="C23" s="145"/>
      <c r="E23" s="65" t="s">
        <v>81</v>
      </c>
      <c r="F23" s="62" t="s">
        <v>34</v>
      </c>
      <c r="G23" s="49">
        <v>1</v>
      </c>
      <c r="H23" s="138">
        <f>IF(B$27=0,0,G23/B$27)</f>
        <v>3.8910505836575876E-3</v>
      </c>
      <c r="I23" s="100">
        <v>6</v>
      </c>
      <c r="K23" s="40">
        <v>21</v>
      </c>
      <c r="L23" s="105">
        <v>28</v>
      </c>
      <c r="N23" s="121" t="s">
        <v>136</v>
      </c>
      <c r="O23" s="131">
        <f>IF(P23=0,0,Q23/P23)</f>
        <v>-11.846666666666668</v>
      </c>
      <c r="P23" s="125">
        <v>15</v>
      </c>
      <c r="Q23" s="113">
        <v>-177.70000000000002</v>
      </c>
    </row>
    <row r="24" spans="1:17" x14ac:dyDescent="0.4">
      <c r="A24" s="60" t="s">
        <v>199</v>
      </c>
      <c r="B24" s="142">
        <v>124700</v>
      </c>
      <c r="C24" s="143"/>
      <c r="E24" s="65" t="s">
        <v>89</v>
      </c>
      <c r="F24" s="62" t="s">
        <v>42</v>
      </c>
      <c r="G24" s="49">
        <v>1</v>
      </c>
      <c r="H24" s="138">
        <f>IF(B$27=0,0,G24/B$27)</f>
        <v>3.8910505836575876E-3</v>
      </c>
      <c r="I24" s="100">
        <v>3</v>
      </c>
      <c r="K24" s="40">
        <v>22</v>
      </c>
      <c r="L24" s="105">
        <v>39.1</v>
      </c>
      <c r="N24" s="121" t="s">
        <v>137</v>
      </c>
      <c r="O24" s="131">
        <f>IF(P24=0,0,Q24/P24)</f>
        <v>-14.182499999999999</v>
      </c>
      <c r="P24" s="125">
        <v>40</v>
      </c>
      <c r="Q24" s="113">
        <v>-567.29999999999995</v>
      </c>
    </row>
    <row r="25" spans="1:17" x14ac:dyDescent="0.4">
      <c r="A25" s="59" t="s">
        <v>159</v>
      </c>
      <c r="B25" s="67">
        <v>7</v>
      </c>
      <c r="C25" s="44">
        <f>IF(B$3=0,0,B25/B$3)</f>
        <v>7.4547390841320556E-3</v>
      </c>
      <c r="E25" s="65" t="s">
        <v>90</v>
      </c>
      <c r="F25" s="62" t="s">
        <v>43</v>
      </c>
      <c r="G25" s="49">
        <v>1</v>
      </c>
      <c r="H25" s="138">
        <f>IF(B$27=0,0,G25/B$27)</f>
        <v>3.8910505836575876E-3</v>
      </c>
      <c r="I25" s="100">
        <v>3</v>
      </c>
      <c r="K25" s="40">
        <v>23</v>
      </c>
      <c r="L25" s="105">
        <v>2</v>
      </c>
      <c r="N25" s="121" t="s">
        <v>171</v>
      </c>
      <c r="O25" s="131">
        <f>IF(P25=0,0,Q25/P25)</f>
        <v>-17.200000000000003</v>
      </c>
      <c r="P25" s="125">
        <v>2</v>
      </c>
      <c r="Q25" s="113">
        <v>-34.400000000000006</v>
      </c>
    </row>
    <row r="26" spans="1:17" x14ac:dyDescent="0.4">
      <c r="A26" s="56" t="s">
        <v>126</v>
      </c>
      <c r="B26" s="148">
        <v>902</v>
      </c>
      <c r="C26" s="149"/>
      <c r="E26" s="65" t="s">
        <v>95</v>
      </c>
      <c r="F26" s="62" t="s">
        <v>48</v>
      </c>
      <c r="G26" s="49">
        <v>1</v>
      </c>
      <c r="H26" s="138">
        <f>IF(B$27=0,0,G26/B$27)</f>
        <v>3.8910505836575876E-3</v>
      </c>
      <c r="I26" s="100">
        <v>1</v>
      </c>
      <c r="K26" s="40">
        <v>24</v>
      </c>
      <c r="L26" s="105">
        <v>32.700000000000003</v>
      </c>
    </row>
    <row r="27" spans="1:17" x14ac:dyDescent="0.4">
      <c r="A27" s="59" t="s">
        <v>127</v>
      </c>
      <c r="B27" s="150">
        <v>257</v>
      </c>
      <c r="C27" s="151"/>
      <c r="E27" s="65" t="s">
        <v>97</v>
      </c>
      <c r="F27" s="62" t="s">
        <v>50</v>
      </c>
      <c r="G27" s="49">
        <v>1</v>
      </c>
      <c r="H27" s="138">
        <f>IF(B$27=0,0,G27/B$27)</f>
        <v>3.8910505836575876E-3</v>
      </c>
      <c r="I27" s="100">
        <v>6</v>
      </c>
      <c r="K27" s="40">
        <v>25</v>
      </c>
      <c r="L27" s="105">
        <v>-48.7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-39.4</v>
      </c>
    </row>
    <row r="29" spans="1:17" x14ac:dyDescent="0.4">
      <c r="E29" s="65" t="s">
        <v>84</v>
      </c>
      <c r="F29" s="62" t="s">
        <v>37</v>
      </c>
      <c r="G29" s="49">
        <v>0</v>
      </c>
      <c r="H29" s="138">
        <f>IF(B$27=0,0,G29/B$27)</f>
        <v>0</v>
      </c>
      <c r="I29" s="100">
        <v>1</v>
      </c>
      <c r="K29" s="40">
        <v>27</v>
      </c>
      <c r="L29" s="105">
        <v>-40</v>
      </c>
    </row>
    <row r="30" spans="1:17" x14ac:dyDescent="0.4">
      <c r="E30" s="65" t="s">
        <v>85</v>
      </c>
      <c r="F30" s="62" t="s">
        <v>38</v>
      </c>
      <c r="G30" s="49">
        <v>0</v>
      </c>
      <c r="H30" s="138">
        <f>IF(B$27=0,0,G30/B$27)</f>
        <v>0</v>
      </c>
      <c r="I30" s="100">
        <v>3</v>
      </c>
      <c r="K30" s="40">
        <v>28</v>
      </c>
      <c r="L30" s="105">
        <v>6.1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51</v>
      </c>
    </row>
    <row r="32" spans="1:17" x14ac:dyDescent="0.4">
      <c r="E32" s="65" t="s">
        <v>92</v>
      </c>
      <c r="F32" s="62" t="s">
        <v>45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-18.100000000000001</v>
      </c>
    </row>
    <row r="33" spans="5:12" x14ac:dyDescent="0.4">
      <c r="E33" s="65" t="s">
        <v>93</v>
      </c>
      <c r="F33" s="62" t="s">
        <v>46</v>
      </c>
      <c r="G33" s="49">
        <v>0</v>
      </c>
      <c r="H33" s="138">
        <f>IF(B$27=0,0,G33/B$27)</f>
        <v>0</v>
      </c>
      <c r="I33" s="100">
        <v>3</v>
      </c>
      <c r="K33" s="40">
        <v>31</v>
      </c>
      <c r="L33" s="105">
        <v>-8.1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-18.5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-7.4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-10.4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-38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11.6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-43.5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-8.5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19.600000000000001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-18.100000000000001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12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-0.5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42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-5.8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1.7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-34.200000000000003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12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-7.8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-5.3</v>
      </c>
    </row>
    <row r="52" spans="5:12" x14ac:dyDescent="0.4">
      <c r="K52" s="40">
        <v>50</v>
      </c>
      <c r="L52" s="105">
        <v>-35.5</v>
      </c>
    </row>
    <row r="53" spans="5:12" x14ac:dyDescent="0.4">
      <c r="K53" s="40">
        <v>51</v>
      </c>
      <c r="L53" s="105">
        <v>-10</v>
      </c>
    </row>
    <row r="54" spans="5:12" x14ac:dyDescent="0.4">
      <c r="K54" s="40">
        <v>52</v>
      </c>
      <c r="L54" s="105">
        <v>-16.399999999999999</v>
      </c>
    </row>
    <row r="55" spans="5:12" x14ac:dyDescent="0.4">
      <c r="K55" s="40">
        <v>53</v>
      </c>
      <c r="L55" s="105">
        <v>26.5</v>
      </c>
    </row>
    <row r="56" spans="5:12" x14ac:dyDescent="0.4">
      <c r="K56" s="40">
        <v>54</v>
      </c>
      <c r="L56" s="105">
        <v>-11.3</v>
      </c>
    </row>
    <row r="57" spans="5:12" x14ac:dyDescent="0.4">
      <c r="K57" s="40">
        <v>55</v>
      </c>
      <c r="L57" s="105">
        <v>-9.3000000000000007</v>
      </c>
    </row>
    <row r="58" spans="5:12" x14ac:dyDescent="0.4">
      <c r="K58" s="40">
        <v>56</v>
      </c>
      <c r="L58" s="105">
        <v>25.1</v>
      </c>
    </row>
    <row r="59" spans="5:12" x14ac:dyDescent="0.4">
      <c r="K59" s="40">
        <v>57</v>
      </c>
      <c r="L59" s="105">
        <v>-33.5</v>
      </c>
    </row>
    <row r="60" spans="5:12" x14ac:dyDescent="0.4">
      <c r="K60" s="40">
        <v>58</v>
      </c>
      <c r="L60" s="105">
        <v>-37.5</v>
      </c>
    </row>
    <row r="61" spans="5:12" x14ac:dyDescent="0.4">
      <c r="K61" s="40">
        <v>59</v>
      </c>
      <c r="L61" s="105">
        <v>-9.4</v>
      </c>
    </row>
    <row r="62" spans="5:12" x14ac:dyDescent="0.4">
      <c r="K62" s="40">
        <v>60</v>
      </c>
      <c r="L62" s="105">
        <v>0.5</v>
      </c>
    </row>
    <row r="63" spans="5:12" x14ac:dyDescent="0.4">
      <c r="K63" s="40">
        <v>61</v>
      </c>
      <c r="L63" s="105">
        <v>-12.1</v>
      </c>
    </row>
    <row r="64" spans="5:12" x14ac:dyDescent="0.4">
      <c r="K64" s="40">
        <v>62</v>
      </c>
      <c r="L64" s="105">
        <v>-5.2</v>
      </c>
    </row>
    <row r="65" spans="11:12" x14ac:dyDescent="0.4">
      <c r="K65" s="40">
        <v>63</v>
      </c>
      <c r="L65" s="105">
        <v>76.5</v>
      </c>
    </row>
    <row r="66" spans="11:12" x14ac:dyDescent="0.4">
      <c r="K66" s="40">
        <v>64</v>
      </c>
      <c r="L66" s="105">
        <v>-35.799999999999997</v>
      </c>
    </row>
    <row r="67" spans="11:12" x14ac:dyDescent="0.4">
      <c r="K67" s="40">
        <v>65</v>
      </c>
      <c r="L67" s="105">
        <v>-2.2000000000000002</v>
      </c>
    </row>
    <row r="68" spans="11:12" x14ac:dyDescent="0.4">
      <c r="K68" s="40">
        <v>66</v>
      </c>
      <c r="L68" s="105">
        <v>-16.899999999999999</v>
      </c>
    </row>
    <row r="69" spans="11:12" x14ac:dyDescent="0.4">
      <c r="K69" s="40">
        <v>67</v>
      </c>
      <c r="L69" s="105">
        <v>-37.4</v>
      </c>
    </row>
    <row r="70" spans="11:12" x14ac:dyDescent="0.4">
      <c r="K70" s="40">
        <v>68</v>
      </c>
      <c r="L70" s="105">
        <v>89.7</v>
      </c>
    </row>
    <row r="71" spans="11:12" x14ac:dyDescent="0.4">
      <c r="K71" s="40">
        <v>69</v>
      </c>
      <c r="L71" s="105">
        <v>31.2</v>
      </c>
    </row>
    <row r="72" spans="11:12" x14ac:dyDescent="0.4">
      <c r="K72" s="40">
        <v>70</v>
      </c>
      <c r="L72" s="105">
        <v>40.200000000000003</v>
      </c>
    </row>
    <row r="73" spans="11:12" x14ac:dyDescent="0.4">
      <c r="K73" s="40">
        <v>71</v>
      </c>
      <c r="L73" s="105">
        <v>-21</v>
      </c>
    </row>
    <row r="74" spans="11:12" x14ac:dyDescent="0.4">
      <c r="K74" s="40">
        <v>72</v>
      </c>
      <c r="L74" s="105">
        <v>-36</v>
      </c>
    </row>
    <row r="75" spans="11:12" x14ac:dyDescent="0.4">
      <c r="K75" s="40">
        <v>73</v>
      </c>
      <c r="L75" s="105">
        <v>-9.4</v>
      </c>
    </row>
    <row r="76" spans="11:12" x14ac:dyDescent="0.4">
      <c r="K76" s="40">
        <v>74</v>
      </c>
      <c r="L76" s="105">
        <v>14.5</v>
      </c>
    </row>
    <row r="77" spans="11:12" x14ac:dyDescent="0.4">
      <c r="K77" s="40">
        <v>75</v>
      </c>
      <c r="L77" s="105">
        <v>-39.4</v>
      </c>
    </row>
    <row r="78" spans="11:12" x14ac:dyDescent="0.4">
      <c r="K78" s="40">
        <v>76</v>
      </c>
      <c r="L78" s="105">
        <v>1.4</v>
      </c>
    </row>
    <row r="79" spans="11:12" x14ac:dyDescent="0.4">
      <c r="K79" s="40">
        <v>77</v>
      </c>
      <c r="L79" s="105">
        <v>-2.8</v>
      </c>
    </row>
    <row r="80" spans="11:12" x14ac:dyDescent="0.4">
      <c r="K80" s="40">
        <v>78</v>
      </c>
      <c r="L80" s="105">
        <v>11.8</v>
      </c>
    </row>
    <row r="81" spans="11:12" x14ac:dyDescent="0.4">
      <c r="K81" s="40">
        <v>79</v>
      </c>
      <c r="L81" s="105">
        <v>-15.1</v>
      </c>
    </row>
    <row r="82" spans="11:12" x14ac:dyDescent="0.4">
      <c r="K82" s="40">
        <v>80</v>
      </c>
      <c r="L82" s="105">
        <v>-11.7</v>
      </c>
    </row>
    <row r="83" spans="11:12" x14ac:dyDescent="0.4">
      <c r="K83" s="40">
        <v>81</v>
      </c>
      <c r="L83" s="105">
        <v>56.4</v>
      </c>
    </row>
    <row r="84" spans="11:12" x14ac:dyDescent="0.4">
      <c r="K84" s="40">
        <v>82</v>
      </c>
      <c r="L84" s="105">
        <v>45</v>
      </c>
    </row>
    <row r="85" spans="11:12" x14ac:dyDescent="0.4">
      <c r="K85" s="40">
        <v>83</v>
      </c>
      <c r="L85" s="105">
        <v>-0.7</v>
      </c>
    </row>
    <row r="86" spans="11:12" x14ac:dyDescent="0.4">
      <c r="K86" s="40">
        <v>84</v>
      </c>
      <c r="L86" s="105">
        <v>10.1</v>
      </c>
    </row>
    <row r="87" spans="11:12" x14ac:dyDescent="0.4">
      <c r="K87" s="40">
        <v>85</v>
      </c>
      <c r="L87" s="105">
        <v>-35.799999999999997</v>
      </c>
    </row>
    <row r="88" spans="11:12" x14ac:dyDescent="0.4">
      <c r="K88" s="40">
        <v>86</v>
      </c>
      <c r="L88" s="105">
        <v>-3.8</v>
      </c>
    </row>
    <row r="89" spans="11:12" x14ac:dyDescent="0.4">
      <c r="K89" s="40">
        <v>87</v>
      </c>
      <c r="L89" s="105">
        <v>-13.7</v>
      </c>
    </row>
    <row r="90" spans="11:12" x14ac:dyDescent="0.4">
      <c r="K90" s="40">
        <v>88</v>
      </c>
      <c r="L90" s="105">
        <v>-41</v>
      </c>
    </row>
    <row r="91" spans="11:12" x14ac:dyDescent="0.4">
      <c r="K91" s="40">
        <v>89</v>
      </c>
      <c r="L91" s="105">
        <v>-43.1</v>
      </c>
    </row>
    <row r="92" spans="11:12" x14ac:dyDescent="0.4">
      <c r="K92" s="40">
        <v>90</v>
      </c>
      <c r="L92" s="105">
        <v>0</v>
      </c>
    </row>
    <row r="93" spans="11:12" x14ac:dyDescent="0.4">
      <c r="K93" s="40">
        <v>91</v>
      </c>
      <c r="L93" s="105">
        <v>-3.7</v>
      </c>
    </row>
    <row r="94" spans="11:12" x14ac:dyDescent="0.4">
      <c r="K94" s="40">
        <v>92</v>
      </c>
      <c r="L94" s="105">
        <v>-36.5</v>
      </c>
    </row>
    <row r="95" spans="11:12" x14ac:dyDescent="0.4">
      <c r="K95" s="40">
        <v>93</v>
      </c>
      <c r="L95" s="105">
        <v>-41.4</v>
      </c>
    </row>
    <row r="96" spans="11:12" x14ac:dyDescent="0.4">
      <c r="K96" s="40">
        <v>94</v>
      </c>
      <c r="L96" s="105">
        <v>2.2000000000000002</v>
      </c>
    </row>
    <row r="97" spans="11:12" x14ac:dyDescent="0.4">
      <c r="K97" s="40">
        <v>95</v>
      </c>
      <c r="L97" s="105">
        <v>16.600000000000001</v>
      </c>
    </row>
    <row r="98" spans="11:12" x14ac:dyDescent="0.4">
      <c r="K98" s="40">
        <v>96</v>
      </c>
      <c r="L98" s="105">
        <v>30.8</v>
      </c>
    </row>
    <row r="99" spans="11:12" x14ac:dyDescent="0.4">
      <c r="K99" s="40">
        <v>97</v>
      </c>
      <c r="L99" s="105">
        <v>63.7</v>
      </c>
    </row>
    <row r="100" spans="11:12" x14ac:dyDescent="0.4">
      <c r="K100" s="40">
        <v>98</v>
      </c>
      <c r="L100" s="105">
        <v>-28.8</v>
      </c>
    </row>
    <row r="101" spans="11:12" x14ac:dyDescent="0.4">
      <c r="K101" s="40">
        <v>99</v>
      </c>
      <c r="L101" s="105">
        <v>23.5</v>
      </c>
    </row>
    <row r="102" spans="11:12" x14ac:dyDescent="0.4">
      <c r="K102" s="40">
        <v>100</v>
      </c>
      <c r="L102" s="105">
        <v>-50.5</v>
      </c>
    </row>
    <row r="103" spans="11:12" x14ac:dyDescent="0.4">
      <c r="K103" s="40">
        <v>101</v>
      </c>
      <c r="L103" s="105">
        <v>1.8</v>
      </c>
    </row>
    <row r="104" spans="11:12" x14ac:dyDescent="0.4">
      <c r="K104" s="40">
        <v>102</v>
      </c>
      <c r="L104" s="105">
        <v>51.3</v>
      </c>
    </row>
    <row r="105" spans="11:12" x14ac:dyDescent="0.4">
      <c r="K105" s="40">
        <v>103</v>
      </c>
      <c r="L105" s="105">
        <v>-25.1</v>
      </c>
    </row>
    <row r="106" spans="11:12" x14ac:dyDescent="0.4">
      <c r="K106" s="40">
        <v>104</v>
      </c>
      <c r="L106" s="105">
        <v>0.5</v>
      </c>
    </row>
    <row r="107" spans="11:12" x14ac:dyDescent="0.4">
      <c r="K107" s="40">
        <v>105</v>
      </c>
      <c r="L107" s="105">
        <v>-0.9</v>
      </c>
    </row>
    <row r="108" spans="11:12" x14ac:dyDescent="0.4">
      <c r="K108" s="40">
        <v>106</v>
      </c>
      <c r="L108" s="105">
        <v>58.2</v>
      </c>
    </row>
    <row r="109" spans="11:12" x14ac:dyDescent="0.4">
      <c r="K109" s="40">
        <v>107</v>
      </c>
      <c r="L109" s="105">
        <v>-16.8</v>
      </c>
    </row>
    <row r="110" spans="11:12" x14ac:dyDescent="0.4">
      <c r="K110" s="40">
        <v>108</v>
      </c>
      <c r="L110" s="105">
        <v>-16.600000000000001</v>
      </c>
    </row>
    <row r="111" spans="11:12" x14ac:dyDescent="0.4">
      <c r="K111" s="40">
        <v>109</v>
      </c>
      <c r="L111" s="105">
        <v>4.5</v>
      </c>
    </row>
    <row r="112" spans="11:12" x14ac:dyDescent="0.4">
      <c r="K112" s="40">
        <v>110</v>
      </c>
      <c r="L112" s="105">
        <v>0.8</v>
      </c>
    </row>
    <row r="113" spans="11:12" x14ac:dyDescent="0.4">
      <c r="K113" s="40">
        <v>111</v>
      </c>
      <c r="L113" s="105">
        <v>-22.4</v>
      </c>
    </row>
    <row r="114" spans="11:12" x14ac:dyDescent="0.4">
      <c r="K114" s="40">
        <v>112</v>
      </c>
      <c r="L114" s="105">
        <v>-0.8</v>
      </c>
    </row>
    <row r="115" spans="11:12" x14ac:dyDescent="0.4">
      <c r="K115" s="40">
        <v>113</v>
      </c>
      <c r="L115" s="105">
        <v>1.8</v>
      </c>
    </row>
    <row r="116" spans="11:12" x14ac:dyDescent="0.4">
      <c r="K116" s="40">
        <v>114</v>
      </c>
      <c r="L116" s="105">
        <v>-5.7</v>
      </c>
    </row>
    <row r="117" spans="11:12" x14ac:dyDescent="0.4">
      <c r="K117" s="40">
        <v>115</v>
      </c>
      <c r="L117" s="105">
        <v>31.7</v>
      </c>
    </row>
    <row r="118" spans="11:12" x14ac:dyDescent="0.4">
      <c r="K118" s="40">
        <v>116</v>
      </c>
      <c r="L118" s="105">
        <v>3</v>
      </c>
    </row>
    <row r="119" spans="11:12" x14ac:dyDescent="0.4">
      <c r="K119" s="40">
        <v>117</v>
      </c>
      <c r="L119" s="105">
        <v>-13</v>
      </c>
    </row>
    <row r="120" spans="11:12" x14ac:dyDescent="0.4">
      <c r="K120" s="40">
        <v>118</v>
      </c>
      <c r="L120" s="105">
        <v>-16.899999999999999</v>
      </c>
    </row>
    <row r="121" spans="11:12" x14ac:dyDescent="0.4">
      <c r="K121" s="40">
        <v>119</v>
      </c>
      <c r="L121" s="105">
        <v>1.1000000000000001</v>
      </c>
    </row>
    <row r="122" spans="11:12" x14ac:dyDescent="0.4">
      <c r="K122" s="40">
        <v>120</v>
      </c>
      <c r="L122" s="105">
        <v>-33</v>
      </c>
    </row>
    <row r="123" spans="11:12" x14ac:dyDescent="0.4">
      <c r="K123" s="40">
        <v>121</v>
      </c>
      <c r="L123" s="105">
        <v>-7.5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9F0FE-AF1E-497A-B9D6-57DC8F600475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194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26.582509210350466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6</v>
      </c>
      <c r="C2" s="149"/>
      <c r="E2" s="64" t="s">
        <v>67</v>
      </c>
      <c r="F2" s="61" t="s">
        <v>21</v>
      </c>
      <c r="G2" s="48">
        <v>12</v>
      </c>
      <c r="H2" s="137">
        <f>IF(B$27=0,0,G2/B$27)</f>
        <v>0.63157894736842102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7650</v>
      </c>
      <c r="P2" s="124">
        <v>6</v>
      </c>
      <c r="Q2" s="108">
        <v>45900</v>
      </c>
    </row>
    <row r="3" spans="1:17" x14ac:dyDescent="0.4">
      <c r="A3" s="57" t="s">
        <v>8</v>
      </c>
      <c r="B3" s="154">
        <v>50</v>
      </c>
      <c r="C3" s="155"/>
      <c r="E3" s="65" t="s">
        <v>69</v>
      </c>
      <c r="F3" s="62" t="s">
        <v>23</v>
      </c>
      <c r="G3" s="49">
        <v>12</v>
      </c>
      <c r="H3" s="138">
        <f>IF(B$27=0,0,G3/B$27)</f>
        <v>0.63157894736842102</v>
      </c>
      <c r="I3" s="100">
        <v>11</v>
      </c>
      <c r="K3" s="40">
        <v>1</v>
      </c>
      <c r="L3" s="105">
        <v>28.3</v>
      </c>
      <c r="N3" s="121" t="s">
        <v>148</v>
      </c>
      <c r="O3" s="128">
        <f t="shared" si="0"/>
        <v>-6450</v>
      </c>
      <c r="P3" s="125">
        <v>6</v>
      </c>
      <c r="Q3" s="109">
        <v>-38700</v>
      </c>
    </row>
    <row r="4" spans="1:17" x14ac:dyDescent="0.4">
      <c r="A4" s="57" t="s">
        <v>6</v>
      </c>
      <c r="B4" s="156">
        <v>47</v>
      </c>
      <c r="C4" s="157"/>
      <c r="E4" s="65" t="s">
        <v>71</v>
      </c>
      <c r="F4" s="62" t="s">
        <v>25</v>
      </c>
      <c r="G4" s="49">
        <v>12</v>
      </c>
      <c r="H4" s="138">
        <f>IF(B$27=0,0,G4/B$27)</f>
        <v>0.63157894736842102</v>
      </c>
      <c r="I4" s="100">
        <v>12</v>
      </c>
      <c r="K4" s="40">
        <v>2</v>
      </c>
      <c r="L4" s="105">
        <v>43</v>
      </c>
      <c r="N4" s="121" t="s">
        <v>149</v>
      </c>
      <c r="O4" s="128">
        <f t="shared" si="0"/>
        <v>-1500</v>
      </c>
      <c r="P4" s="125">
        <v>6</v>
      </c>
      <c r="Q4" s="109">
        <v>-9000</v>
      </c>
    </row>
    <row r="5" spans="1:17" x14ac:dyDescent="0.4">
      <c r="A5" s="57" t="s">
        <v>7</v>
      </c>
      <c r="B5" s="158">
        <f>IF(B$2=0,0,B$4/B$2)</f>
        <v>7.833333333333333</v>
      </c>
      <c r="C5" s="159"/>
      <c r="E5" s="65" t="s">
        <v>76</v>
      </c>
      <c r="F5" s="62" t="s">
        <v>29</v>
      </c>
      <c r="G5" s="49">
        <v>10</v>
      </c>
      <c r="H5" s="138">
        <f>IF(B$27=0,0,G5/B$27)</f>
        <v>0.52631578947368418</v>
      </c>
      <c r="I5" s="100">
        <v>10</v>
      </c>
      <c r="K5" s="40">
        <v>3</v>
      </c>
      <c r="L5" s="105">
        <v>-14</v>
      </c>
      <c r="N5" s="121" t="s">
        <v>150</v>
      </c>
      <c r="O5" s="128">
        <f t="shared" si="0"/>
        <v>10700</v>
      </c>
      <c r="P5" s="125">
        <v>4</v>
      </c>
      <c r="Q5" s="109">
        <v>42800</v>
      </c>
    </row>
    <row r="6" spans="1:17" x14ac:dyDescent="0.4">
      <c r="A6" s="57" t="s">
        <v>1</v>
      </c>
      <c r="B6" s="146">
        <f>IF(B$2=0,0,(B$7*1+B$8*2+B$9*3)/B$2)</f>
        <v>1.8333333333333333</v>
      </c>
      <c r="C6" s="147"/>
      <c r="E6" s="65" t="s">
        <v>70</v>
      </c>
      <c r="F6" s="62" t="s">
        <v>24</v>
      </c>
      <c r="G6" s="49">
        <v>7</v>
      </c>
      <c r="H6" s="138">
        <f>IF(B$27=0,0,G6/B$27)</f>
        <v>0.36842105263157893</v>
      </c>
      <c r="I6" s="100">
        <v>3</v>
      </c>
      <c r="K6" s="40">
        <v>4</v>
      </c>
      <c r="L6" s="105">
        <v>7.2</v>
      </c>
      <c r="N6" s="121" t="s">
        <v>151</v>
      </c>
      <c r="O6" s="128">
        <f t="shared" si="0"/>
        <v>-1000</v>
      </c>
      <c r="P6" s="125">
        <v>4</v>
      </c>
      <c r="Q6" s="109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38">
        <f>IF(B$27=0,0,G7/B$27)</f>
        <v>0.21052631578947367</v>
      </c>
      <c r="I7" s="100">
        <v>11</v>
      </c>
      <c r="K7" s="40">
        <v>5</v>
      </c>
      <c r="L7" s="105">
        <v>24.5</v>
      </c>
      <c r="N7" s="122" t="s">
        <v>152</v>
      </c>
      <c r="O7" s="129">
        <f t="shared" si="0"/>
        <v>2500</v>
      </c>
      <c r="P7" s="126">
        <v>4</v>
      </c>
      <c r="Q7" s="110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38">
        <f>IF(B$27=0,0,G8/B$27)</f>
        <v>0.21052631578947367</v>
      </c>
      <c r="I8" s="100">
        <v>1</v>
      </c>
      <c r="K8" s="40">
        <v>6</v>
      </c>
      <c r="L8" s="105">
        <v>-42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38">
        <f>IF(B$27=0,0,G9/B$27)</f>
        <v>0.15789473684210525</v>
      </c>
      <c r="I9" s="100">
        <v>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38">
        <f>IF(B$27=0,0,G10/B$27)</f>
        <v>0.15789473684210525</v>
      </c>
      <c r="I10" s="100">
        <v>3</v>
      </c>
      <c r="N10" s="120" t="s">
        <v>253</v>
      </c>
      <c r="O10" s="130">
        <f>IF(P10=0,0,Q10/P10)</f>
        <v>-6.85</v>
      </c>
      <c r="P10" s="124">
        <v>2</v>
      </c>
      <c r="Q10" s="112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38">
        <f>IF(B$27=0,0,G11/B$27)</f>
        <v>0.15789473684210525</v>
      </c>
      <c r="I11" s="100">
        <v>2</v>
      </c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38">
        <f>IF(B$27=0,0,G12/B$27)</f>
        <v>0.15789473684210525</v>
      </c>
      <c r="I12" s="100">
        <v>6</v>
      </c>
      <c r="N12" s="122" t="s">
        <v>255</v>
      </c>
      <c r="O12" s="132">
        <f>IF(P12=0,0,Q12/P12)</f>
        <v>15.175000000000001</v>
      </c>
      <c r="P12" s="126">
        <v>4</v>
      </c>
      <c r="Q12" s="114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38">
        <f>IF(B$27=0,0,G13/B$27)</f>
        <v>5.2631578947368418E-2</v>
      </c>
      <c r="I13" s="100">
        <v>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38">
        <f>IF(B$27=0,0,G14/B$27)</f>
        <v>5.2631578947368418E-2</v>
      </c>
      <c r="I14" s="100">
        <v>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171</v>
      </c>
      <c r="O15" s="130">
        <f>IF(P15=0,0,Q15/P15)</f>
        <v>38.6</v>
      </c>
      <c r="P15" s="124">
        <v>2</v>
      </c>
      <c r="Q15" s="112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134</v>
      </c>
      <c r="O16" s="131">
        <f>IF(P16=0,0,Q16/P16)</f>
        <v>29.333333333333332</v>
      </c>
      <c r="P16" s="125">
        <v>3</v>
      </c>
      <c r="Q16" s="113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137</v>
      </c>
      <c r="O17" s="131">
        <f>IF(P17=0,0,Q17/P17)</f>
        <v>5.8666666666666671</v>
      </c>
      <c r="P17" s="125">
        <v>3</v>
      </c>
      <c r="Q17" s="113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135</v>
      </c>
      <c r="O18" s="131">
        <f>IF(P18=0,0,Q18/P18)</f>
        <v>4.9000000000000004</v>
      </c>
      <c r="P18" s="125">
        <v>2</v>
      </c>
      <c r="Q18" s="113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7</v>
      </c>
      <c r="N19" s="121" t="s">
        <v>139</v>
      </c>
      <c r="O19" s="131">
        <f>IF(P19=0,0,Q19/P19)</f>
        <v>-25.3</v>
      </c>
      <c r="P19" s="125">
        <v>2</v>
      </c>
      <c r="Q19" s="113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44">
        <v>5</v>
      </c>
      <c r="C23" s="145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42">
        <v>78000</v>
      </c>
      <c r="C24" s="143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8">
        <v>50</v>
      </c>
      <c r="C26" s="149"/>
      <c r="E26" s="65" t="s">
        <v>88</v>
      </c>
      <c r="F26" s="62" t="s">
        <v>41</v>
      </c>
      <c r="G26" s="49">
        <v>0</v>
      </c>
      <c r="H26" s="138">
        <f>IF(B$27=0,0,G26/B$27)</f>
        <v>0</v>
      </c>
      <c r="I26" s="100">
        <v>12</v>
      </c>
    </row>
    <row r="27" spans="1:17" x14ac:dyDescent="0.4">
      <c r="A27" s="59" t="s">
        <v>127</v>
      </c>
      <c r="B27" s="150">
        <v>19</v>
      </c>
      <c r="C27" s="151"/>
      <c r="E27" s="65" t="s">
        <v>89</v>
      </c>
      <c r="F27" s="62" t="s">
        <v>42</v>
      </c>
      <c r="G27" s="49">
        <v>0</v>
      </c>
      <c r="H27" s="138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38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38">
        <f>IF(B$27=0,0,G29/B$27)</f>
        <v>0</v>
      </c>
      <c r="I29" s="100">
        <v>4</v>
      </c>
    </row>
    <row r="30" spans="1:17" x14ac:dyDescent="0.4">
      <c r="E30" s="65" t="s">
        <v>93</v>
      </c>
      <c r="F30" s="62" t="s">
        <v>46</v>
      </c>
      <c r="G30" s="49">
        <v>0</v>
      </c>
      <c r="H30" s="138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38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7736-65AC-45B5-9A86-B8D8A0A469B9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157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25.125915522809809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31</v>
      </c>
      <c r="C2" s="149"/>
      <c r="E2" s="64" t="s">
        <v>71</v>
      </c>
      <c r="F2" s="61" t="s">
        <v>25</v>
      </c>
      <c r="G2" s="48">
        <v>51</v>
      </c>
      <c r="H2" s="137">
        <f>IF(B$27=0,0,G2/B$27)</f>
        <v>1.02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-2948.3870967741937</v>
      </c>
      <c r="P2" s="124">
        <v>31</v>
      </c>
      <c r="Q2" s="108">
        <v>-91400</v>
      </c>
    </row>
    <row r="3" spans="1:17" x14ac:dyDescent="0.4">
      <c r="A3" s="57" t="s">
        <v>8</v>
      </c>
      <c r="B3" s="154">
        <v>238</v>
      </c>
      <c r="C3" s="155"/>
      <c r="E3" s="65" t="s">
        <v>76</v>
      </c>
      <c r="F3" s="62" t="s">
        <v>29</v>
      </c>
      <c r="G3" s="49">
        <v>38</v>
      </c>
      <c r="H3" s="138">
        <f>IF(B$27=0,0,G3/B$27)</f>
        <v>0.76</v>
      </c>
      <c r="I3" s="100">
        <v>1</v>
      </c>
      <c r="K3" s="40">
        <v>1</v>
      </c>
      <c r="L3" s="105">
        <v>15</v>
      </c>
      <c r="N3" s="121" t="s">
        <v>148</v>
      </c>
      <c r="O3" s="128">
        <f t="shared" si="0"/>
        <v>1164.516129032258</v>
      </c>
      <c r="P3" s="125">
        <v>31</v>
      </c>
      <c r="Q3" s="109">
        <v>36100</v>
      </c>
    </row>
    <row r="4" spans="1:17" x14ac:dyDescent="0.4">
      <c r="A4" s="57" t="s">
        <v>6</v>
      </c>
      <c r="B4" s="156">
        <v>-334.9</v>
      </c>
      <c r="C4" s="157"/>
      <c r="E4" s="65" t="s">
        <v>69</v>
      </c>
      <c r="F4" s="62" t="s">
        <v>23</v>
      </c>
      <c r="G4" s="49">
        <v>34</v>
      </c>
      <c r="H4" s="138">
        <f>IF(B$27=0,0,G4/B$27)</f>
        <v>0.68</v>
      </c>
      <c r="I4" s="100">
        <v>9</v>
      </c>
      <c r="K4" s="40">
        <v>2</v>
      </c>
      <c r="L4" s="105">
        <v>-39.299999999999997</v>
      </c>
      <c r="N4" s="121" t="s">
        <v>149</v>
      </c>
      <c r="O4" s="128">
        <f t="shared" si="0"/>
        <v>-4366.666666666667</v>
      </c>
      <c r="P4" s="125">
        <v>27</v>
      </c>
      <c r="Q4" s="109">
        <v>-117900</v>
      </c>
    </row>
    <row r="5" spans="1:17" x14ac:dyDescent="0.4">
      <c r="A5" s="57" t="s">
        <v>7</v>
      </c>
      <c r="B5" s="158">
        <f>IF(B$2=0,0,B$4/B$2)</f>
        <v>-10.803225806451612</v>
      </c>
      <c r="C5" s="159"/>
      <c r="E5" s="65" t="s">
        <v>67</v>
      </c>
      <c r="F5" s="62" t="s">
        <v>21</v>
      </c>
      <c r="G5" s="49">
        <v>14</v>
      </c>
      <c r="H5" s="138">
        <f>IF(B$27=0,0,G5/B$27)</f>
        <v>0.28000000000000003</v>
      </c>
      <c r="I5" s="100">
        <v>13</v>
      </c>
      <c r="K5" s="40">
        <v>3</v>
      </c>
      <c r="L5" s="105">
        <v>8.6999999999999993</v>
      </c>
      <c r="N5" s="121" t="s">
        <v>150</v>
      </c>
      <c r="O5" s="128">
        <f t="shared" si="0"/>
        <v>-2141.6666666666665</v>
      </c>
      <c r="P5" s="125">
        <v>24</v>
      </c>
      <c r="Q5" s="109">
        <v>-51400</v>
      </c>
    </row>
    <row r="6" spans="1:17" x14ac:dyDescent="0.4">
      <c r="A6" s="57" t="s">
        <v>1</v>
      </c>
      <c r="B6" s="146">
        <f>IF(B$2=0,0,(B$7*1+B$8*2+B$9*3)/B$2)</f>
        <v>2.3225806451612905</v>
      </c>
      <c r="C6" s="147"/>
      <c r="E6" s="65" t="s">
        <v>72</v>
      </c>
      <c r="F6" s="62" t="s">
        <v>12</v>
      </c>
      <c r="G6" s="49">
        <v>9</v>
      </c>
      <c r="H6" s="138">
        <f>IF(B$27=0,0,G6/B$27)</f>
        <v>0.18</v>
      </c>
      <c r="I6" s="100">
        <v>13</v>
      </c>
      <c r="K6" s="40">
        <v>4</v>
      </c>
      <c r="L6" s="105">
        <v>20.7</v>
      </c>
      <c r="N6" s="121" t="s">
        <v>151</v>
      </c>
      <c r="O6" s="128">
        <f t="shared" si="0"/>
        <v>-3491.304347826087</v>
      </c>
      <c r="P6" s="125">
        <v>23</v>
      </c>
      <c r="Q6" s="109">
        <v>-80300</v>
      </c>
    </row>
    <row r="7" spans="1:17" x14ac:dyDescent="0.4">
      <c r="A7" s="57" t="s">
        <v>2</v>
      </c>
      <c r="B7" s="49">
        <v>7</v>
      </c>
      <c r="C7" s="41">
        <f>IF(B$2=0,0,B7/B$2)</f>
        <v>0.22580645161290322</v>
      </c>
      <c r="E7" s="65" t="s">
        <v>88</v>
      </c>
      <c r="F7" s="62" t="s">
        <v>41</v>
      </c>
      <c r="G7" s="49">
        <v>9</v>
      </c>
      <c r="H7" s="138">
        <f>IF(B$27=0,0,G7/B$27)</f>
        <v>0.18</v>
      </c>
      <c r="I7" s="100">
        <v>2</v>
      </c>
      <c r="K7" s="40">
        <v>5</v>
      </c>
      <c r="L7" s="105">
        <v>4.5</v>
      </c>
      <c r="N7" s="122" t="s">
        <v>152</v>
      </c>
      <c r="O7" s="129">
        <f t="shared" si="0"/>
        <v>-1764.7058823529412</v>
      </c>
      <c r="P7" s="126">
        <v>17</v>
      </c>
      <c r="Q7" s="110">
        <v>-30000</v>
      </c>
    </row>
    <row r="8" spans="1:17" x14ac:dyDescent="0.4">
      <c r="A8" s="57" t="s">
        <v>3</v>
      </c>
      <c r="B8" s="49">
        <v>7</v>
      </c>
      <c r="C8" s="41">
        <f>IF(B$2=0,0,B8/B$2)</f>
        <v>0.22580645161290322</v>
      </c>
      <c r="E8" s="65" t="s">
        <v>94</v>
      </c>
      <c r="F8" s="62" t="s">
        <v>47</v>
      </c>
      <c r="G8" s="49">
        <v>9</v>
      </c>
      <c r="H8" s="138">
        <f>IF(B$27=0,0,G8/B$27)</f>
        <v>0.18</v>
      </c>
      <c r="I8" s="100">
        <v>3</v>
      </c>
      <c r="K8" s="40">
        <v>6</v>
      </c>
      <c r="L8" s="105">
        <v>-7.4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1">IF(B$2=0,0,B9/B$2)</f>
        <v>0.54838709677419351</v>
      </c>
      <c r="E9" s="65" t="s">
        <v>70</v>
      </c>
      <c r="F9" s="62" t="s">
        <v>24</v>
      </c>
      <c r="G9" s="49">
        <v>6</v>
      </c>
      <c r="H9" s="138">
        <f>IF(B$27=0,0,G9/B$27)</f>
        <v>0.12</v>
      </c>
      <c r="I9" s="100">
        <v>12</v>
      </c>
      <c r="K9" s="40">
        <v>7</v>
      </c>
      <c r="L9" s="105">
        <v>25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9</v>
      </c>
      <c r="C10" s="42">
        <f>IF(B$2=0,0,B10/B$2)</f>
        <v>0.29032258064516131</v>
      </c>
      <c r="E10" s="65" t="s">
        <v>74</v>
      </c>
      <c r="F10" s="62" t="s">
        <v>27</v>
      </c>
      <c r="G10" s="49">
        <v>6</v>
      </c>
      <c r="H10" s="138">
        <f>IF(B$27=0,0,G10/B$27)</f>
        <v>0.12</v>
      </c>
      <c r="I10" s="100">
        <v>4</v>
      </c>
      <c r="K10" s="40">
        <v>8</v>
      </c>
      <c r="L10" s="105">
        <v>-31.7</v>
      </c>
      <c r="N10" s="120" t="s">
        <v>253</v>
      </c>
      <c r="O10" s="130">
        <f>IF(P10=0,0,Q10/P10)</f>
        <v>-12.290000000000001</v>
      </c>
      <c r="P10" s="124">
        <v>10</v>
      </c>
      <c r="Q10" s="112">
        <v>-122.9</v>
      </c>
    </row>
    <row r="11" spans="1:17" x14ac:dyDescent="0.4">
      <c r="A11" s="58" t="s">
        <v>155</v>
      </c>
      <c r="B11" s="50">
        <v>3</v>
      </c>
      <c r="C11" s="42">
        <f>IF(B$2=0,0,B11/B$2)</f>
        <v>9.6774193548387094E-2</v>
      </c>
      <c r="E11" s="65" t="s">
        <v>68</v>
      </c>
      <c r="F11" s="62" t="s">
        <v>22</v>
      </c>
      <c r="G11" s="49">
        <v>5</v>
      </c>
      <c r="H11" s="138">
        <f>IF(B$27=0,0,G11/B$27)</f>
        <v>0.1</v>
      </c>
      <c r="I11" s="100">
        <v>10</v>
      </c>
      <c r="K11" s="40">
        <v>9</v>
      </c>
      <c r="L11" s="105">
        <v>-4.9000000000000004</v>
      </c>
      <c r="N11" s="121" t="s">
        <v>254</v>
      </c>
      <c r="O11" s="131">
        <f>IF(P11=0,0,Q11/P11)</f>
        <v>-11.5625</v>
      </c>
      <c r="P11" s="125">
        <v>8</v>
      </c>
      <c r="Q11" s="113">
        <v>-92.5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4</v>
      </c>
      <c r="H12" s="138">
        <f>IF(B$27=0,0,G12/B$27)</f>
        <v>0.08</v>
      </c>
      <c r="I12" s="100">
        <v>6</v>
      </c>
      <c r="K12" s="40">
        <v>10</v>
      </c>
      <c r="L12" s="105">
        <v>-14.9</v>
      </c>
      <c r="N12" s="122" t="s">
        <v>255</v>
      </c>
      <c r="O12" s="132">
        <f>IF(P12=0,0,Q12/P12)</f>
        <v>-9.1923076923076916</v>
      </c>
      <c r="P12" s="126">
        <v>13</v>
      </c>
      <c r="Q12" s="114">
        <v>-119.5</v>
      </c>
    </row>
    <row r="13" spans="1:17" x14ac:dyDescent="0.4">
      <c r="A13" s="60" t="s">
        <v>128</v>
      </c>
      <c r="B13" s="52">
        <v>34</v>
      </c>
      <c r="C13" s="46">
        <f>IF(B$26=0,0,B13/B$26)</f>
        <v>0.14285714285714285</v>
      </c>
      <c r="E13" s="65" t="s">
        <v>82</v>
      </c>
      <c r="F13" s="62" t="s">
        <v>35</v>
      </c>
      <c r="G13" s="49">
        <v>3</v>
      </c>
      <c r="H13" s="138">
        <f>IF(B$27=0,0,G13/B$27)</f>
        <v>0.06</v>
      </c>
      <c r="I13" s="100">
        <v>2</v>
      </c>
      <c r="K13" s="40">
        <v>11</v>
      </c>
      <c r="L13" s="105">
        <v>-45.7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96</v>
      </c>
      <c r="C14" s="41">
        <f>IF(B$26=0,0,B14/B$26)</f>
        <v>0.40336134453781514</v>
      </c>
      <c r="E14" s="65" t="s">
        <v>73</v>
      </c>
      <c r="F14" s="62" t="s">
        <v>26</v>
      </c>
      <c r="G14" s="49">
        <v>2</v>
      </c>
      <c r="H14" s="138">
        <f>IF(B$27=0,0,G14/B$27)</f>
        <v>0.04</v>
      </c>
      <c r="I14" s="100">
        <v>12</v>
      </c>
      <c r="K14" s="40">
        <v>12</v>
      </c>
      <c r="L14" s="105">
        <v>26.2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15</v>
      </c>
      <c r="C15" s="39">
        <f>IF(B$13=0,0,B15/B$13)</f>
        <v>0.44117647058823528</v>
      </c>
      <c r="E15" s="65" t="s">
        <v>75</v>
      </c>
      <c r="F15" s="62" t="s">
        <v>28</v>
      </c>
      <c r="G15" s="49">
        <v>2</v>
      </c>
      <c r="H15" s="138">
        <f>IF(B$27=0,0,G15/B$27)</f>
        <v>0.04</v>
      </c>
      <c r="I15" s="100">
        <v>8</v>
      </c>
      <c r="K15" s="40">
        <v>13</v>
      </c>
      <c r="L15" s="105">
        <v>32.700000000000003</v>
      </c>
      <c r="N15" s="120" t="s">
        <v>171</v>
      </c>
      <c r="O15" s="130">
        <f>IF(P15=0,0,Q15/P15)</f>
        <v>13.450000000000001</v>
      </c>
      <c r="P15" s="124">
        <v>2</v>
      </c>
      <c r="Q15" s="112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0.29166666666666669</v>
      </c>
      <c r="E16" s="65" t="s">
        <v>83</v>
      </c>
      <c r="F16" s="62" t="s">
        <v>36</v>
      </c>
      <c r="G16" s="49">
        <v>2</v>
      </c>
      <c r="H16" s="138">
        <f>IF(B$27=0,0,G16/B$27)</f>
        <v>0.04</v>
      </c>
      <c r="I16" s="100">
        <v>3</v>
      </c>
      <c r="K16" s="40">
        <v>14</v>
      </c>
      <c r="L16" s="105">
        <v>5.3</v>
      </c>
      <c r="N16" s="121" t="s">
        <v>134</v>
      </c>
      <c r="O16" s="131">
        <f>IF(P16=0,0,Q16/P16)</f>
        <v>10.366666666666665</v>
      </c>
      <c r="P16" s="125">
        <v>3</v>
      </c>
      <c r="Q16" s="113">
        <v>31.099999999999998</v>
      </c>
    </row>
    <row r="17" spans="1:17" x14ac:dyDescent="0.4">
      <c r="A17" s="56" t="s">
        <v>10</v>
      </c>
      <c r="B17" s="48">
        <f>B19+B18</f>
        <v>50</v>
      </c>
      <c r="C17" s="39">
        <f>IF(B$3=0,0,B17/B$3)</f>
        <v>0.21008403361344538</v>
      </c>
      <c r="E17" s="65" t="s">
        <v>86</v>
      </c>
      <c r="F17" s="62" t="s">
        <v>39</v>
      </c>
      <c r="G17" s="49">
        <v>2</v>
      </c>
      <c r="H17" s="138">
        <f>IF(B$27=0,0,G17/B$27)</f>
        <v>0.04</v>
      </c>
      <c r="I17" s="100">
        <v>4</v>
      </c>
      <c r="K17" s="40">
        <v>15</v>
      </c>
      <c r="L17" s="105">
        <v>-38.4</v>
      </c>
      <c r="N17" s="121" t="s">
        <v>139</v>
      </c>
      <c r="O17" s="131">
        <f>IF(P17=0,0,Q17/P17)</f>
        <v>-10.761111111111111</v>
      </c>
      <c r="P17" s="125">
        <v>18</v>
      </c>
      <c r="Q17" s="113">
        <v>-193.7</v>
      </c>
    </row>
    <row r="18" spans="1:17" x14ac:dyDescent="0.4">
      <c r="A18" s="57" t="s">
        <v>12</v>
      </c>
      <c r="B18" s="49">
        <v>16</v>
      </c>
      <c r="C18" s="41">
        <f>IF(B$17=0,0,B18/B$17)</f>
        <v>0.32</v>
      </c>
      <c r="E18" s="65" t="s">
        <v>81</v>
      </c>
      <c r="F18" s="62" t="s">
        <v>34</v>
      </c>
      <c r="G18" s="49">
        <v>1</v>
      </c>
      <c r="H18" s="138">
        <f>IF(B$27=0,0,G18/B$27)</f>
        <v>0.02</v>
      </c>
      <c r="I18" s="100">
        <v>1</v>
      </c>
      <c r="K18" s="40">
        <v>16</v>
      </c>
      <c r="L18" s="105">
        <v>18.600000000000001</v>
      </c>
      <c r="N18" s="121" t="s">
        <v>137</v>
      </c>
      <c r="O18" s="131">
        <f>IF(P18=0,0,Q18/P18)</f>
        <v>-15.14</v>
      </c>
      <c r="P18" s="125">
        <v>10</v>
      </c>
      <c r="Q18" s="113">
        <v>-151.4</v>
      </c>
    </row>
    <row r="19" spans="1:17" x14ac:dyDescent="0.4">
      <c r="A19" s="57" t="s">
        <v>11</v>
      </c>
      <c r="B19" s="49">
        <v>34</v>
      </c>
      <c r="C19" s="41">
        <f>IF(B$17=0,0,B19/B$17)</f>
        <v>0.68</v>
      </c>
      <c r="E19" s="65" t="s">
        <v>90</v>
      </c>
      <c r="F19" s="62" t="s">
        <v>43</v>
      </c>
      <c r="G19" s="49">
        <v>1</v>
      </c>
      <c r="H19" s="138">
        <f>IF(B$27=0,0,G19/B$27)</f>
        <v>0.02</v>
      </c>
      <c r="I19" s="100">
        <v>1</v>
      </c>
      <c r="K19" s="40">
        <v>17</v>
      </c>
      <c r="L19" s="105">
        <v>-14.2</v>
      </c>
      <c r="N19" s="121" t="s">
        <v>250</v>
      </c>
      <c r="O19" s="131">
        <f>IF(P19=0,0,Q19/P19)</f>
        <v>-15.2</v>
      </c>
      <c r="P19" s="125">
        <v>2</v>
      </c>
      <c r="Q19" s="113">
        <v>-30.4</v>
      </c>
    </row>
    <row r="20" spans="1:17" x14ac:dyDescent="0.4">
      <c r="A20" s="57" t="s">
        <v>13</v>
      </c>
      <c r="B20" s="49">
        <v>46</v>
      </c>
      <c r="C20" s="41">
        <f>IF(B$3=0,0,B20/B$3)</f>
        <v>0.19327731092436976</v>
      </c>
      <c r="E20" s="65" t="s">
        <v>96</v>
      </c>
      <c r="F20" s="62" t="s">
        <v>49</v>
      </c>
      <c r="G20" s="49">
        <v>1</v>
      </c>
      <c r="H20" s="138">
        <f>IF(B$27=0,0,G20/B$27)</f>
        <v>0.02</v>
      </c>
      <c r="I20" s="100">
        <v>4</v>
      </c>
      <c r="K20" s="40">
        <v>18</v>
      </c>
      <c r="L20" s="105">
        <v>-20.6</v>
      </c>
      <c r="N20" s="121" t="s">
        <v>136</v>
      </c>
      <c r="O20" s="131">
        <f>IF(P20=0,0,Q20/P20)</f>
        <v>-16.125</v>
      </c>
      <c r="P20" s="125">
        <v>4</v>
      </c>
      <c r="Q20" s="113">
        <v>-64.5</v>
      </c>
    </row>
    <row r="21" spans="1:17" x14ac:dyDescent="0.4">
      <c r="A21" s="57" t="s">
        <v>5</v>
      </c>
      <c r="B21" s="53">
        <f>IF(B$17=0,0,C21/B$17)</f>
        <v>9544</v>
      </c>
      <c r="C21" s="43">
        <v>477200</v>
      </c>
      <c r="E21" s="65" t="s">
        <v>97</v>
      </c>
      <c r="F21" s="62" t="s">
        <v>50</v>
      </c>
      <c r="G21" s="49">
        <v>1</v>
      </c>
      <c r="H21" s="138">
        <f>IF(B$27=0,0,G21/B$27)</f>
        <v>0.02</v>
      </c>
      <c r="I21" s="100">
        <v>2</v>
      </c>
      <c r="K21" s="40">
        <v>19</v>
      </c>
      <c r="L21" s="105">
        <v>0.4</v>
      </c>
      <c r="N21" s="121" t="s">
        <v>135</v>
      </c>
      <c r="O21" s="131">
        <f>IF(P21=0,0,Q21/P21)</f>
        <v>-24.85</v>
      </c>
      <c r="P21" s="125">
        <v>2</v>
      </c>
      <c r="Q21" s="113">
        <v>-49.7</v>
      </c>
    </row>
    <row r="22" spans="1:17" x14ac:dyDescent="0.4">
      <c r="A22" s="59" t="s">
        <v>14</v>
      </c>
      <c r="B22" s="54">
        <f>IF(B$20=0,0,C22/B$20)</f>
        <v>-8586.95652173913</v>
      </c>
      <c r="C22" s="47">
        <v>-395000</v>
      </c>
      <c r="E22" s="65" t="s">
        <v>77</v>
      </c>
      <c r="F22" s="62" t="s">
        <v>30</v>
      </c>
      <c r="G22" s="49">
        <v>0</v>
      </c>
      <c r="H22" s="138">
        <f>IF(B$27=0,0,G22/B$27)</f>
        <v>0</v>
      </c>
      <c r="I22" s="100">
        <v>7</v>
      </c>
      <c r="K22" s="40">
        <v>20</v>
      </c>
      <c r="L22" s="105">
        <v>-28.2</v>
      </c>
      <c r="N22" s="121" t="s">
        <v>133</v>
      </c>
      <c r="O22" s="131">
        <f>IF(P22=0,0,Q22/P22)</f>
        <v>-27.285714285714281</v>
      </c>
      <c r="P22" s="125">
        <v>21</v>
      </c>
      <c r="Q22" s="113">
        <v>-572.99999999999989</v>
      </c>
    </row>
    <row r="23" spans="1:17" x14ac:dyDescent="0.4">
      <c r="A23" s="96" t="s">
        <v>158</v>
      </c>
      <c r="B23" s="144">
        <v>5</v>
      </c>
      <c r="C23" s="145"/>
      <c r="E23" s="65" t="s">
        <v>78</v>
      </c>
      <c r="F23" s="62" t="s">
        <v>31</v>
      </c>
      <c r="G23" s="49">
        <v>0</v>
      </c>
      <c r="H23" s="138">
        <f>IF(B$27=0,0,G23/B$27)</f>
        <v>0</v>
      </c>
      <c r="I23" s="100">
        <v>6</v>
      </c>
      <c r="K23" s="40">
        <v>21</v>
      </c>
      <c r="L23" s="105">
        <v>-37.6</v>
      </c>
    </row>
    <row r="24" spans="1:17" x14ac:dyDescent="0.4">
      <c r="A24" s="60" t="s">
        <v>199</v>
      </c>
      <c r="B24" s="142">
        <v>67700</v>
      </c>
      <c r="C24" s="143"/>
      <c r="E24" s="65" t="s">
        <v>79</v>
      </c>
      <c r="F24" s="62" t="s">
        <v>32</v>
      </c>
      <c r="G24" s="49">
        <v>0</v>
      </c>
      <c r="H24" s="138">
        <f>IF(B$27=0,0,G24/B$27)</f>
        <v>0</v>
      </c>
      <c r="I24" s="100">
        <v>6</v>
      </c>
      <c r="K24" s="40">
        <v>22</v>
      </c>
      <c r="L24" s="105">
        <v>-23.5</v>
      </c>
    </row>
    <row r="25" spans="1:17" x14ac:dyDescent="0.4">
      <c r="A25" s="59" t="s">
        <v>159</v>
      </c>
      <c r="B25" s="67">
        <v>1</v>
      </c>
      <c r="C25" s="44">
        <f>IF(B$3=0,0,B25/B$3)</f>
        <v>4.2016806722689074E-3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</v>
      </c>
    </row>
    <row r="26" spans="1:17" x14ac:dyDescent="0.4">
      <c r="A26" s="56" t="s">
        <v>126</v>
      </c>
      <c r="B26" s="148">
        <v>238</v>
      </c>
      <c r="C26" s="149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-45.8</v>
      </c>
    </row>
    <row r="27" spans="1:17" x14ac:dyDescent="0.4">
      <c r="A27" s="59" t="s">
        <v>127</v>
      </c>
      <c r="B27" s="150">
        <v>50</v>
      </c>
      <c r="C27" s="151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-43.9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-37</v>
      </c>
    </row>
    <row r="29" spans="1:17" x14ac:dyDescent="0.4">
      <c r="E29" s="65" t="s">
        <v>89</v>
      </c>
      <c r="F29" s="62" t="s">
        <v>42</v>
      </c>
      <c r="G29" s="49">
        <v>0</v>
      </c>
      <c r="H29" s="138">
        <f>IF(B$27=0,0,G29/B$27)</f>
        <v>0</v>
      </c>
      <c r="I29" s="100">
        <v>5</v>
      </c>
      <c r="K29" s="40">
        <v>27</v>
      </c>
      <c r="L29" s="105">
        <v>10.3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-17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32.5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4</v>
      </c>
      <c r="K32" s="40">
        <v>30</v>
      </c>
      <c r="L32" s="105">
        <v>-36.700000000000003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-47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99F61-58D2-4881-82F2-669E17104F0C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2" t="s">
        <v>250</v>
      </c>
      <c r="C1" s="15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M1" s="166">
        <f>_xlfn.STDEV.P(L:L)</f>
        <v>23.519648995869154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8">
        <v>11</v>
      </c>
      <c r="C2" s="149"/>
      <c r="E2" s="64" t="s">
        <v>71</v>
      </c>
      <c r="F2" s="61" t="s">
        <v>25</v>
      </c>
      <c r="G2" s="48">
        <v>16</v>
      </c>
      <c r="H2" s="137">
        <f>IF(B$27=0,0,G2/B$27)</f>
        <v>1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-381.81818181818181</v>
      </c>
      <c r="P2" s="124">
        <v>11</v>
      </c>
      <c r="Q2" s="108">
        <v>-4200</v>
      </c>
    </row>
    <row r="3" spans="1:17" x14ac:dyDescent="0.4">
      <c r="A3" s="57" t="s">
        <v>8</v>
      </c>
      <c r="B3" s="154">
        <v>82</v>
      </c>
      <c r="C3" s="155"/>
      <c r="E3" s="65" t="s">
        <v>76</v>
      </c>
      <c r="F3" s="62" t="s">
        <v>29</v>
      </c>
      <c r="G3" s="49">
        <v>12</v>
      </c>
      <c r="H3" s="138">
        <f>IF(B$27=0,0,G3/B$27)</f>
        <v>0.75</v>
      </c>
      <c r="I3" s="100">
        <v>2</v>
      </c>
      <c r="K3" s="40">
        <v>1</v>
      </c>
      <c r="L3" s="105">
        <v>4</v>
      </c>
      <c r="N3" s="121" t="s">
        <v>148</v>
      </c>
      <c r="O3" s="128">
        <f t="shared" si="0"/>
        <v>-3318.181818181818</v>
      </c>
      <c r="P3" s="125">
        <v>11</v>
      </c>
      <c r="Q3" s="109">
        <v>-36500</v>
      </c>
    </row>
    <row r="4" spans="1:17" x14ac:dyDescent="0.4">
      <c r="A4" s="57" t="s">
        <v>6</v>
      </c>
      <c r="B4" s="156">
        <v>-143.6</v>
      </c>
      <c r="C4" s="157"/>
      <c r="E4" s="65" t="s">
        <v>69</v>
      </c>
      <c r="F4" s="62" t="s">
        <v>23</v>
      </c>
      <c r="G4" s="49">
        <v>11</v>
      </c>
      <c r="H4" s="138">
        <f>IF(B$27=0,0,G4/B$27)</f>
        <v>0.6875</v>
      </c>
      <c r="I4" s="100">
        <v>8</v>
      </c>
      <c r="K4" s="40">
        <v>2</v>
      </c>
      <c r="L4" s="105">
        <v>-0.3</v>
      </c>
      <c r="N4" s="121" t="s">
        <v>149</v>
      </c>
      <c r="O4" s="128">
        <f t="shared" si="0"/>
        <v>-8363.636363636364</v>
      </c>
      <c r="P4" s="125">
        <v>11</v>
      </c>
      <c r="Q4" s="109">
        <v>-92000</v>
      </c>
    </row>
    <row r="5" spans="1:17" x14ac:dyDescent="0.4">
      <c r="A5" s="57" t="s">
        <v>7</v>
      </c>
      <c r="B5" s="158">
        <f>IF(B$2=0,0,B$4/B$2)</f>
        <v>-13.054545454545455</v>
      </c>
      <c r="C5" s="159"/>
      <c r="E5" s="65" t="s">
        <v>67</v>
      </c>
      <c r="F5" s="62" t="s">
        <v>21</v>
      </c>
      <c r="G5" s="49">
        <v>5</v>
      </c>
      <c r="H5" s="138">
        <f>IF(B$27=0,0,G5/B$27)</f>
        <v>0.3125</v>
      </c>
      <c r="I5" s="100">
        <v>12</v>
      </c>
      <c r="K5" s="40">
        <v>3</v>
      </c>
      <c r="L5" s="105">
        <v>24.1</v>
      </c>
      <c r="N5" s="121" t="s">
        <v>150</v>
      </c>
      <c r="O5" s="128">
        <f t="shared" si="0"/>
        <v>662.5</v>
      </c>
      <c r="P5" s="125">
        <v>8</v>
      </c>
      <c r="Q5" s="109">
        <v>5300</v>
      </c>
    </row>
    <row r="6" spans="1:17" x14ac:dyDescent="0.4">
      <c r="A6" s="57" t="s">
        <v>1</v>
      </c>
      <c r="B6" s="146">
        <f>IF(B$2=0,0,(B$7*1+B$8*2+B$9*3)/B$2)</f>
        <v>2.3636363636363638</v>
      </c>
      <c r="C6" s="147"/>
      <c r="E6" s="65" t="s">
        <v>70</v>
      </c>
      <c r="F6" s="62" t="s">
        <v>24</v>
      </c>
      <c r="G6" s="49">
        <v>3</v>
      </c>
      <c r="H6" s="138">
        <f>IF(B$27=0,0,G6/B$27)</f>
        <v>0.1875</v>
      </c>
      <c r="I6" s="100">
        <v>11</v>
      </c>
      <c r="K6" s="40">
        <v>4</v>
      </c>
      <c r="L6" s="105">
        <v>24.5</v>
      </c>
      <c r="N6" s="121" t="s">
        <v>151</v>
      </c>
      <c r="O6" s="128">
        <f t="shared" si="0"/>
        <v>-1985.7142857142858</v>
      </c>
      <c r="P6" s="125">
        <v>7</v>
      </c>
      <c r="Q6" s="109">
        <v>-13900</v>
      </c>
    </row>
    <row r="7" spans="1:17" x14ac:dyDescent="0.4">
      <c r="A7" s="57" t="s">
        <v>2</v>
      </c>
      <c r="B7" s="49">
        <v>2</v>
      </c>
      <c r="C7" s="41">
        <f>IF(B$2=0,0,B7/B$2)</f>
        <v>0.18181818181818182</v>
      </c>
      <c r="E7" s="65" t="s">
        <v>72</v>
      </c>
      <c r="F7" s="62" t="s">
        <v>12</v>
      </c>
      <c r="G7" s="49">
        <v>3</v>
      </c>
      <c r="H7" s="138">
        <f>IF(B$27=0,0,G7/B$27)</f>
        <v>0.1875</v>
      </c>
      <c r="I7" s="100">
        <v>12</v>
      </c>
      <c r="K7" s="40">
        <v>5</v>
      </c>
      <c r="L7" s="105">
        <v>-37.299999999999997</v>
      </c>
      <c r="N7" s="122" t="s">
        <v>152</v>
      </c>
      <c r="O7" s="129">
        <f t="shared" si="0"/>
        <v>-460</v>
      </c>
      <c r="P7" s="126">
        <v>5</v>
      </c>
      <c r="Q7" s="110">
        <v>-2300</v>
      </c>
    </row>
    <row r="8" spans="1:17" x14ac:dyDescent="0.4">
      <c r="A8" s="57" t="s">
        <v>3</v>
      </c>
      <c r="B8" s="49">
        <v>3</v>
      </c>
      <c r="C8" s="41">
        <f>IF(B$2=0,0,B8/B$2)</f>
        <v>0.27272727272727271</v>
      </c>
      <c r="E8" s="65" t="s">
        <v>74</v>
      </c>
      <c r="F8" s="62" t="s">
        <v>27</v>
      </c>
      <c r="G8" s="49">
        <v>3</v>
      </c>
      <c r="H8" s="138">
        <f>IF(B$27=0,0,G8/B$27)</f>
        <v>0.1875</v>
      </c>
      <c r="I8" s="100">
        <v>2</v>
      </c>
      <c r="K8" s="40">
        <v>6</v>
      </c>
      <c r="L8" s="105">
        <v>-35.5</v>
      </c>
      <c r="N8" s="45"/>
      <c r="O8" s="133"/>
      <c r="P8" s="117"/>
      <c r="Q8" s="115"/>
    </row>
    <row r="9" spans="1:17" x14ac:dyDescent="0.4">
      <c r="A9" s="58" t="s">
        <v>4</v>
      </c>
      <c r="B9" s="50">
        <v>6</v>
      </c>
      <c r="C9" s="42">
        <f t="shared" ref="C9" si="1">IF(B$2=0,0,B9/B$2)</f>
        <v>0.54545454545454541</v>
      </c>
      <c r="E9" s="65" t="s">
        <v>94</v>
      </c>
      <c r="F9" s="62" t="s">
        <v>47</v>
      </c>
      <c r="G9" s="49">
        <v>3</v>
      </c>
      <c r="H9" s="138">
        <f>IF(B$27=0,0,G9/B$27)</f>
        <v>0.1875</v>
      </c>
      <c r="I9" s="100">
        <v>2</v>
      </c>
      <c r="K9" s="40">
        <v>7</v>
      </c>
      <c r="L9" s="105">
        <v>-11.3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4</v>
      </c>
      <c r="C10" s="42">
        <f>IF(B$2=0,0,B10/B$2)</f>
        <v>0.36363636363636365</v>
      </c>
      <c r="E10" s="65" t="s">
        <v>88</v>
      </c>
      <c r="F10" s="62" t="s">
        <v>41</v>
      </c>
      <c r="G10" s="49">
        <v>2</v>
      </c>
      <c r="H10" s="138">
        <f>IF(B$27=0,0,G10/B$27)</f>
        <v>0.125</v>
      </c>
      <c r="I10" s="100">
        <v>3</v>
      </c>
      <c r="K10" s="40">
        <v>8</v>
      </c>
      <c r="L10" s="105">
        <v>0.7</v>
      </c>
      <c r="N10" s="120" t="s">
        <v>253</v>
      </c>
      <c r="O10" s="130">
        <f>IF(P10=0,0,Q10/P10)</f>
        <v>-14.612499999999999</v>
      </c>
      <c r="P10" s="124">
        <v>8</v>
      </c>
      <c r="Q10" s="112">
        <v>-116.89999999999999</v>
      </c>
    </row>
    <row r="11" spans="1:17" x14ac:dyDescent="0.4">
      <c r="A11" s="58" t="s">
        <v>155</v>
      </c>
      <c r="B11" s="50">
        <v>1</v>
      </c>
      <c r="C11" s="42">
        <f>IF(B$2=0,0,B11/B$2)</f>
        <v>9.0909090909090912E-2</v>
      </c>
      <c r="E11" s="65" t="s">
        <v>83</v>
      </c>
      <c r="F11" s="62" t="s">
        <v>36</v>
      </c>
      <c r="G11" s="49">
        <v>1</v>
      </c>
      <c r="H11" s="138">
        <f>IF(B$27=0,0,G11/B$27)</f>
        <v>6.25E-2</v>
      </c>
      <c r="I11" s="100">
        <v>2</v>
      </c>
      <c r="K11" s="40">
        <v>9</v>
      </c>
      <c r="L11" s="105">
        <v>-39.5</v>
      </c>
      <c r="N11" s="121" t="s">
        <v>254</v>
      </c>
      <c r="O11" s="131">
        <f>IF(P11=0,0,Q11/P11)</f>
        <v>-7.6999999999999993</v>
      </c>
      <c r="P11" s="125">
        <v>2</v>
      </c>
      <c r="Q11" s="113">
        <v>-15.399999999999999</v>
      </c>
    </row>
    <row r="12" spans="1:17" x14ac:dyDescent="0.4">
      <c r="A12" s="59" t="s">
        <v>239</v>
      </c>
      <c r="B12" s="51">
        <v>1</v>
      </c>
      <c r="C12" s="44">
        <f>IF(B$2=0,0,B12/B$2)</f>
        <v>9.0909090909090912E-2</v>
      </c>
      <c r="E12" s="65" t="s">
        <v>86</v>
      </c>
      <c r="F12" s="62" t="s">
        <v>39</v>
      </c>
      <c r="G12" s="49">
        <v>1</v>
      </c>
      <c r="H12" s="138">
        <f>IF(B$27=0,0,G12/B$27)</f>
        <v>6.25E-2</v>
      </c>
      <c r="I12" s="100">
        <v>1</v>
      </c>
      <c r="K12" s="40">
        <v>10</v>
      </c>
      <c r="L12" s="105">
        <v>-45.3</v>
      </c>
      <c r="N12" s="122" t="s">
        <v>255</v>
      </c>
      <c r="O12" s="132">
        <f>IF(P12=0,0,Q12/P12)</f>
        <v>-11.3</v>
      </c>
      <c r="P12" s="126">
        <v>1</v>
      </c>
      <c r="Q12" s="114">
        <v>-11.3</v>
      </c>
    </row>
    <row r="13" spans="1:17" x14ac:dyDescent="0.4">
      <c r="A13" s="60" t="s">
        <v>128</v>
      </c>
      <c r="B13" s="52">
        <v>12</v>
      </c>
      <c r="C13" s="46">
        <f>IF(B$26=0,0,B13/B$26)</f>
        <v>0.14634146341463414</v>
      </c>
      <c r="E13" s="65" t="s">
        <v>91</v>
      </c>
      <c r="F13" s="62" t="s">
        <v>44</v>
      </c>
      <c r="G13" s="49">
        <v>1</v>
      </c>
      <c r="H13" s="138">
        <f>IF(B$27=0,0,G13/B$27)</f>
        <v>6.25E-2</v>
      </c>
      <c r="I13" s="100">
        <v>8</v>
      </c>
      <c r="K13" s="40">
        <v>11</v>
      </c>
      <c r="L13" s="105">
        <v>-27.7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23</v>
      </c>
      <c r="C14" s="41">
        <f>IF(B$26=0,0,B14/B$26)</f>
        <v>0.28048780487804881</v>
      </c>
      <c r="E14" s="65" t="s">
        <v>68</v>
      </c>
      <c r="F14" s="62" t="s">
        <v>22</v>
      </c>
      <c r="G14" s="49">
        <v>0</v>
      </c>
      <c r="H14" s="138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38">
        <f>IF(B$27=0,0,G15/B$27)</f>
        <v>0</v>
      </c>
      <c r="I15" s="100">
        <v>13</v>
      </c>
      <c r="N15" s="120" t="s">
        <v>157</v>
      </c>
      <c r="O15" s="130">
        <f>IF(P15=0,0,Q15/P15)</f>
        <v>15.200000000000001</v>
      </c>
      <c r="P15" s="124">
        <v>2</v>
      </c>
      <c r="Q15" s="112">
        <v>30.400000000000002</v>
      </c>
    </row>
    <row r="16" spans="1:17" x14ac:dyDescent="0.4">
      <c r="A16" s="56" t="s">
        <v>131</v>
      </c>
      <c r="B16" s="48">
        <v>7</v>
      </c>
      <c r="C16" s="39">
        <f>IF(B$14=0,0,B16/B$14)</f>
        <v>0.30434782608695654</v>
      </c>
      <c r="E16" s="65" t="s">
        <v>75</v>
      </c>
      <c r="F16" s="62" t="s">
        <v>28</v>
      </c>
      <c r="G16" s="49">
        <v>0</v>
      </c>
      <c r="H16" s="138">
        <f>IF(B$27=0,0,G16/B$27)</f>
        <v>0</v>
      </c>
      <c r="I16" s="100">
        <v>12</v>
      </c>
      <c r="N16" s="121" t="s">
        <v>138</v>
      </c>
      <c r="O16" s="131">
        <f>IF(P16=0,0,Q16/P16)</f>
        <v>4.3000000000000007</v>
      </c>
      <c r="P16" s="125">
        <v>4</v>
      </c>
      <c r="Q16" s="113">
        <v>17.200000000000003</v>
      </c>
    </row>
    <row r="17" spans="1:17" x14ac:dyDescent="0.4">
      <c r="A17" s="56" t="s">
        <v>10</v>
      </c>
      <c r="B17" s="48">
        <f>B19+B18</f>
        <v>16</v>
      </c>
      <c r="C17" s="39">
        <f>IF(B$3=0,0,B17/B$3)</f>
        <v>0.1951219512195122</v>
      </c>
      <c r="E17" s="65" t="s">
        <v>77</v>
      </c>
      <c r="F17" s="62" t="s">
        <v>30</v>
      </c>
      <c r="G17" s="49">
        <v>0</v>
      </c>
      <c r="H17" s="138">
        <f>IF(B$27=0,0,G17/B$27)</f>
        <v>0</v>
      </c>
      <c r="I17" s="100">
        <v>7</v>
      </c>
      <c r="N17" s="121" t="s">
        <v>135</v>
      </c>
      <c r="O17" s="131">
        <f>IF(P17=0,0,Q17/P17)</f>
        <v>-9.65</v>
      </c>
      <c r="P17" s="125">
        <v>2</v>
      </c>
      <c r="Q17" s="113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0.4375</v>
      </c>
      <c r="E18" s="65" t="s">
        <v>78</v>
      </c>
      <c r="F18" s="62" t="s">
        <v>31</v>
      </c>
      <c r="G18" s="49">
        <v>0</v>
      </c>
      <c r="H18" s="138">
        <f>IF(B$27=0,0,G18/B$27)</f>
        <v>0</v>
      </c>
      <c r="I18" s="100">
        <v>6</v>
      </c>
      <c r="N18" s="121" t="s">
        <v>139</v>
      </c>
      <c r="O18" s="131">
        <f>IF(P18=0,0,Q18/P18)</f>
        <v>-28.18</v>
      </c>
      <c r="P18" s="125">
        <v>5</v>
      </c>
      <c r="Q18" s="113">
        <v>-140.9</v>
      </c>
    </row>
    <row r="19" spans="1:17" x14ac:dyDescent="0.4">
      <c r="A19" s="57" t="s">
        <v>11</v>
      </c>
      <c r="B19" s="49">
        <v>9</v>
      </c>
      <c r="C19" s="41">
        <f>IF(B$17=0,0,B19/B$17)</f>
        <v>0.5625</v>
      </c>
      <c r="E19" s="65" t="s">
        <v>79</v>
      </c>
      <c r="F19" s="62" t="s">
        <v>32</v>
      </c>
      <c r="G19" s="49">
        <v>0</v>
      </c>
      <c r="H19" s="138">
        <f>IF(B$27=0,0,G19/B$27)</f>
        <v>0</v>
      </c>
      <c r="I19" s="100">
        <v>6</v>
      </c>
      <c r="N19" s="121" t="s">
        <v>133</v>
      </c>
      <c r="O19" s="131">
        <f>IF(P19=0,0,Q19/P19)</f>
        <v>-30.228571428571424</v>
      </c>
      <c r="P19" s="125">
        <v>7</v>
      </c>
      <c r="Q19" s="113">
        <v>-211.59999999999997</v>
      </c>
    </row>
    <row r="20" spans="1:17" x14ac:dyDescent="0.4">
      <c r="A20" s="57" t="s">
        <v>13</v>
      </c>
      <c r="B20" s="49">
        <v>20</v>
      </c>
      <c r="C20" s="41">
        <f>IF(B$3=0,0,B20/B$3)</f>
        <v>0.24390243902439024</v>
      </c>
      <c r="E20" s="65" t="s">
        <v>80</v>
      </c>
      <c r="F20" s="62" t="s">
        <v>33</v>
      </c>
      <c r="G20" s="49">
        <v>0</v>
      </c>
      <c r="H20" s="138">
        <f>IF(B$27=0,0,G20/B$27)</f>
        <v>0</v>
      </c>
      <c r="I20" s="100">
        <v>1</v>
      </c>
      <c r="N20" s="121" t="s">
        <v>134</v>
      </c>
      <c r="O20" s="131">
        <f>IF(P20=0,0,Q20/P20)</f>
        <v>-53.3</v>
      </c>
      <c r="P20" s="125">
        <v>2</v>
      </c>
      <c r="Q20" s="113">
        <v>-106.6</v>
      </c>
    </row>
    <row r="21" spans="1:17" x14ac:dyDescent="0.4">
      <c r="A21" s="57" t="s">
        <v>5</v>
      </c>
      <c r="B21" s="53">
        <f>IF(B$17=0,0,C21/B$17)</f>
        <v>8712.5</v>
      </c>
      <c r="C21" s="43">
        <v>139400</v>
      </c>
      <c r="E21" s="65" t="s">
        <v>81</v>
      </c>
      <c r="F21" s="62" t="s">
        <v>34</v>
      </c>
      <c r="G21" s="49">
        <v>0</v>
      </c>
      <c r="H21" s="138">
        <f>IF(B$27=0,0,G21/B$27)</f>
        <v>0</v>
      </c>
      <c r="I21" s="100">
        <v>7</v>
      </c>
    </row>
    <row r="22" spans="1:17" x14ac:dyDescent="0.4">
      <c r="A22" s="59" t="s">
        <v>14</v>
      </c>
      <c r="B22" s="54">
        <f>IF(B$20=0,0,C22/B$20)</f>
        <v>-9550</v>
      </c>
      <c r="C22" s="47">
        <v>-191000</v>
      </c>
      <c r="E22" s="65" t="s">
        <v>82</v>
      </c>
      <c r="F22" s="62" t="s">
        <v>35</v>
      </c>
      <c r="G22" s="49">
        <v>0</v>
      </c>
      <c r="H22" s="138">
        <f>IF(B$27=0,0,G22/B$27)</f>
        <v>0</v>
      </c>
      <c r="I22" s="100">
        <v>10</v>
      </c>
    </row>
    <row r="23" spans="1:17" x14ac:dyDescent="0.4">
      <c r="A23" s="96" t="s">
        <v>158</v>
      </c>
      <c r="B23" s="144">
        <v>5</v>
      </c>
      <c r="C23" s="145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42">
        <v>59500</v>
      </c>
      <c r="C24" s="143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8">
        <v>82</v>
      </c>
      <c r="C26" s="149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0">
        <v>16</v>
      </c>
      <c r="C27" s="151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09FDC-526C-49C8-B717-639E910BBE76}">
  <sheetPr codeName="Sheet33"/>
  <dimension ref="A1:Q1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0.14285714285714285</v>
      </c>
      <c r="M10" s="69">
        <v>0.17543859649122806</v>
      </c>
      <c r="N10" s="69">
        <v>0.22807017543859648</v>
      </c>
      <c r="O10" s="69">
        <v>0.5</v>
      </c>
      <c r="P10" s="69">
        <v>0.38461538461538464</v>
      </c>
      <c r="Q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0.125</v>
      </c>
      <c r="M11" s="69">
        <v>0.15384615384615385</v>
      </c>
      <c r="N11" s="69">
        <v>0.24615384615384617</v>
      </c>
      <c r="O11" s="69">
        <v>0.5</v>
      </c>
      <c r="P11" s="69">
        <v>0.375</v>
      </c>
      <c r="Q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0.1111111111111111</v>
      </c>
      <c r="M12" s="69">
        <v>0.14492753623188406</v>
      </c>
      <c r="N12" s="69">
        <v>0.2608695652173913</v>
      </c>
      <c r="O12" s="69">
        <v>0.5</v>
      </c>
      <c r="P12" s="69">
        <v>0.33333333333333331</v>
      </c>
      <c r="Q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</v>
      </c>
      <c r="M13" s="69">
        <v>0.13698630136986301</v>
      </c>
      <c r="N13" s="69">
        <v>0.26027397260273971</v>
      </c>
      <c r="O13" s="69">
        <v>0.5</v>
      </c>
      <c r="P13" s="69">
        <v>0.31578947368421051</v>
      </c>
      <c r="Q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9.0909090909090912E-2</v>
      </c>
      <c r="M14" s="69">
        <v>0.14634146341463414</v>
      </c>
      <c r="N14" s="69">
        <v>0.28048780487804881</v>
      </c>
      <c r="O14" s="69">
        <v>0.41666666666666669</v>
      </c>
      <c r="P14" s="69">
        <v>0.30434782608695654</v>
      </c>
      <c r="Q14" s="69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3E347-16F9-4D40-8890-B2A85B091311}">
  <sheetPr codeName="Sheet30"/>
  <dimension ref="A1:Q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3B7D8-3802-45A1-9146-F3C31A7213B3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28BB-2619-4EC1-BBF9-78CAF13A5B0E}">
  <sheetPr codeName="Sheet26"/>
  <dimension ref="A1:Q12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  <row r="114" spans="1:17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9.90990990990991E-2</v>
      </c>
      <c r="M114" s="69">
        <v>0.30461165048543687</v>
      </c>
      <c r="N114" s="69">
        <v>0.20024271844660194</v>
      </c>
      <c r="O114" s="69">
        <v>0.59760956175298807</v>
      </c>
      <c r="P114" s="69">
        <v>0.38181818181818183</v>
      </c>
      <c r="Q114" s="69">
        <v>0.45019920318725098</v>
      </c>
    </row>
    <row r="115" spans="1:17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9.8214285714285712E-2</v>
      </c>
      <c r="M115" s="69">
        <v>0.30361445783132529</v>
      </c>
      <c r="N115" s="69">
        <v>0.19879518072289157</v>
      </c>
      <c r="O115" s="69">
        <v>0.59920634920634919</v>
      </c>
      <c r="P115" s="69">
        <v>0.38181818181818183</v>
      </c>
      <c r="Q115" s="69">
        <v>0.44841269841269843</v>
      </c>
    </row>
    <row r="116" spans="1:17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9.7345132743362831E-2</v>
      </c>
      <c r="M116" s="69">
        <v>0.30357142857142855</v>
      </c>
      <c r="N116" s="69">
        <v>0.19761904761904761</v>
      </c>
      <c r="O116" s="69">
        <v>0.59215686274509804</v>
      </c>
      <c r="P116" s="69">
        <v>0.38554216867469882</v>
      </c>
      <c r="Q116" s="69">
        <v>0.44664031620553357</v>
      </c>
    </row>
    <row r="117" spans="1:17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9.6491228070175433E-2</v>
      </c>
      <c r="M117" s="69">
        <v>0.30424528301886794</v>
      </c>
      <c r="N117" s="69">
        <v>0.19811320754716982</v>
      </c>
      <c r="O117" s="69">
        <v>0.59302325581395354</v>
      </c>
      <c r="P117" s="69">
        <v>0.38095238095238093</v>
      </c>
      <c r="Q117" s="69">
        <v>0.44140625</v>
      </c>
    </row>
    <row r="118" spans="1:17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0.10434782608695652</v>
      </c>
      <c r="M118" s="69">
        <v>0.30516431924882631</v>
      </c>
      <c r="N118" s="69">
        <v>0.19835680751173709</v>
      </c>
      <c r="O118" s="69">
        <v>0.59615384615384615</v>
      </c>
      <c r="P118" s="69">
        <v>0.38461538461538464</v>
      </c>
      <c r="Q118" s="69">
        <v>0.43629343629343631</v>
      </c>
    </row>
    <row r="119" spans="1:17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0.10344827586206896</v>
      </c>
      <c r="M119" s="69">
        <v>0.30490654205607476</v>
      </c>
      <c r="N119" s="69">
        <v>0.19859813084112149</v>
      </c>
      <c r="O119" s="69">
        <v>0.5938697318007663</v>
      </c>
      <c r="P119" s="69">
        <v>0.38235294117647056</v>
      </c>
      <c r="Q119" s="69">
        <v>0.43846153846153846</v>
      </c>
    </row>
    <row r="120" spans="1:17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0.10256410256410256</v>
      </c>
      <c r="M120" s="69">
        <v>0.30289017341040464</v>
      </c>
      <c r="N120" s="69">
        <v>0.19768786127167631</v>
      </c>
      <c r="O120" s="69">
        <v>0.59160305343511455</v>
      </c>
      <c r="P120" s="69">
        <v>0.38596491228070173</v>
      </c>
      <c r="Q120" s="69">
        <v>0.43893129770992367</v>
      </c>
    </row>
    <row r="121" spans="1:17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0.10169491525423729</v>
      </c>
      <c r="M121" s="69">
        <v>0.30136986301369861</v>
      </c>
      <c r="N121" s="69">
        <v>0.19634703196347031</v>
      </c>
      <c r="O121" s="69">
        <v>0.59090909090909094</v>
      </c>
      <c r="P121" s="69">
        <v>0.38372093023255816</v>
      </c>
      <c r="Q121" s="69">
        <v>0.44106463878326996</v>
      </c>
    </row>
    <row r="122" spans="1:17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0.10084033613445378</v>
      </c>
      <c r="M122" s="69">
        <v>0.30203619909502261</v>
      </c>
      <c r="N122" s="69">
        <v>0.19570135746606335</v>
      </c>
      <c r="O122" s="69">
        <v>0.58801498127340823</v>
      </c>
      <c r="P122" s="69">
        <v>0.38728323699421963</v>
      </c>
      <c r="Q122" s="69">
        <v>0.44150943396226416</v>
      </c>
    </row>
    <row r="123" spans="1:17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0.1</v>
      </c>
      <c r="M123" s="69">
        <v>0.29944134078212292</v>
      </c>
      <c r="N123" s="69">
        <v>0.19441340782122904</v>
      </c>
      <c r="O123" s="69">
        <v>0.58582089552238803</v>
      </c>
      <c r="P123" s="69">
        <v>0.39080459770114945</v>
      </c>
      <c r="Q123" s="69">
        <v>0.43984962406015038</v>
      </c>
    </row>
    <row r="124" spans="1:17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9.9173553719008267E-2</v>
      </c>
      <c r="M124" s="69">
        <v>0.29822616407982261</v>
      </c>
      <c r="N124" s="69">
        <v>0.19401330376940132</v>
      </c>
      <c r="O124" s="69">
        <v>0.58736059479553904</v>
      </c>
      <c r="P124" s="69">
        <v>0.38857142857142857</v>
      </c>
      <c r="Q124" s="69">
        <v>0.43820224719101125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C2283-9116-4F73-A88D-CC7A3F995B77}">
  <sheetPr codeName="Sheet24"/>
  <dimension ref="A1:Q3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A39D-9FFB-4ED4-9DCE-A6ED50ADEC14}">
  <sheetPr codeName="Sheet22"/>
  <dimension ref="A1:Q1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  <row r="111" spans="1:17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0.10185185185185185</v>
      </c>
      <c r="M111" s="69">
        <v>0.30903790087463556</v>
      </c>
      <c r="N111" s="69">
        <v>0.21865889212827988</v>
      </c>
      <c r="O111" s="69">
        <v>0.55660377358490565</v>
      </c>
      <c r="P111" s="69">
        <v>0.38</v>
      </c>
      <c r="Q111" s="69">
        <v>0.44897959183673469</v>
      </c>
    </row>
    <row r="112" spans="1:17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0.10091743119266056</v>
      </c>
      <c r="M112" s="69">
        <v>0.3069164265129683</v>
      </c>
      <c r="N112" s="69">
        <v>0.21757925072046108</v>
      </c>
      <c r="O112" s="69">
        <v>0.5539906103286385</v>
      </c>
      <c r="P112" s="69">
        <v>0.37748344370860926</v>
      </c>
      <c r="Q112" s="69">
        <v>0.44939271255060731</v>
      </c>
    </row>
    <row r="113" spans="1:17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0.1</v>
      </c>
      <c r="M113" s="69">
        <v>0.30539772727272729</v>
      </c>
      <c r="N113" s="69">
        <v>0.21875</v>
      </c>
      <c r="O113" s="69">
        <v>0.55813953488372092</v>
      </c>
      <c r="P113" s="69">
        <v>0.38311688311688313</v>
      </c>
      <c r="Q113" s="69">
        <v>0.45019920318725098</v>
      </c>
    </row>
    <row r="114" spans="1:17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9.90990990990991E-2</v>
      </c>
      <c r="M114" s="69">
        <v>0.3061797752808989</v>
      </c>
      <c r="N114" s="69">
        <v>0.21629213483146068</v>
      </c>
      <c r="O114" s="69">
        <v>0.55504587155963303</v>
      </c>
      <c r="P114" s="69">
        <v>0.38311688311688313</v>
      </c>
      <c r="Q114" s="69">
        <v>0.44841269841269843</v>
      </c>
    </row>
    <row r="115" spans="1:17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9.8214285714285712E-2</v>
      </c>
      <c r="M115" s="69">
        <v>0.30651872399445212</v>
      </c>
      <c r="N115" s="69">
        <v>0.21359223300970873</v>
      </c>
      <c r="O115" s="69">
        <v>0.56108597285067874</v>
      </c>
      <c r="P115" s="69">
        <v>0.38311688311688313</v>
      </c>
      <c r="Q115" s="69">
        <v>0.44313725490196076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EDE26-8113-41CD-B016-B2306E968F84}">
  <sheetPr codeName="Sheet20"/>
  <dimension ref="A1:Q7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  <row r="71" spans="1:17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5.8823529411764705E-2</v>
      </c>
      <c r="M71" s="69">
        <v>0.27034883720930231</v>
      </c>
      <c r="N71" s="69">
        <v>0.26744186046511625</v>
      </c>
      <c r="O71" s="69">
        <v>0.4838709677419355</v>
      </c>
      <c r="P71" s="69">
        <v>0.38043478260869568</v>
      </c>
      <c r="Q71" s="69">
        <v>0.45</v>
      </c>
    </row>
    <row r="72" spans="1:17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5.7971014492753624E-2</v>
      </c>
      <c r="M72" s="69">
        <v>0.26704545454545453</v>
      </c>
      <c r="N72" s="69">
        <v>0.26988636363636365</v>
      </c>
      <c r="O72" s="69">
        <v>0.47872340425531917</v>
      </c>
      <c r="P72" s="69">
        <v>0.36842105263157893</v>
      </c>
      <c r="Q72" s="69">
        <v>0.45390070921985815</v>
      </c>
    </row>
    <row r="73" spans="1:17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5.7142857142857141E-2</v>
      </c>
      <c r="M73" s="69">
        <v>0.26721763085399447</v>
      </c>
      <c r="N73" s="69">
        <v>0.27548209366391185</v>
      </c>
      <c r="O73" s="69">
        <v>0.4845360824742268</v>
      </c>
      <c r="P73" s="69">
        <v>0.36</v>
      </c>
      <c r="Q73" s="69">
        <v>0.45833333333333331</v>
      </c>
    </row>
    <row r="74" spans="1:17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5.6338028169014086E-2</v>
      </c>
      <c r="M74" s="69">
        <v>0.27027027027027029</v>
      </c>
      <c r="N74" s="69">
        <v>0.27567567567567569</v>
      </c>
      <c r="O74" s="69">
        <v>0.49</v>
      </c>
      <c r="P74" s="69">
        <v>0.36274509803921567</v>
      </c>
      <c r="Q74" s="69">
        <v>0.46938775510204084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FD0CB-5979-479C-BE88-206C61D3432C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09910-5F5D-417D-A80B-3428E0ABE038}">
  <sheetPr codeName="Sheet16"/>
  <dimension ref="A1:Q6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61C74-4717-4133-80D3-B7B211FEE733}">
  <sheetPr codeName="Sheet14"/>
  <dimension ref="A1:Q13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  <row r="131" spans="1:17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7.8125E-2</v>
      </c>
      <c r="M131" s="69">
        <v>0.29958960328317374</v>
      </c>
      <c r="N131" s="69">
        <v>0.16963064295485636</v>
      </c>
      <c r="O131" s="69">
        <v>0.57534246575342463</v>
      </c>
      <c r="P131" s="69">
        <v>0.41129032258064518</v>
      </c>
      <c r="Q131" s="69">
        <v>0.43461538461538463</v>
      </c>
    </row>
    <row r="132" spans="1:17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7.7519379844961239E-2</v>
      </c>
      <c r="M132" s="69">
        <v>0.29905277401894453</v>
      </c>
      <c r="N132" s="69">
        <v>0.17050067658998647</v>
      </c>
      <c r="O132" s="69">
        <v>0.57466063348416285</v>
      </c>
      <c r="P132" s="69">
        <v>0.40476190476190477</v>
      </c>
      <c r="Q132" s="69">
        <v>0.43893129770992367</v>
      </c>
    </row>
    <row r="133" spans="1:17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7.6923076923076927E-2</v>
      </c>
      <c r="M133" s="69">
        <v>0.29773030707610149</v>
      </c>
      <c r="N133" s="69">
        <v>0.17489986648865152</v>
      </c>
      <c r="O133" s="69">
        <v>0.57399103139013452</v>
      </c>
      <c r="P133" s="69">
        <v>0.39694656488549618</v>
      </c>
      <c r="Q133" s="69">
        <v>0.43560606060606061</v>
      </c>
    </row>
    <row r="134" spans="1:17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7.6335877862595422E-2</v>
      </c>
      <c r="M134" s="69">
        <v>0.29590488771466317</v>
      </c>
      <c r="N134" s="69">
        <v>0.17701453104359313</v>
      </c>
      <c r="O134" s="69">
        <v>0.5758928571428571</v>
      </c>
      <c r="P134" s="69">
        <v>0.38805970149253732</v>
      </c>
      <c r="Q134" s="69">
        <v>0.43609022556390975</v>
      </c>
    </row>
    <row r="135" spans="1:17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7.575757575757576E-2</v>
      </c>
      <c r="M135" s="69">
        <v>0.29765013054830286</v>
      </c>
      <c r="N135" s="69">
        <v>0.17754569190600522</v>
      </c>
      <c r="O135" s="69">
        <v>0.57894736842105265</v>
      </c>
      <c r="P135" s="69">
        <v>0.38235294117647056</v>
      </c>
      <c r="Q135" s="69">
        <v>0.44237918215613381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B606-69E8-4844-974B-3E0F77947E5C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94E7-E485-42BF-868D-B3AEF710D688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25CEA-404E-40BE-A66E-2EDCE81BD601}">
  <sheetPr codeName="Sheet8"/>
  <dimension ref="A1:Q23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  <row r="224" spans="1:17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9.9547511312217188E-2</v>
      </c>
      <c r="M224" s="69">
        <v>0.30024813895781638</v>
      </c>
      <c r="N224" s="69">
        <v>0.20926385442514475</v>
      </c>
      <c r="O224" s="69">
        <v>0.64187327823691465</v>
      </c>
      <c r="P224" s="69">
        <v>0.48616600790513836</v>
      </c>
      <c r="Q224" s="69">
        <v>0.37989778534923341</v>
      </c>
    </row>
    <row r="225" spans="1:17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0.1036036036036036</v>
      </c>
      <c r="M225" s="69">
        <v>0.3012345679012346</v>
      </c>
      <c r="N225" s="69">
        <v>0.20823045267489712</v>
      </c>
      <c r="O225" s="69">
        <v>0.63661202185792354</v>
      </c>
      <c r="P225" s="69">
        <v>0.48616600790513836</v>
      </c>
      <c r="Q225" s="69">
        <v>0.38030560271646857</v>
      </c>
    </row>
    <row r="226" spans="1:17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0.1031390134529148</v>
      </c>
      <c r="M226" s="69">
        <v>0.30089942763695832</v>
      </c>
      <c r="N226" s="69">
        <v>0.20932134096484056</v>
      </c>
      <c r="O226" s="69">
        <v>0.63586956521739135</v>
      </c>
      <c r="P226" s="69">
        <v>0.484375</v>
      </c>
      <c r="Q226" s="69">
        <v>0.38175675675675674</v>
      </c>
    </row>
    <row r="227" spans="1:17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0.10267857142857142</v>
      </c>
      <c r="M227" s="69">
        <v>0.30251419302514193</v>
      </c>
      <c r="N227" s="69">
        <v>0.20843471208434713</v>
      </c>
      <c r="O227" s="69">
        <v>0.63270777479892759</v>
      </c>
      <c r="P227" s="69">
        <v>0.48249027237354086</v>
      </c>
      <c r="Q227" s="69">
        <v>0.38047138047138046</v>
      </c>
    </row>
    <row r="228" spans="1:17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0.10222222222222223</v>
      </c>
      <c r="M228" s="69">
        <v>0.30539887187751813</v>
      </c>
      <c r="N228" s="69">
        <v>0.20709105560032232</v>
      </c>
      <c r="O228" s="69">
        <v>0.63324538258575203</v>
      </c>
      <c r="P228" s="69">
        <v>0.48249027237354086</v>
      </c>
      <c r="Q228" s="69">
        <v>0.37959866220735788</v>
      </c>
    </row>
    <row r="229" spans="1:17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0.10176991150442478</v>
      </c>
      <c r="M229" s="69">
        <v>0.30615507593924862</v>
      </c>
      <c r="N229" s="69">
        <v>0.20623501199040767</v>
      </c>
      <c r="O229" s="69">
        <v>0.63446475195822449</v>
      </c>
      <c r="P229" s="69">
        <v>0.48449612403100772</v>
      </c>
      <c r="Q229" s="69">
        <v>0.37707641196013292</v>
      </c>
    </row>
    <row r="230" spans="1:17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0.10572687224669604</v>
      </c>
      <c r="M230" s="69">
        <v>0.3057982525814138</v>
      </c>
      <c r="N230" s="69">
        <v>0.20651310563939634</v>
      </c>
      <c r="O230" s="69">
        <v>0.63116883116883116</v>
      </c>
      <c r="P230" s="69">
        <v>0.48846153846153845</v>
      </c>
      <c r="Q230" s="69">
        <v>0.3768595041322314</v>
      </c>
    </row>
    <row r="231" spans="1:17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0.10526315789473684</v>
      </c>
      <c r="M231" s="69">
        <v>0.30562153602533648</v>
      </c>
      <c r="N231" s="69">
        <v>0.20665083135391923</v>
      </c>
      <c r="O231" s="69">
        <v>0.63212435233160624</v>
      </c>
      <c r="P231" s="69">
        <v>0.48659003831417624</v>
      </c>
      <c r="Q231" s="69">
        <v>0.37788778877887791</v>
      </c>
    </row>
    <row r="232" spans="1:17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0.10480349344978165</v>
      </c>
      <c r="M232" s="69">
        <v>0.30544593528018943</v>
      </c>
      <c r="N232" s="69">
        <v>0.20678768745067089</v>
      </c>
      <c r="O232" s="69">
        <v>0.63307493540051685</v>
      </c>
      <c r="P232" s="69">
        <v>0.48854961832061067</v>
      </c>
      <c r="Q232" s="69">
        <v>0.3760262725779967</v>
      </c>
    </row>
    <row r="233" spans="1:17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0.10434782608695652</v>
      </c>
      <c r="M233" s="69">
        <v>0.30721003134796238</v>
      </c>
      <c r="N233" s="69">
        <v>0.2061128526645768</v>
      </c>
      <c r="O233" s="69">
        <v>0.63775510204081631</v>
      </c>
      <c r="P233" s="69">
        <v>0.49049429657794674</v>
      </c>
      <c r="Q233" s="69">
        <v>0.37560975609756098</v>
      </c>
    </row>
    <row r="234" spans="1:17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0.1038961038961039</v>
      </c>
      <c r="M234" s="69">
        <v>0.30817120622568095</v>
      </c>
      <c r="N234" s="69">
        <v>0.20544747081712061</v>
      </c>
      <c r="O234" s="69">
        <v>0.63636363636363635</v>
      </c>
      <c r="P234" s="69">
        <v>0.48863636363636365</v>
      </c>
      <c r="Q234" s="69">
        <v>0.37439222042139386</v>
      </c>
    </row>
    <row r="235" spans="1:17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0.10344827586206896</v>
      </c>
      <c r="M235" s="69">
        <v>0.30709876543209874</v>
      </c>
      <c r="N235" s="69">
        <v>0.20601851851851852</v>
      </c>
      <c r="O235" s="69">
        <v>0.63819095477386933</v>
      </c>
      <c r="P235" s="69">
        <v>0.48689138576779029</v>
      </c>
      <c r="Q235" s="69">
        <v>0.37419354838709679</v>
      </c>
    </row>
    <row r="236" spans="1:17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0.10300429184549356</v>
      </c>
      <c r="M236" s="69">
        <v>0.30598159509202455</v>
      </c>
      <c r="N236" s="69">
        <v>0.20628834355828221</v>
      </c>
      <c r="O236" s="69">
        <v>0.63909774436090228</v>
      </c>
      <c r="P236" s="69">
        <v>0.48698884758364314</v>
      </c>
      <c r="Q236" s="69">
        <v>0.3756019261637239</v>
      </c>
    </row>
    <row r="237" spans="1:17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0.10256410256410256</v>
      </c>
      <c r="M237" s="69">
        <v>0.30418250950570341</v>
      </c>
      <c r="N237" s="69">
        <v>0.20608365019011407</v>
      </c>
      <c r="O237" s="69">
        <v>0.63749999999999996</v>
      </c>
      <c r="P237" s="69">
        <v>0.4907749077490775</v>
      </c>
      <c r="Q237" s="69">
        <v>0.37480063795853269</v>
      </c>
    </row>
    <row r="238" spans="1:17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0.10212765957446808</v>
      </c>
      <c r="M238" s="69">
        <v>0.30484114977307109</v>
      </c>
      <c r="N238" s="69">
        <v>0.20499243570347958</v>
      </c>
      <c r="O238" s="69">
        <v>0.63771712158808935</v>
      </c>
      <c r="P238" s="69">
        <v>0.4907749077490775</v>
      </c>
      <c r="Q238" s="69">
        <v>0.37519872813990462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21AAD-7B4D-41F5-8E50-392F3F040DCA}">
  <sheetPr codeName="Sheet6"/>
  <dimension ref="A1:Q27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  <row r="264" spans="1:17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8.4291187739463605E-2</v>
      </c>
      <c r="M264" s="69">
        <v>0.28866886688668869</v>
      </c>
      <c r="N264" s="69">
        <v>0.22046204620462045</v>
      </c>
      <c r="O264" s="69">
        <v>0.58307926829268297</v>
      </c>
      <c r="P264" s="69">
        <v>0.39920159680638723</v>
      </c>
      <c r="Q264" s="69">
        <v>0.41833333333333333</v>
      </c>
    </row>
    <row r="265" spans="1:17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8.5241730279898217E-2</v>
      </c>
      <c r="M265" s="69">
        <v>0.28928336620644313</v>
      </c>
      <c r="N265" s="69">
        <v>0.21959237343852728</v>
      </c>
      <c r="O265" s="69">
        <v>0.58106060606060606</v>
      </c>
      <c r="P265" s="69">
        <v>0.39920159680638723</v>
      </c>
      <c r="Q265" s="69">
        <v>0.41796008869179602</v>
      </c>
    </row>
    <row r="266" spans="1:17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8.4917617237008872E-2</v>
      </c>
      <c r="M266" s="69">
        <v>0.28885982123392195</v>
      </c>
      <c r="N266" s="69">
        <v>0.21975147155003269</v>
      </c>
      <c r="O266" s="69">
        <v>0.58037735849056604</v>
      </c>
      <c r="P266" s="69">
        <v>0.39781746031746029</v>
      </c>
      <c r="Q266" s="69">
        <v>0.41910546659304254</v>
      </c>
    </row>
    <row r="267" spans="1:17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8.4595959595959599E-2</v>
      </c>
      <c r="M267" s="69">
        <v>0.28893220706086203</v>
      </c>
      <c r="N267" s="69">
        <v>0.22027290448343079</v>
      </c>
      <c r="O267" s="69">
        <v>0.58020989505247378</v>
      </c>
      <c r="P267" s="69">
        <v>0.39724680432645032</v>
      </c>
      <c r="Q267" s="69">
        <v>0.41836173721825176</v>
      </c>
    </row>
    <row r="268" spans="1:17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8.4276729559748423E-2</v>
      </c>
      <c r="M268" s="69">
        <v>0.2895927601809955</v>
      </c>
      <c r="N268" s="69">
        <v>0.21978021978021978</v>
      </c>
      <c r="O268" s="69">
        <v>0.5803571428571429</v>
      </c>
      <c r="P268" s="69">
        <v>0.396078431372549</v>
      </c>
      <c r="Q268" s="69">
        <v>0.41785323110624317</v>
      </c>
    </row>
    <row r="269" spans="1:17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8.3959899749373429E-2</v>
      </c>
      <c r="M269" s="69">
        <v>0.28944551487904091</v>
      </c>
      <c r="N269" s="69">
        <v>0.21922500535217299</v>
      </c>
      <c r="O269" s="69">
        <v>0.57988165680473369</v>
      </c>
      <c r="P269" s="69">
        <v>0.396484375</v>
      </c>
      <c r="Q269" s="69">
        <v>0.41734860883797054</v>
      </c>
    </row>
    <row r="270" spans="1:17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8.4893882646691635E-2</v>
      </c>
      <c r="M270" s="69">
        <v>0.28903088391906284</v>
      </c>
      <c r="N270" s="69">
        <v>0.21959531416400427</v>
      </c>
      <c r="O270" s="69">
        <v>0.57921886514369936</v>
      </c>
      <c r="P270" s="69">
        <v>0.39670223084384093</v>
      </c>
      <c r="Q270" s="69">
        <v>0.41684782608695653</v>
      </c>
    </row>
    <row r="271" spans="1:17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8.5820895522388058E-2</v>
      </c>
      <c r="M271" s="69">
        <v>0.28893137879753561</v>
      </c>
      <c r="N271" s="69">
        <v>0.21988527724665391</v>
      </c>
      <c r="O271" s="69">
        <v>0.58014705882352946</v>
      </c>
      <c r="P271" s="69">
        <v>0.39613526570048307</v>
      </c>
      <c r="Q271" s="69">
        <v>0.41648590021691972</v>
      </c>
    </row>
    <row r="272" spans="1:17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8.5501858736059477E-2</v>
      </c>
      <c r="M272" s="69">
        <v>0.28862047043865224</v>
      </c>
      <c r="N272" s="69">
        <v>0.2199618563254927</v>
      </c>
      <c r="O272" s="69">
        <v>0.58002936857562404</v>
      </c>
      <c r="P272" s="69">
        <v>0.39595375722543352</v>
      </c>
      <c r="Q272" s="69">
        <v>0.41612554112554112</v>
      </c>
    </row>
    <row r="273" spans="1:17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8.5185185185185183E-2</v>
      </c>
      <c r="M273" s="69">
        <v>0.28866413822166037</v>
      </c>
      <c r="N273" s="69">
        <v>0.21997471554993678</v>
      </c>
      <c r="O273" s="69">
        <v>0.58029197080291972</v>
      </c>
      <c r="P273" s="69">
        <v>0.39655172413793105</v>
      </c>
      <c r="Q273" s="69">
        <v>0.41572428648357568</v>
      </c>
    </row>
    <row r="274" spans="1:17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8.4870848708487087E-2</v>
      </c>
      <c r="M274" s="69">
        <v>0.28933584747538238</v>
      </c>
      <c r="N274" s="69">
        <v>0.21935889377749843</v>
      </c>
      <c r="O274" s="69">
        <v>0.58146270818247647</v>
      </c>
      <c r="P274" s="69">
        <v>0.39541547277936961</v>
      </c>
      <c r="Q274" s="69">
        <v>0.41554959785522788</v>
      </c>
    </row>
    <row r="275" spans="1:17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8.455882352941177E-2</v>
      </c>
      <c r="M275" s="69">
        <v>0.28942987931751979</v>
      </c>
      <c r="N275" s="69">
        <v>0.21930919683728672</v>
      </c>
      <c r="O275" s="69">
        <v>0.58159597411933861</v>
      </c>
      <c r="P275" s="69">
        <v>0.39563567362428842</v>
      </c>
      <c r="Q275" s="69">
        <v>0.41568836712913554</v>
      </c>
    </row>
    <row r="276" spans="1:17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8.4249084249084255E-2</v>
      </c>
      <c r="M276" s="69">
        <v>0.28902691511387163</v>
      </c>
      <c r="N276" s="69">
        <v>0.21946169772256729</v>
      </c>
      <c r="O276" s="69">
        <v>0.58094555873925502</v>
      </c>
      <c r="P276" s="69">
        <v>0.39528301886792455</v>
      </c>
      <c r="Q276" s="69">
        <v>0.41648936170212764</v>
      </c>
    </row>
    <row r="277" spans="1:17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8.3941605839416053E-2</v>
      </c>
      <c r="M277" s="69">
        <v>0.28809376927822333</v>
      </c>
      <c r="N277" s="69">
        <v>0.21961752004935226</v>
      </c>
      <c r="O277" s="69">
        <v>0.58029978586723774</v>
      </c>
      <c r="P277" s="69">
        <v>0.3960674157303371</v>
      </c>
      <c r="Q277" s="69">
        <v>0.4163135593220339</v>
      </c>
    </row>
    <row r="278" spans="1:17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8.3636363636363634E-2</v>
      </c>
      <c r="M278" s="69">
        <v>0.28828828828828829</v>
      </c>
      <c r="N278" s="69">
        <v>0.21928746928746928</v>
      </c>
      <c r="O278" s="69">
        <v>0.58096590909090906</v>
      </c>
      <c r="P278" s="69">
        <v>0.39589169000933705</v>
      </c>
      <c r="Q278" s="69">
        <v>0.41710665258711721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2019-02-20T06:28:29Z</dcterms:modified>
</cp:coreProperties>
</file>