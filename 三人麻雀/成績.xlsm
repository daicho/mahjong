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D55D160-C7A3-4F92-B238-CD194FEBBC0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294" r:id="rId6"/>
    <sheet name="だいち" sheetId="4296" r:id="rId7"/>
    <sheet name="かこたろう" sheetId="4298" r:id="rId8"/>
    <sheet name="ともき" sheetId="4300" r:id="rId9"/>
    <sheet name="りくと" sheetId="4302" r:id="rId10"/>
    <sheet name="いっしー" sheetId="4304" r:id="rId11"/>
    <sheet name="がくと" sheetId="4306" r:id="rId12"/>
    <sheet name="たかの" sheetId="4308" r:id="rId13"/>
    <sheet name="ただ" sheetId="4310" r:id="rId14"/>
    <sheet name="やがさき" sheetId="4312" r:id="rId15"/>
    <sheet name="れんたろう" sheetId="4314" r:id="rId16"/>
    <sheet name="あさひ" sheetId="4316" r:id="rId17"/>
    <sheet name="まっつん" sheetId="4318" r:id="rId18"/>
    <sheet name="ぱぱ" sheetId="4320" r:id="rId19"/>
    <sheet name="ぱぱ2" sheetId="4321" state="hidden" r:id="rId20"/>
    <sheet name="まっつん2" sheetId="4319" state="hidden" r:id="rId21"/>
    <sheet name="あさひ2" sheetId="4317" state="hidden" r:id="rId22"/>
    <sheet name="れんたろう2" sheetId="4315" state="hidden" r:id="rId23"/>
    <sheet name="やがさき2" sheetId="4313" state="hidden" r:id="rId24"/>
    <sheet name="ただ2" sheetId="4311" state="hidden" r:id="rId25"/>
    <sheet name="たかの2" sheetId="4309" state="hidden" r:id="rId26"/>
    <sheet name="がくと2" sheetId="4307" state="hidden" r:id="rId27"/>
    <sheet name="いっしー2" sheetId="4305" state="hidden" r:id="rId28"/>
    <sheet name="りくと2" sheetId="4303" state="hidden" r:id="rId29"/>
    <sheet name="ともき2" sheetId="4301" state="hidden" r:id="rId30"/>
    <sheet name="かこたろう2" sheetId="4299" state="hidden" r:id="rId31"/>
    <sheet name="だいち2" sheetId="4297" state="hidden" r:id="rId32"/>
    <sheet name="全体2" sheetId="429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10" l="1"/>
  <c r="O20" i="4320"/>
  <c r="O15" i="4314" l="1"/>
  <c r="O19" i="4320"/>
  <c r="O15" i="4302" l="1"/>
  <c r="O21" i="4320"/>
  <c r="O18" i="4312" l="1"/>
  <c r="O18" i="4320"/>
  <c r="O16" i="4320"/>
  <c r="O18" i="4296"/>
  <c r="O22" i="4304"/>
  <c r="O17" i="4304"/>
  <c r="O15" i="4320"/>
  <c r="O17" i="4320"/>
  <c r="H51" i="4320"/>
  <c r="H50" i="4320"/>
  <c r="H49" i="4320"/>
  <c r="H48" i="4320"/>
  <c r="H47" i="4320"/>
  <c r="H46" i="4320"/>
  <c r="H45" i="4320"/>
  <c r="H44" i="4320"/>
  <c r="H43" i="4320"/>
  <c r="H42" i="4320"/>
  <c r="H41" i="4320"/>
  <c r="H40" i="4320"/>
  <c r="H39" i="4320"/>
  <c r="H38" i="4320"/>
  <c r="H37" i="4320"/>
  <c r="H36" i="4320"/>
  <c r="H35" i="4320"/>
  <c r="H34" i="4320"/>
  <c r="H33" i="4320"/>
  <c r="H32" i="4320"/>
  <c r="H31" i="4320"/>
  <c r="H30" i="4320"/>
  <c r="H9" i="4320"/>
  <c r="H29" i="4320"/>
  <c r="H28" i="4320"/>
  <c r="H13" i="4320"/>
  <c r="H27" i="4320"/>
  <c r="C25" i="4320"/>
  <c r="H26" i="4320"/>
  <c r="H10" i="4320"/>
  <c r="H25" i="4320"/>
  <c r="B22" i="4320"/>
  <c r="H12" i="4320"/>
  <c r="H24" i="4320"/>
  <c r="C20" i="4320"/>
  <c r="H23" i="4320"/>
  <c r="H11" i="4320"/>
  <c r="H22" i="4320"/>
  <c r="B17" i="4320"/>
  <c r="B21" i="4320" s="1"/>
  <c r="H21" i="4320"/>
  <c r="C16" i="4320"/>
  <c r="H20" i="4320"/>
  <c r="C15" i="4320"/>
  <c r="H19" i="4320"/>
  <c r="C14" i="4320"/>
  <c r="H18" i="4320"/>
  <c r="C13" i="4320"/>
  <c r="O12" i="4320"/>
  <c r="H17" i="4320"/>
  <c r="C12" i="4320"/>
  <c r="O11" i="4320"/>
  <c r="H3" i="4320"/>
  <c r="C11" i="4320"/>
  <c r="O10" i="4320"/>
  <c r="H16" i="4320"/>
  <c r="C10" i="4320"/>
  <c r="H8" i="4320"/>
  <c r="C9" i="4320"/>
  <c r="H15" i="4320"/>
  <c r="C8" i="4320"/>
  <c r="O7" i="4320"/>
  <c r="H7" i="4320"/>
  <c r="C7" i="4320"/>
  <c r="O6" i="4320"/>
  <c r="H2" i="4320"/>
  <c r="B6" i="4320"/>
  <c r="O5" i="4320"/>
  <c r="H6" i="4320"/>
  <c r="B5" i="4320"/>
  <c r="O4" i="4320"/>
  <c r="H4" i="4320"/>
  <c r="O3" i="4320"/>
  <c r="H14" i="4320"/>
  <c r="O2" i="4320"/>
  <c r="H5" i="4320"/>
  <c r="O21" i="4318"/>
  <c r="O19" i="4318"/>
  <c r="O17" i="4294"/>
  <c r="C18" i="4320" l="1"/>
  <c r="C17" i="4320"/>
  <c r="C19" i="4320"/>
  <c r="O15" i="4304" l="1"/>
  <c r="O21" i="4312"/>
  <c r="O20" i="4312"/>
  <c r="O17" i="4314"/>
  <c r="O19" i="4302" l="1"/>
  <c r="O16" i="4312"/>
  <c r="O19" i="4310"/>
  <c r="O17" i="4312"/>
  <c r="O21" i="4302" l="1"/>
  <c r="O16" i="4318"/>
  <c r="O22" i="4318" l="1"/>
  <c r="O17" i="4296"/>
  <c r="O22" i="4310" l="1"/>
  <c r="O17" i="4316"/>
  <c r="O15" i="4306"/>
  <c r="O16" i="4306"/>
  <c r="O18" i="4314"/>
  <c r="O25" i="4314"/>
  <c r="O15" i="4318"/>
  <c r="O17" i="4318"/>
  <c r="O21" i="4304"/>
  <c r="O18" i="4308"/>
  <c r="O20" i="4318" l="1"/>
  <c r="O18" i="4318"/>
  <c r="H51" i="4318"/>
  <c r="H50" i="4318"/>
  <c r="H49" i="4318"/>
  <c r="H48" i="4318"/>
  <c r="H47" i="4318"/>
  <c r="H46" i="4318"/>
  <c r="H45" i="4318"/>
  <c r="H44" i="4318"/>
  <c r="H43" i="4318"/>
  <c r="H42" i="4318"/>
  <c r="H41" i="4318"/>
  <c r="H40" i="4318"/>
  <c r="H39" i="4318"/>
  <c r="H38" i="4318"/>
  <c r="H37" i="4318"/>
  <c r="H36" i="4318"/>
  <c r="H35" i="4318"/>
  <c r="H34" i="4318"/>
  <c r="H33" i="4318"/>
  <c r="H21" i="4318"/>
  <c r="H20" i="4318"/>
  <c r="H32" i="4318"/>
  <c r="H8" i="4318"/>
  <c r="H31" i="4318"/>
  <c r="H30" i="4318"/>
  <c r="H12" i="4318"/>
  <c r="H19" i="4318"/>
  <c r="C25" i="4318"/>
  <c r="H29" i="4318"/>
  <c r="H7" i="4318"/>
  <c r="H28" i="4318"/>
  <c r="B22" i="4318"/>
  <c r="H17" i="4318"/>
  <c r="H27" i="4318"/>
  <c r="C20" i="4318"/>
  <c r="H26" i="4318"/>
  <c r="H16" i="4318"/>
  <c r="H13" i="4318"/>
  <c r="B17" i="4318"/>
  <c r="B21" i="4318" s="1"/>
  <c r="H18" i="4318"/>
  <c r="C16" i="4318"/>
  <c r="H25" i="4318"/>
  <c r="C15" i="4318"/>
  <c r="H24" i="4318"/>
  <c r="C14" i="4318"/>
  <c r="H23" i="4318"/>
  <c r="C13" i="4318"/>
  <c r="O12" i="4318"/>
  <c r="H22" i="4318"/>
  <c r="C12" i="4318"/>
  <c r="O11" i="4318"/>
  <c r="H3" i="4318"/>
  <c r="C11" i="4318"/>
  <c r="O10" i="4318"/>
  <c r="H15" i="4318"/>
  <c r="C10" i="4318"/>
  <c r="H10" i="4318"/>
  <c r="C9" i="4318"/>
  <c r="H14" i="4318"/>
  <c r="C8" i="4318"/>
  <c r="O7" i="4318"/>
  <c r="H6" i="4318"/>
  <c r="C7" i="4318"/>
  <c r="O6" i="4318"/>
  <c r="H2" i="4318"/>
  <c r="B6" i="4318"/>
  <c r="O5" i="4318"/>
  <c r="H9" i="4318"/>
  <c r="B5" i="4318"/>
  <c r="O4" i="4318"/>
  <c r="H4" i="4318"/>
  <c r="O3" i="4318"/>
  <c r="H11" i="4318"/>
  <c r="O2" i="4318"/>
  <c r="H5" i="4318"/>
  <c r="O15" i="4308"/>
  <c r="O17" i="4310"/>
  <c r="O18" i="4294"/>
  <c r="O24" i="4304"/>
  <c r="O18" i="4306"/>
  <c r="O18" i="4316"/>
  <c r="O15" i="4316"/>
  <c r="C18" i="4318" l="1"/>
  <c r="C17" i="4318"/>
  <c r="C19" i="4318"/>
  <c r="O21" i="4314" l="1"/>
  <c r="O16" i="4302"/>
  <c r="O16" i="4300"/>
  <c r="O18" i="4300"/>
  <c r="O16" i="4314"/>
  <c r="O24" i="4302"/>
  <c r="O27" i="4294"/>
  <c r="O19" i="4316"/>
  <c r="O16" i="4316"/>
  <c r="H51" i="4316"/>
  <c r="H50" i="4316"/>
  <c r="H49" i="4316"/>
  <c r="H48" i="4316"/>
  <c r="H47" i="4316"/>
  <c r="H46" i="4316"/>
  <c r="H45" i="4316"/>
  <c r="H44" i="4316"/>
  <c r="H43" i="4316"/>
  <c r="H42" i="4316"/>
  <c r="H41" i="4316"/>
  <c r="H40" i="4316"/>
  <c r="H39" i="4316"/>
  <c r="H38" i="4316"/>
  <c r="H37" i="4316"/>
  <c r="H36" i="4316"/>
  <c r="H35" i="4316"/>
  <c r="H34" i="4316"/>
  <c r="H33" i="4316"/>
  <c r="H32" i="4316"/>
  <c r="H14" i="4316"/>
  <c r="H31" i="4316"/>
  <c r="H12" i="4316"/>
  <c r="H30" i="4316"/>
  <c r="H29" i="4316"/>
  <c r="H11" i="4316"/>
  <c r="H28" i="4316"/>
  <c r="C25" i="4316"/>
  <c r="H27" i="4316"/>
  <c r="H26" i="4316"/>
  <c r="H25" i="4316"/>
  <c r="B22" i="4316"/>
  <c r="H24" i="4316"/>
  <c r="H23" i="4316"/>
  <c r="C20" i="4316"/>
  <c r="H22" i="4316"/>
  <c r="H21" i="4316"/>
  <c r="C18" i="4316"/>
  <c r="H20" i="4316"/>
  <c r="B17" i="4316"/>
  <c r="B21" i="4316" s="1"/>
  <c r="H19" i="4316"/>
  <c r="C16" i="4316"/>
  <c r="H18" i="4316"/>
  <c r="C15" i="4316"/>
  <c r="H17" i="4316"/>
  <c r="C14" i="4316"/>
  <c r="H16" i="4316"/>
  <c r="C13" i="4316"/>
  <c r="O12" i="4316"/>
  <c r="H15" i="4316"/>
  <c r="C12" i="4316"/>
  <c r="O11" i="4316"/>
  <c r="H5" i="4316"/>
  <c r="C11" i="4316"/>
  <c r="O10" i="4316"/>
  <c r="H13" i="4316"/>
  <c r="C10" i="4316"/>
  <c r="H8" i="4316"/>
  <c r="C9" i="4316"/>
  <c r="H10" i="4316"/>
  <c r="C8" i="4316"/>
  <c r="O7" i="4316"/>
  <c r="H7" i="4316"/>
  <c r="C7" i="4316"/>
  <c r="O6" i="4316"/>
  <c r="H4" i="4316"/>
  <c r="B6" i="4316"/>
  <c r="O5" i="4316"/>
  <c r="H6" i="4316"/>
  <c r="B5" i="4316"/>
  <c r="O4" i="4316"/>
  <c r="H3" i="4316"/>
  <c r="O3" i="4316"/>
  <c r="H9" i="4316"/>
  <c r="O2" i="4316"/>
  <c r="H2" i="4316"/>
  <c r="C17" i="4316" l="1"/>
  <c r="C19" i="4316"/>
  <c r="O16" i="4308" l="1"/>
  <c r="O22" i="4314"/>
  <c r="O17" i="4302"/>
  <c r="O20" i="4308"/>
  <c r="O23" i="4310" l="1"/>
  <c r="O20" i="4304"/>
  <c r="O18" i="4310" l="1"/>
  <c r="O24" i="4314"/>
  <c r="O25" i="4304" l="1"/>
  <c r="O19" i="4314"/>
  <c r="O18" i="4302" l="1"/>
  <c r="O23" i="4314"/>
  <c r="O20" i="4314"/>
  <c r="H51" i="4314"/>
  <c r="H50" i="4314"/>
  <c r="H49" i="4314"/>
  <c r="H48" i="4314"/>
  <c r="H47" i="4314"/>
  <c r="H46" i="4314"/>
  <c r="H45" i="4314"/>
  <c r="H44" i="4314"/>
  <c r="H43" i="4314"/>
  <c r="H42" i="4314"/>
  <c r="H41" i="4314"/>
  <c r="H40" i="4314"/>
  <c r="H39" i="4314"/>
  <c r="H38" i="4314"/>
  <c r="H37" i="4314"/>
  <c r="H36" i="4314"/>
  <c r="H35" i="4314"/>
  <c r="H34" i="4314"/>
  <c r="H21" i="4314"/>
  <c r="H27" i="4314"/>
  <c r="H17" i="4314"/>
  <c r="H26" i="4314"/>
  <c r="H9" i="4314"/>
  <c r="H33" i="4314"/>
  <c r="H32" i="4314"/>
  <c r="H12" i="4314"/>
  <c r="H25" i="4314"/>
  <c r="C25" i="4314"/>
  <c r="H24" i="4314"/>
  <c r="H14" i="4314"/>
  <c r="H31" i="4314"/>
  <c r="B22" i="4314"/>
  <c r="H16" i="4314"/>
  <c r="H30" i="4314"/>
  <c r="C20" i="4314"/>
  <c r="H29" i="4314"/>
  <c r="H20" i="4314"/>
  <c r="H13" i="4314"/>
  <c r="B17" i="4314"/>
  <c r="B21" i="4314" s="1"/>
  <c r="H23" i="4314"/>
  <c r="C16" i="4314"/>
  <c r="H28" i="4314"/>
  <c r="C15" i="4314"/>
  <c r="H19" i="4314"/>
  <c r="C14" i="4314"/>
  <c r="H22" i="4314"/>
  <c r="C13" i="4314"/>
  <c r="O12" i="4314"/>
  <c r="H18" i="4314"/>
  <c r="C12" i="4314"/>
  <c r="O11" i="4314"/>
  <c r="H5" i="4314"/>
  <c r="C11" i="4314"/>
  <c r="O10" i="4314"/>
  <c r="H15" i="4314"/>
  <c r="C10" i="4314"/>
  <c r="H10" i="4314"/>
  <c r="C9" i="4314"/>
  <c r="H8" i="4314"/>
  <c r="C8" i="4314"/>
  <c r="O7" i="4314"/>
  <c r="H7" i="4314"/>
  <c r="C7" i="4314"/>
  <c r="O6" i="4314"/>
  <c r="H2" i="4314"/>
  <c r="B6" i="4314"/>
  <c r="O5" i="4314"/>
  <c r="H6" i="4314"/>
  <c r="B5" i="4314"/>
  <c r="O4" i="4314"/>
  <c r="H3" i="4314"/>
  <c r="O3" i="4314"/>
  <c r="H11" i="4314"/>
  <c r="O2" i="4314"/>
  <c r="H4" i="4314"/>
  <c r="O20" i="4296"/>
  <c r="O20" i="4294"/>
  <c r="C18" i="4314" l="1"/>
  <c r="C17" i="4314"/>
  <c r="C19" i="4314"/>
  <c r="O23" i="4302" l="1"/>
  <c r="O16" i="4310"/>
  <c r="O15" i="4312" l="1"/>
  <c r="O19" i="4312"/>
  <c r="H51" i="4312"/>
  <c r="H50" i="4312"/>
  <c r="H49" i="4312"/>
  <c r="H48" i="4312"/>
  <c r="H47" i="4312"/>
  <c r="H46" i="4312"/>
  <c r="H45" i="4312"/>
  <c r="H44" i="4312"/>
  <c r="H43" i="4312"/>
  <c r="H42" i="4312"/>
  <c r="H41" i="4312"/>
  <c r="H40" i="4312"/>
  <c r="H39" i="4312"/>
  <c r="H38" i="4312"/>
  <c r="H37" i="4312"/>
  <c r="H36" i="4312"/>
  <c r="H35" i="4312"/>
  <c r="H34" i="4312"/>
  <c r="H33" i="4312"/>
  <c r="H19" i="4312"/>
  <c r="H18" i="4312"/>
  <c r="H32" i="4312"/>
  <c r="H9" i="4312"/>
  <c r="H31" i="4312"/>
  <c r="H30" i="4312"/>
  <c r="H17" i="4312"/>
  <c r="H29" i="4312"/>
  <c r="C25" i="4312"/>
  <c r="H28" i="4312"/>
  <c r="H16" i="4312"/>
  <c r="H27" i="4312"/>
  <c r="B22" i="4312"/>
  <c r="H26" i="4312"/>
  <c r="H25" i="4312"/>
  <c r="C20" i="4312"/>
  <c r="H24" i="4312"/>
  <c r="H15" i="4312"/>
  <c r="C18" i="4312"/>
  <c r="H13" i="4312"/>
  <c r="B17" i="4312"/>
  <c r="B21" i="4312" s="1"/>
  <c r="H23" i="4312"/>
  <c r="C16" i="4312"/>
  <c r="H22" i="4312"/>
  <c r="C15" i="4312"/>
  <c r="H21" i="4312"/>
  <c r="C14" i="4312"/>
  <c r="H20" i="4312"/>
  <c r="C13" i="4312"/>
  <c r="O12" i="4312"/>
  <c r="H14" i="4312"/>
  <c r="C12" i="4312"/>
  <c r="O11" i="4312"/>
  <c r="H6" i="4312"/>
  <c r="C11" i="4312"/>
  <c r="O10" i="4312"/>
  <c r="H12" i="4312"/>
  <c r="C10" i="4312"/>
  <c r="H11" i="4312"/>
  <c r="C9" i="4312"/>
  <c r="H10" i="4312"/>
  <c r="C8" i="4312"/>
  <c r="O7" i="4312"/>
  <c r="H7" i="4312"/>
  <c r="C7" i="4312"/>
  <c r="O6" i="4312"/>
  <c r="H2" i="4312"/>
  <c r="B6" i="4312"/>
  <c r="O5" i="4312"/>
  <c r="H4" i="4312"/>
  <c r="B5" i="4312"/>
  <c r="O4" i="4312"/>
  <c r="H5" i="4312"/>
  <c r="O3" i="4312"/>
  <c r="H8" i="4312"/>
  <c r="O2" i="4312"/>
  <c r="H3" i="4312"/>
  <c r="O21" i="4308"/>
  <c r="O22" i="4296"/>
  <c r="O23" i="4294"/>
  <c r="C19" i="4312" l="1"/>
  <c r="C17" i="4312"/>
  <c r="O16" i="4304" l="1"/>
  <c r="O15" i="4298"/>
  <c r="O20" i="4310" l="1"/>
  <c r="O21" i="4310"/>
  <c r="H51" i="4310"/>
  <c r="H50" i="4310"/>
  <c r="H49" i="4310"/>
  <c r="H48" i="4310"/>
  <c r="H47" i="4310"/>
  <c r="H46" i="4310"/>
  <c r="H45" i="4310"/>
  <c r="H44" i="4310"/>
  <c r="H43" i="4310"/>
  <c r="H42" i="4310"/>
  <c r="H41" i="4310"/>
  <c r="H40" i="4310"/>
  <c r="H39" i="4310"/>
  <c r="H38" i="4310"/>
  <c r="H37" i="4310"/>
  <c r="H36" i="4310"/>
  <c r="H35" i="4310"/>
  <c r="H34" i="4310"/>
  <c r="H21" i="4310"/>
  <c r="H33" i="4310"/>
  <c r="H17" i="4310"/>
  <c r="H32" i="4310"/>
  <c r="H9" i="4310"/>
  <c r="H31" i="4310"/>
  <c r="H30" i="4310"/>
  <c r="H14" i="4310"/>
  <c r="H29" i="4310"/>
  <c r="C25" i="4310"/>
  <c r="H24" i="4310"/>
  <c r="H16" i="4310"/>
  <c r="H28" i="4310"/>
  <c r="B22" i="4310"/>
  <c r="H15" i="4310"/>
  <c r="H27" i="4310"/>
  <c r="C20" i="4310"/>
  <c r="H26" i="4310"/>
  <c r="H20" i="4310"/>
  <c r="H13" i="4310"/>
  <c r="B17" i="4310"/>
  <c r="B21" i="4310" s="1"/>
  <c r="H19" i="4310"/>
  <c r="C16" i="4310"/>
  <c r="H25" i="4310"/>
  <c r="C15" i="4310"/>
  <c r="H23" i="4310"/>
  <c r="C14" i="4310"/>
  <c r="H22" i="4310"/>
  <c r="C13" i="4310"/>
  <c r="O12" i="4310"/>
  <c r="H18" i="4310"/>
  <c r="C12" i="4310"/>
  <c r="O11" i="4310"/>
  <c r="H4" i="4310"/>
  <c r="C11" i="4310"/>
  <c r="O10" i="4310"/>
  <c r="H12" i="4310"/>
  <c r="C10" i="4310"/>
  <c r="H11" i="4310"/>
  <c r="C9" i="4310"/>
  <c r="H8" i="4310"/>
  <c r="C8" i="4310"/>
  <c r="O7" i="4310"/>
  <c r="H7" i="4310"/>
  <c r="C7" i="4310"/>
  <c r="O6" i="4310"/>
  <c r="H2" i="4310"/>
  <c r="B6" i="4310"/>
  <c r="O5" i="4310"/>
  <c r="H6" i="4310"/>
  <c r="B5" i="4310"/>
  <c r="O4" i="4310"/>
  <c r="H3" i="4310"/>
  <c r="O3" i="4310"/>
  <c r="H10" i="4310"/>
  <c r="O2" i="4310"/>
  <c r="H5" i="4310"/>
  <c r="O19" i="4308"/>
  <c r="O17" i="4308"/>
  <c r="H51" i="4308"/>
  <c r="H50" i="4308"/>
  <c r="H49" i="4308"/>
  <c r="H48" i="4308"/>
  <c r="H47" i="4308"/>
  <c r="H46" i="4308"/>
  <c r="H45" i="4308"/>
  <c r="H44" i="4308"/>
  <c r="H43" i="4308"/>
  <c r="H42" i="4308"/>
  <c r="H41" i="4308"/>
  <c r="H40" i="4308"/>
  <c r="H39" i="4308"/>
  <c r="H38" i="4308"/>
  <c r="H37" i="4308"/>
  <c r="H36" i="4308"/>
  <c r="H35" i="4308"/>
  <c r="H34" i="4308"/>
  <c r="H33" i="4308"/>
  <c r="H32" i="4308"/>
  <c r="H31" i="4308"/>
  <c r="H30" i="4308"/>
  <c r="H11" i="4308"/>
  <c r="H29" i="4308"/>
  <c r="H28" i="4308"/>
  <c r="H14" i="4308"/>
  <c r="H27" i="4308"/>
  <c r="C25" i="4308"/>
  <c r="H26" i="4308"/>
  <c r="H17" i="4308"/>
  <c r="H25" i="4308"/>
  <c r="B22" i="4308"/>
  <c r="H16" i="4308"/>
  <c r="H24" i="4308"/>
  <c r="C20" i="4308"/>
  <c r="H23" i="4308"/>
  <c r="H15" i="4308"/>
  <c r="H13" i="4308"/>
  <c r="B17" i="4308"/>
  <c r="B21" i="4308" s="1"/>
  <c r="H19" i="4308"/>
  <c r="C16" i="4308"/>
  <c r="H22" i="4308"/>
  <c r="C15" i="4308"/>
  <c r="H18" i="4308"/>
  <c r="C14" i="4308"/>
  <c r="H21" i="4308"/>
  <c r="C13" i="4308"/>
  <c r="O12" i="4308"/>
  <c r="H20" i="4308"/>
  <c r="C12" i="4308"/>
  <c r="O11" i="4308"/>
  <c r="H4" i="4308"/>
  <c r="C11" i="4308"/>
  <c r="O10" i="4308"/>
  <c r="H12" i="4308"/>
  <c r="C10" i="4308"/>
  <c r="H10" i="4308"/>
  <c r="C9" i="4308"/>
  <c r="H9" i="4308"/>
  <c r="C8" i="4308"/>
  <c r="O7" i="4308"/>
  <c r="H6" i="4308"/>
  <c r="C7" i="4308"/>
  <c r="O6" i="4308"/>
  <c r="H2" i="4308"/>
  <c r="B6" i="4308"/>
  <c r="O5" i="4308"/>
  <c r="H8" i="4308"/>
  <c r="B5" i="4308"/>
  <c r="O4" i="4308"/>
  <c r="H3" i="4308"/>
  <c r="O3" i="4308"/>
  <c r="H7" i="4308"/>
  <c r="O2" i="4308"/>
  <c r="H5" i="4308"/>
  <c r="O24" i="4296"/>
  <c r="O19" i="4296"/>
  <c r="O24" i="4294"/>
  <c r="O19" i="4294"/>
  <c r="C18" i="4310" l="1"/>
  <c r="C19" i="4310"/>
  <c r="C17" i="4310"/>
  <c r="C18" i="4308"/>
  <c r="C17" i="4308"/>
  <c r="C19" i="4308"/>
  <c r="O18" i="4304" l="1"/>
  <c r="O19" i="4306"/>
  <c r="O17" i="4306"/>
  <c r="H51" i="4306"/>
  <c r="H50" i="4306"/>
  <c r="H49" i="4306"/>
  <c r="H48" i="4306"/>
  <c r="H47" i="4306"/>
  <c r="H46" i="4306"/>
  <c r="H45" i="4306"/>
  <c r="H44" i="4306"/>
  <c r="H43" i="4306"/>
  <c r="H42" i="4306"/>
  <c r="H41" i="4306"/>
  <c r="H40" i="4306"/>
  <c r="H39" i="4306"/>
  <c r="H38" i="4306"/>
  <c r="H37" i="4306"/>
  <c r="H36" i="4306"/>
  <c r="H35" i="4306"/>
  <c r="H34" i="4306"/>
  <c r="H33" i="4306"/>
  <c r="H32" i="4306"/>
  <c r="H31" i="4306"/>
  <c r="H30" i="4306"/>
  <c r="H29" i="4306"/>
  <c r="H28" i="4306"/>
  <c r="H27" i="4306"/>
  <c r="H11" i="4306"/>
  <c r="H26" i="4306"/>
  <c r="C25" i="4306"/>
  <c r="H25" i="4306"/>
  <c r="H24" i="4306"/>
  <c r="H23" i="4306"/>
  <c r="B22" i="4306"/>
  <c r="H22" i="4306"/>
  <c r="H21" i="4306"/>
  <c r="C20" i="4306"/>
  <c r="H20" i="4306"/>
  <c r="H8" i="4306"/>
  <c r="H19" i="4306"/>
  <c r="B17" i="4306"/>
  <c r="B21" i="4306" s="1"/>
  <c r="H18" i="4306"/>
  <c r="C16" i="4306"/>
  <c r="H17" i="4306"/>
  <c r="C15" i="4306"/>
  <c r="H16" i="4306"/>
  <c r="C14" i="4306"/>
  <c r="H15" i="4306"/>
  <c r="C13" i="4306"/>
  <c r="O12" i="4306"/>
  <c r="H14" i="4306"/>
  <c r="C12" i="4306"/>
  <c r="O11" i="4306"/>
  <c r="H5" i="4306"/>
  <c r="C11" i="4306"/>
  <c r="O10" i="4306"/>
  <c r="H13" i="4306"/>
  <c r="C10" i="4306"/>
  <c r="H12" i="4306"/>
  <c r="C9" i="4306"/>
  <c r="H10" i="4306"/>
  <c r="C8" i="4306"/>
  <c r="O7" i="4306"/>
  <c r="H6" i="4306"/>
  <c r="C7" i="4306"/>
  <c r="O6" i="4306"/>
  <c r="H3" i="4306"/>
  <c r="B6" i="4306"/>
  <c r="O5" i="4306"/>
  <c r="H7" i="4306"/>
  <c r="B5" i="4306"/>
  <c r="O4" i="4306"/>
  <c r="H9" i="4306"/>
  <c r="O3" i="4306"/>
  <c r="H4" i="4306"/>
  <c r="O2" i="4306"/>
  <c r="H2" i="4306"/>
  <c r="O15" i="4296"/>
  <c r="O16" i="4294"/>
  <c r="C17" i="4306" l="1"/>
  <c r="C18" i="4306"/>
  <c r="C19" i="4306"/>
  <c r="O19" i="4304" l="1"/>
  <c r="O23" i="4304"/>
  <c r="H51" i="4304"/>
  <c r="H50" i="4304"/>
  <c r="H49" i="4304"/>
  <c r="H48" i="4304"/>
  <c r="H47" i="4304"/>
  <c r="H46" i="4304"/>
  <c r="H45" i="4304"/>
  <c r="H44" i="4304"/>
  <c r="H43" i="4304"/>
  <c r="H42" i="4304"/>
  <c r="H41" i="4304"/>
  <c r="H40" i="4304"/>
  <c r="H39" i="4304"/>
  <c r="H38" i="4304"/>
  <c r="H37" i="4304"/>
  <c r="H36" i="4304"/>
  <c r="H35" i="4304"/>
  <c r="H34" i="4304"/>
  <c r="H18" i="4304"/>
  <c r="H33" i="4304"/>
  <c r="H15" i="4304"/>
  <c r="H32" i="4304"/>
  <c r="H10" i="4304"/>
  <c r="H31" i="4304"/>
  <c r="H30" i="4304"/>
  <c r="H14" i="4304"/>
  <c r="H29" i="4304"/>
  <c r="C25" i="4304"/>
  <c r="H28" i="4304"/>
  <c r="H8" i="4304"/>
  <c r="H27" i="4304"/>
  <c r="B22" i="4304"/>
  <c r="H13" i="4304"/>
  <c r="H26" i="4304"/>
  <c r="C20" i="4304"/>
  <c r="H25" i="4304"/>
  <c r="H24" i="4304"/>
  <c r="H17" i="4304"/>
  <c r="B17" i="4304"/>
  <c r="B21" i="4304" s="1"/>
  <c r="H23" i="4304"/>
  <c r="C16" i="4304"/>
  <c r="H22" i="4304"/>
  <c r="C15" i="4304"/>
  <c r="H21" i="4304"/>
  <c r="C14" i="4304"/>
  <c r="H20" i="4304"/>
  <c r="C13" i="4304"/>
  <c r="O12" i="4304"/>
  <c r="H19" i="4304"/>
  <c r="C12" i="4304"/>
  <c r="O11" i="4304"/>
  <c r="H4" i="4304"/>
  <c r="C11" i="4304"/>
  <c r="O10" i="4304"/>
  <c r="H16" i="4304"/>
  <c r="C10" i="4304"/>
  <c r="H12" i="4304"/>
  <c r="C9" i="4304"/>
  <c r="H9" i="4304"/>
  <c r="C8" i="4304"/>
  <c r="O7" i="4304"/>
  <c r="H6" i="4304"/>
  <c r="C7" i="4304"/>
  <c r="O6" i="4304"/>
  <c r="H2" i="4304"/>
  <c r="B6" i="4304"/>
  <c r="O5" i="4304"/>
  <c r="H7" i="4304"/>
  <c r="B5" i="4304"/>
  <c r="O4" i="4304"/>
  <c r="H3" i="4304"/>
  <c r="O3" i="4304"/>
  <c r="H11" i="4304"/>
  <c r="O2" i="4304"/>
  <c r="H5" i="4304"/>
  <c r="O20" i="4302"/>
  <c r="O22" i="4302"/>
  <c r="H51" i="4302"/>
  <c r="H50" i="4302"/>
  <c r="H49" i="4302"/>
  <c r="H48" i="4302"/>
  <c r="H47" i="4302"/>
  <c r="H46" i="4302"/>
  <c r="H45" i="4302"/>
  <c r="H44" i="4302"/>
  <c r="H43" i="4302"/>
  <c r="H42" i="4302"/>
  <c r="H41" i="4302"/>
  <c r="H40" i="4302"/>
  <c r="H39" i="4302"/>
  <c r="H38" i="4302"/>
  <c r="H37" i="4302"/>
  <c r="H36" i="4302"/>
  <c r="H35" i="4302"/>
  <c r="H34" i="4302"/>
  <c r="H33" i="4302"/>
  <c r="H21" i="4302"/>
  <c r="H16" i="4302"/>
  <c r="H32" i="4302"/>
  <c r="H8" i="4302"/>
  <c r="H26" i="4302"/>
  <c r="H25" i="4302"/>
  <c r="H12" i="4302"/>
  <c r="H20" i="4302"/>
  <c r="C25" i="4302"/>
  <c r="H19" i="4302"/>
  <c r="H13" i="4302"/>
  <c r="H31" i="4302"/>
  <c r="B22" i="4302"/>
  <c r="H14" i="4302"/>
  <c r="H24" i="4302"/>
  <c r="C20" i="4302"/>
  <c r="H30" i="4302"/>
  <c r="H18" i="4302"/>
  <c r="H17" i="4302"/>
  <c r="B17" i="4302"/>
  <c r="B21" i="4302" s="1"/>
  <c r="H29" i="4302"/>
  <c r="C16" i="4302"/>
  <c r="H28" i="4302"/>
  <c r="C15" i="4302"/>
  <c r="H27" i="4302"/>
  <c r="C14" i="4302"/>
  <c r="H23" i="4302"/>
  <c r="C13" i="4302"/>
  <c r="O12" i="4302"/>
  <c r="H22" i="4302"/>
  <c r="C12" i="4302"/>
  <c r="O11" i="4302"/>
  <c r="H5" i="4302"/>
  <c r="C11" i="4302"/>
  <c r="O10" i="4302"/>
  <c r="H15" i="4302"/>
  <c r="C10" i="4302"/>
  <c r="H11" i="4302"/>
  <c r="C9" i="4302"/>
  <c r="H9" i="4302"/>
  <c r="C8" i="4302"/>
  <c r="O7" i="4302"/>
  <c r="H6" i="4302"/>
  <c r="C7" i="4302"/>
  <c r="O6" i="4302"/>
  <c r="H2" i="4302"/>
  <c r="B6" i="4302"/>
  <c r="O5" i="4302"/>
  <c r="H7" i="4302"/>
  <c r="B5" i="4302"/>
  <c r="O4" i="4302"/>
  <c r="H3" i="4302"/>
  <c r="O3" i="4302"/>
  <c r="H10" i="4302"/>
  <c r="O2" i="4302"/>
  <c r="H4" i="4302"/>
  <c r="O25" i="4296"/>
  <c r="O21" i="4296"/>
  <c r="O25" i="4294"/>
  <c r="O22" i="4294"/>
  <c r="C18" i="4304" l="1"/>
  <c r="C17" i="4304"/>
  <c r="C19" i="4304"/>
  <c r="C18" i="4302"/>
  <c r="C17" i="4302"/>
  <c r="C19" i="4302"/>
  <c r="O15" i="4300" l="1"/>
  <c r="O17" i="4300"/>
  <c r="H51" i="4300"/>
  <c r="H50" i="4300"/>
  <c r="H49" i="4300"/>
  <c r="H48" i="4300"/>
  <c r="H47" i="4300"/>
  <c r="H46" i="4300"/>
  <c r="H45" i="4300"/>
  <c r="H44" i="4300"/>
  <c r="H43" i="4300"/>
  <c r="H42" i="4300"/>
  <c r="H41" i="4300"/>
  <c r="H40" i="4300"/>
  <c r="H39" i="4300"/>
  <c r="H38" i="4300"/>
  <c r="H37" i="4300"/>
  <c r="H36" i="4300"/>
  <c r="H35" i="4300"/>
  <c r="H34" i="4300"/>
  <c r="H33" i="4300"/>
  <c r="H32" i="4300"/>
  <c r="H31" i="4300"/>
  <c r="H30" i="4300"/>
  <c r="H7" i="4300"/>
  <c r="H29" i="4300"/>
  <c r="H28" i="4300"/>
  <c r="H12" i="4300"/>
  <c r="H27" i="4300"/>
  <c r="C25" i="4300"/>
  <c r="H26" i="4300"/>
  <c r="H11" i="4300"/>
  <c r="H25" i="4300"/>
  <c r="B22" i="4300"/>
  <c r="H24" i="4300"/>
  <c r="H23" i="4300"/>
  <c r="C20" i="4300"/>
  <c r="H22" i="4300"/>
  <c r="H21" i="4300"/>
  <c r="H20" i="4300"/>
  <c r="B17" i="4300"/>
  <c r="C19" i="4300" s="1"/>
  <c r="H19" i="4300"/>
  <c r="C16" i="4300"/>
  <c r="H18" i="4300"/>
  <c r="C15" i="4300"/>
  <c r="H17" i="4300"/>
  <c r="C14" i="4300"/>
  <c r="H16" i="4300"/>
  <c r="C13" i="4300"/>
  <c r="O12" i="4300"/>
  <c r="H15" i="4300"/>
  <c r="C12" i="4300"/>
  <c r="O11" i="4300"/>
  <c r="H3" i="4300"/>
  <c r="C11" i="4300"/>
  <c r="O10" i="4300"/>
  <c r="H10" i="4300"/>
  <c r="C10" i="4300"/>
  <c r="H14" i="4300"/>
  <c r="C9" i="4300"/>
  <c r="H9" i="4300"/>
  <c r="C8" i="4300"/>
  <c r="O7" i="4300"/>
  <c r="H8" i="4300"/>
  <c r="C7" i="4300"/>
  <c r="O6" i="4300"/>
  <c r="H6" i="4300"/>
  <c r="B6" i="4300"/>
  <c r="O5" i="4300"/>
  <c r="H5" i="4300"/>
  <c r="B5" i="4300"/>
  <c r="O4" i="4300"/>
  <c r="H2" i="4300"/>
  <c r="O3" i="4300"/>
  <c r="H13" i="4300"/>
  <c r="O2" i="4300"/>
  <c r="H4" i="4300"/>
  <c r="O17" i="4298"/>
  <c r="O16" i="4298"/>
  <c r="H51" i="4298"/>
  <c r="H50" i="4298"/>
  <c r="H49" i="4298"/>
  <c r="H48" i="4298"/>
  <c r="H47" i="4298"/>
  <c r="H46" i="4298"/>
  <c r="H45" i="4298"/>
  <c r="H44" i="4298"/>
  <c r="H43" i="4298"/>
  <c r="H42" i="4298"/>
  <c r="H41" i="4298"/>
  <c r="H40" i="4298"/>
  <c r="H39" i="4298"/>
  <c r="H38" i="4298"/>
  <c r="H37" i="4298"/>
  <c r="H36" i="4298"/>
  <c r="H35" i="4298"/>
  <c r="H34" i="4298"/>
  <c r="H33" i="4298"/>
  <c r="H32" i="4298"/>
  <c r="H31" i="4298"/>
  <c r="H30" i="4298"/>
  <c r="H29" i="4298"/>
  <c r="H28" i="4298"/>
  <c r="H27" i="4298"/>
  <c r="H26" i="4298"/>
  <c r="H25" i="4298"/>
  <c r="C25" i="4298"/>
  <c r="H24" i="4298"/>
  <c r="H23" i="4298"/>
  <c r="H22" i="4298"/>
  <c r="B22" i="4298"/>
  <c r="H21" i="4298"/>
  <c r="H20" i="4298"/>
  <c r="C20" i="4298"/>
  <c r="H19" i="4298"/>
  <c r="H18" i="4298"/>
  <c r="C18" i="4298"/>
  <c r="H17" i="4298"/>
  <c r="B17" i="4298"/>
  <c r="B21" i="4298" s="1"/>
  <c r="H16" i="4298"/>
  <c r="C16" i="4298"/>
  <c r="H15" i="4298"/>
  <c r="C15" i="4298"/>
  <c r="H14" i="4298"/>
  <c r="C14" i="4298"/>
  <c r="H13" i="4298"/>
  <c r="C13" i="4298"/>
  <c r="O12" i="4298"/>
  <c r="H12" i="4298"/>
  <c r="C12" i="4298"/>
  <c r="O11" i="4298"/>
  <c r="H11" i="4298"/>
  <c r="C11" i="4298"/>
  <c r="O10" i="4298"/>
  <c r="H10" i="4298"/>
  <c r="C10" i="4298"/>
  <c r="H9" i="4298"/>
  <c r="C9" i="4298"/>
  <c r="H8" i="4298"/>
  <c r="C8" i="4298"/>
  <c r="O7" i="4298"/>
  <c r="H7" i="4298"/>
  <c r="C7" i="4298"/>
  <c r="O6" i="4298"/>
  <c r="H6" i="4298"/>
  <c r="B6" i="4298"/>
  <c r="O5" i="4298"/>
  <c r="H5" i="4298"/>
  <c r="B5" i="4298"/>
  <c r="O4" i="4298"/>
  <c r="H4" i="4298"/>
  <c r="O3" i="4298"/>
  <c r="H3" i="4298"/>
  <c r="O2" i="4298"/>
  <c r="H2" i="4298"/>
  <c r="O26" i="4294"/>
  <c r="O23" i="4296"/>
  <c r="O16" i="4296"/>
  <c r="H51" i="4296"/>
  <c r="H50" i="4296"/>
  <c r="H49" i="4296"/>
  <c r="H48" i="4296"/>
  <c r="H47" i="4296"/>
  <c r="H29" i="4296"/>
  <c r="H46" i="4296"/>
  <c r="H45" i="4296"/>
  <c r="H44" i="4296"/>
  <c r="H43" i="4296"/>
  <c r="H42" i="4296"/>
  <c r="H41" i="4296"/>
  <c r="H40" i="4296"/>
  <c r="H39" i="4296"/>
  <c r="H38" i="4296"/>
  <c r="H37" i="4296"/>
  <c r="H28" i="4296"/>
  <c r="H36" i="4296"/>
  <c r="H27" i="4296"/>
  <c r="H22" i="4296"/>
  <c r="H16" i="4296"/>
  <c r="H26" i="4296"/>
  <c r="H8" i="4296"/>
  <c r="H35" i="4296"/>
  <c r="H25" i="4296"/>
  <c r="H12" i="4296"/>
  <c r="H24" i="4296"/>
  <c r="C25" i="4296"/>
  <c r="H34" i="4296"/>
  <c r="H14" i="4296"/>
  <c r="H33" i="4296"/>
  <c r="B22" i="4296"/>
  <c r="H15" i="4296"/>
  <c r="H32" i="4296"/>
  <c r="C20" i="4296"/>
  <c r="H31" i="4296"/>
  <c r="H18" i="4296"/>
  <c r="H17" i="4296"/>
  <c r="B17" i="4296"/>
  <c r="B21" i="4296" s="1"/>
  <c r="H20" i="4296"/>
  <c r="C16" i="4296"/>
  <c r="H30" i="4296"/>
  <c r="C15" i="4296"/>
  <c r="H19" i="4296"/>
  <c r="C14" i="4296"/>
  <c r="H23" i="4296"/>
  <c r="C13" i="4296"/>
  <c r="O12" i="4296"/>
  <c r="H21" i="4296"/>
  <c r="C12" i="4296"/>
  <c r="O11" i="4296"/>
  <c r="H5" i="4296"/>
  <c r="C11" i="4296"/>
  <c r="O10" i="4296"/>
  <c r="H13" i="4296"/>
  <c r="C10" i="4296"/>
  <c r="H11" i="4296"/>
  <c r="C9" i="4296"/>
  <c r="H9" i="4296"/>
  <c r="C8" i="4296"/>
  <c r="O7" i="4296"/>
  <c r="H6" i="4296"/>
  <c r="C7" i="4296"/>
  <c r="O6" i="4296"/>
  <c r="H2" i="4296"/>
  <c r="B6" i="4296"/>
  <c r="O5" i="4296"/>
  <c r="H7" i="4296"/>
  <c r="B5" i="4296"/>
  <c r="O4" i="4296"/>
  <c r="H3" i="4296"/>
  <c r="O3" i="4296"/>
  <c r="H10" i="4296"/>
  <c r="O2" i="4296"/>
  <c r="H4" i="4296"/>
  <c r="O21" i="4294"/>
  <c r="O15" i="4294"/>
  <c r="H51" i="4294"/>
  <c r="H50" i="4294"/>
  <c r="H49" i="4294"/>
  <c r="H48" i="4294"/>
  <c r="H47" i="4294"/>
  <c r="H32" i="4294"/>
  <c r="H46" i="4294"/>
  <c r="H45" i="4294"/>
  <c r="H44" i="4294"/>
  <c r="H43" i="4294"/>
  <c r="H42" i="4294"/>
  <c r="H41" i="4294"/>
  <c r="H40" i="4294"/>
  <c r="H39" i="4294"/>
  <c r="H38" i="4294"/>
  <c r="H37" i="4294"/>
  <c r="H31" i="4294"/>
  <c r="H36" i="4294"/>
  <c r="H24" i="4294"/>
  <c r="H22" i="4294"/>
  <c r="H17" i="4294"/>
  <c r="H28" i="4294"/>
  <c r="H8" i="4294"/>
  <c r="H30" i="4294"/>
  <c r="H27" i="4294"/>
  <c r="H12" i="4294"/>
  <c r="H23" i="4294"/>
  <c r="C25" i="4294"/>
  <c r="H26" i="4294"/>
  <c r="H14" i="4294"/>
  <c r="H35" i="4294"/>
  <c r="B22" i="4294"/>
  <c r="H16" i="4294"/>
  <c r="H29" i="4294"/>
  <c r="C20" i="4294"/>
  <c r="H34" i="4294"/>
  <c r="H18" i="4294"/>
  <c r="H15" i="4294"/>
  <c r="B17" i="4294"/>
  <c r="B21" i="4294" s="1"/>
  <c r="H21" i="4294"/>
  <c r="C16" i="4294"/>
  <c r="H33" i="4294"/>
  <c r="C15" i="4294"/>
  <c r="H20" i="4294"/>
  <c r="C14" i="4294"/>
  <c r="H25" i="4294"/>
  <c r="C13" i="4294"/>
  <c r="O12" i="4294"/>
  <c r="H19" i="4294"/>
  <c r="C12" i="4294"/>
  <c r="O11" i="4294"/>
  <c r="H4" i="4294"/>
  <c r="C11" i="4294"/>
  <c r="O10" i="4294"/>
  <c r="H13" i="4294"/>
  <c r="C10" i="4294"/>
  <c r="H11" i="4294"/>
  <c r="C9" i="4294"/>
  <c r="H9" i="4294"/>
  <c r="C8" i="4294"/>
  <c r="O7" i="4294"/>
  <c r="H6" i="4294"/>
  <c r="C7" i="4294"/>
  <c r="O6" i="4294"/>
  <c r="H2" i="4294"/>
  <c r="B6" i="4294"/>
  <c r="O5" i="4294"/>
  <c r="H7" i="4294"/>
  <c r="B5" i="4294"/>
  <c r="O4" i="4294"/>
  <c r="H3" i="4294"/>
  <c r="O3" i="4294"/>
  <c r="H10" i="4294"/>
  <c r="O2" i="4294"/>
  <c r="H5" i="4294"/>
  <c r="C17" i="4298" l="1"/>
  <c r="C19" i="4298"/>
  <c r="C18" i="4296"/>
  <c r="C17" i="4296"/>
  <c r="C18" i="4300"/>
  <c r="C17" i="4300"/>
  <c r="B21" i="4300"/>
  <c r="C19" i="4296"/>
  <c r="C18" i="4294"/>
  <c r="C17" i="4294"/>
  <c r="C19" i="4294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<sst xmlns="http://schemas.openxmlformats.org/spreadsheetml/2006/main" count="3607" uniqueCount="262">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</sst>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全体!$K$2:$K$857</c:f>
              <c:numCache>
                <c:formatCode>General</c:formatCode>
                <c:ptCount val="8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</c:numCache>
            </c:numRef>
          </c:xVal>
          <c:yVal>
            <c:numRef>
              <c:f>全体!$L$2:$L$857</c:f>
              <c:numCache>
                <c:formatCode>\+0.0;\-0.0;\±0</c:formatCode>
                <c:ptCount val="85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7-4001-A2D2-709F27F82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-15.421115065243178</c:v>
                </c:pt>
                <c:pt idx="1">
                  <c:v>-4.9200492004920049</c:v>
                </c:pt>
                <c:pt idx="2">
                  <c:v>7.9051383399209483</c:v>
                </c:pt>
                <c:pt idx="3">
                  <c:v>2.9239766081871346</c:v>
                </c:pt>
                <c:pt idx="4">
                  <c:v>10</c:v>
                </c:pt>
                <c:pt idx="5">
                  <c:v>-6.25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7-4034-A7DB-B258C213B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だいち!$K$2:$K$245</c:f>
              <c:numCache>
                <c:formatCode>General</c:formatCode>
                <c:ptCount val="2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</c:numCache>
            </c:numRef>
          </c:xVal>
          <c:yVal>
            <c:numRef>
              <c:f>だいち!$L$2:$L$245</c:f>
              <c:numCache>
                <c:formatCode>\+0.0;\-0.0;\±0</c:formatCode>
                <c:ptCount val="24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7B-4621-9E6D-B07B3CDE4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1502.0920502092051</c:v>
                </c:pt>
                <c:pt idx="1">
                  <c:v>495.23809523809524</c:v>
                </c:pt>
                <c:pt idx="2">
                  <c:v>1653.953488372093</c:v>
                </c:pt>
                <c:pt idx="3">
                  <c:v>1551.5463917525774</c:v>
                </c:pt>
                <c:pt idx="4">
                  <c:v>1628.8235294117646</c:v>
                </c:pt>
                <c:pt idx="5">
                  <c:v>1715.3284671532847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6-49ED-BF01-DFAA92CFA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1F-4E35-B8B4-7A11A1907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10-4FFF-A67F-9DF18DACC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2C-49BE-B724-8FCE14DA3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9-488B-879C-FE78F7CDF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りくと!$K$2:$K$138</c:f>
              <c:numCache>
                <c:formatCode>General</c:formatCode>
                <c:ptCount val="1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</c:numCache>
            </c:numRef>
          </c:xVal>
          <c:yVal>
            <c:numRef>
              <c:f>りくと!$L$2:$L$138</c:f>
              <c:numCache>
                <c:formatCode>\+0.0;\-0.0;\±0</c:formatCode>
                <c:ptCount val="13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AC-422E-80EA-25CDBBB45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-854.47761194029852</c:v>
                </c:pt>
                <c:pt idx="1">
                  <c:v>-1213.8461538461538</c:v>
                </c:pt>
                <c:pt idx="2">
                  <c:v>1375.2</c:v>
                </c:pt>
                <c:pt idx="3">
                  <c:v>-887.5</c:v>
                </c:pt>
                <c:pt idx="4">
                  <c:v>-1951.0416666666667</c:v>
                </c:pt>
                <c:pt idx="5">
                  <c:v>-1737.3333333333333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D4-4232-9F20-20845627D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いっしー!$L$2:$L$65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67-4A81-AA19-EE173782B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-331.74603174603175</c:v>
                </c:pt>
                <c:pt idx="1">
                  <c:v>2160</c:v>
                </c:pt>
                <c:pt idx="2">
                  <c:v>-1722.8070175438597</c:v>
                </c:pt>
                <c:pt idx="3">
                  <c:v>-566.66666666666663</c:v>
                </c:pt>
                <c:pt idx="4">
                  <c:v>6638.0952380952385</c:v>
                </c:pt>
                <c:pt idx="5">
                  <c:v>-550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04-41A0-B3DB-1AF7EF71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85-47F5-87F2-4725E852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2-4B2E-A1B5-0FC4CCE51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たかの!$L$2:$L$79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D-4052-9C76-FC66F88EA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-1372.7272727272727</c:v>
                </c:pt>
                <c:pt idx="1">
                  <c:v>-3119.178082191781</c:v>
                </c:pt>
                <c:pt idx="2">
                  <c:v>-1273.8461538461538</c:v>
                </c:pt>
                <c:pt idx="3">
                  <c:v>-169.84126984126985</c:v>
                </c:pt>
                <c:pt idx="4">
                  <c:v>-1553.8461538461538</c:v>
                </c:pt>
                <c:pt idx="5">
                  <c:v>-670.73170731707319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0-4555-9F88-3617018D8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ただ!$L$2:$L$119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D0-487E-8327-878FCA3A3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1649.5652173913043</c:v>
                </c:pt>
                <c:pt idx="1">
                  <c:v>741.28440366972472</c:v>
                </c:pt>
                <c:pt idx="2">
                  <c:v>-15.841584158415841</c:v>
                </c:pt>
                <c:pt idx="3">
                  <c:v>-1085.2631578947369</c:v>
                </c:pt>
                <c:pt idx="4">
                  <c:v>1034.1463414634147</c:v>
                </c:pt>
                <c:pt idx="5">
                  <c:v>-346.37681159420288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4-4471-AB0F-A544D4709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6-48F6-938D-7402E9E29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15-4132-AAF4-B03947B50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れんたろう!$L$2:$L$126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F-49B2-B43E-E04F3B5B6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-1683.3333333333333</c:v>
                </c:pt>
                <c:pt idx="1">
                  <c:v>537.28813559322032</c:v>
                </c:pt>
                <c:pt idx="2">
                  <c:v>-37.5</c:v>
                </c:pt>
                <c:pt idx="3">
                  <c:v>-257.84313725490193</c:v>
                </c:pt>
                <c:pt idx="4">
                  <c:v>-2727.3684210526317</c:v>
                </c:pt>
                <c:pt idx="5">
                  <c:v>610.38961038961043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6C-416A-80A8-846C98413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A-4F86-A2B6-80C24B8A4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E-4E5F-8B39-629B35053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7-462F-A9DE-D79A4E92C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C-4867-9435-89E2F44F1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1-4A9E-B7F8-981C085C9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CF-4FD9-AAC0-CEC88D2E7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3"/>
      <c r="C1" s="15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37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5">
        <v>0</v>
      </c>
      <c r="C3" s="156"/>
      <c r="E3" s="65" t="s">
        <v>68</v>
      </c>
      <c r="F3" s="29" t="s">
        <v>22</v>
      </c>
      <c r="G3" s="15">
        <v>0</v>
      </c>
      <c r="H3" s="138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7">
        <v>0</v>
      </c>
      <c r="C4" s="158"/>
      <c r="E4" s="65" t="s">
        <v>69</v>
      </c>
      <c r="F4" s="29" t="s">
        <v>23</v>
      </c>
      <c r="G4" s="15">
        <v>0</v>
      </c>
      <c r="H4" s="138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9">
        <f>IF(B$2=0,0,B$4/B$2)</f>
        <v>0</v>
      </c>
      <c r="C5" s="160"/>
      <c r="E5" s="65" t="s">
        <v>70</v>
      </c>
      <c r="F5" s="29" t="s">
        <v>24</v>
      </c>
      <c r="G5" s="15">
        <v>0</v>
      </c>
      <c r="H5" s="138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7">
        <f>IF(B$2=0,0,(B$7*1+B$8*2+B$9*3)/B$2)</f>
        <v>0</v>
      </c>
      <c r="C6" s="148"/>
      <c r="E6" s="65" t="s">
        <v>71</v>
      </c>
      <c r="F6" s="29" t="s">
        <v>25</v>
      </c>
      <c r="G6" s="15">
        <v>0</v>
      </c>
      <c r="H6" s="138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8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8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8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8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8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8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8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8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8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8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8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8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8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8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8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8">
        <f t="shared" si="0"/>
        <v>0</v>
      </c>
      <c r="I22" s="100"/>
    </row>
    <row r="23" spans="1:9" x14ac:dyDescent="0.4">
      <c r="A23" s="96" t="s">
        <v>158</v>
      </c>
      <c r="B23" s="145">
        <v>0</v>
      </c>
      <c r="C23" s="146"/>
      <c r="E23" s="65" t="s">
        <v>88</v>
      </c>
      <c r="F23" s="29" t="s">
        <v>41</v>
      </c>
      <c r="G23" s="15">
        <v>0</v>
      </c>
      <c r="H23" s="138">
        <f t="shared" si="0"/>
        <v>0</v>
      </c>
      <c r="I23" s="100"/>
    </row>
    <row r="24" spans="1:9" x14ac:dyDescent="0.4">
      <c r="A24" s="60" t="s">
        <v>199</v>
      </c>
      <c r="B24" s="143">
        <v>0</v>
      </c>
      <c r="C24" s="144"/>
      <c r="E24" s="65" t="s">
        <v>89</v>
      </c>
      <c r="F24" s="29" t="s">
        <v>42</v>
      </c>
      <c r="G24" s="15">
        <v>0</v>
      </c>
      <c r="H24" s="138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8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38">
        <f t="shared" si="0"/>
        <v>0</v>
      </c>
      <c r="I26" s="100"/>
    </row>
    <row r="27" spans="1:9" x14ac:dyDescent="0.4">
      <c r="A27" s="25" t="s">
        <v>127</v>
      </c>
      <c r="B27" s="151">
        <v>0</v>
      </c>
      <c r="C27" s="152"/>
      <c r="E27" s="65" t="s">
        <v>92</v>
      </c>
      <c r="F27" s="29" t="s">
        <v>45</v>
      </c>
      <c r="G27" s="15">
        <v>0</v>
      </c>
      <c r="H27" s="138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8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8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8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8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8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8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8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8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8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8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8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8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8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8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8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8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8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8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8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8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8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8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8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39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5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261</v>
      </c>
      <c r="B65" s="33">
        <v>43518.085844907408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246</v>
      </c>
      <c r="K1" s="162"/>
      <c r="L1" s="161" t="s">
        <v>195</v>
      </c>
      <c r="M1" s="162"/>
      <c r="N1" s="161" t="s">
        <v>196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156</v>
      </c>
      <c r="W1" s="162"/>
      <c r="X1" s="161" t="s">
        <v>241</v>
      </c>
      <c r="Y1" s="162"/>
      <c r="Z1" s="161" t="s">
        <v>129</v>
      </c>
      <c r="AA1" s="162"/>
      <c r="AB1" s="161" t="s">
        <v>124</v>
      </c>
      <c r="AC1" s="162"/>
      <c r="AD1" s="161" t="s">
        <v>132</v>
      </c>
      <c r="AE1" s="162"/>
      <c r="AF1" s="161" t="s">
        <v>197</v>
      </c>
      <c r="AG1" s="162"/>
      <c r="AH1" s="161" t="s">
        <v>160</v>
      </c>
      <c r="AI1" s="162"/>
      <c r="AJ1" s="161" t="s">
        <v>198</v>
      </c>
      <c r="AK1" s="162"/>
      <c r="AL1" s="161" t="s">
        <v>200</v>
      </c>
      <c r="AM1" s="162"/>
      <c r="AN1" s="161" t="s">
        <v>247</v>
      </c>
      <c r="AO1" s="162"/>
    </row>
    <row r="2" spans="1:41" x14ac:dyDescent="0.4">
      <c r="A2" s="74" t="s">
        <v>245</v>
      </c>
      <c r="B2" s="163"/>
      <c r="C2" s="164"/>
      <c r="D2" s="163"/>
      <c r="E2" s="164"/>
      <c r="F2" s="165">
        <v>0.98832949388022406</v>
      </c>
      <c r="G2" s="166"/>
      <c r="H2" s="165">
        <v>0.94634656620565472</v>
      </c>
      <c r="I2" s="166"/>
      <c r="J2" s="165">
        <v>0.98376279837499647</v>
      </c>
      <c r="K2" s="166"/>
      <c r="L2" s="165">
        <v>0.95477085694421326</v>
      </c>
      <c r="M2" s="166"/>
      <c r="N2" s="165">
        <v>0.91506486995605973</v>
      </c>
      <c r="O2" s="166"/>
      <c r="P2" s="165">
        <v>0.46755142686806311</v>
      </c>
      <c r="Q2" s="166"/>
      <c r="R2" s="165">
        <v>-0.10137484757298949</v>
      </c>
      <c r="S2" s="166"/>
      <c r="T2" s="165">
        <v>0.94798623165922091</v>
      </c>
      <c r="U2" s="166"/>
      <c r="V2" s="165">
        <v>0.993641275190706</v>
      </c>
      <c r="W2" s="166"/>
      <c r="X2" s="165">
        <v>0.45849898326513988</v>
      </c>
      <c r="Y2" s="166"/>
      <c r="Z2" s="165">
        <v>0.70790641650002561</v>
      </c>
      <c r="AA2" s="166"/>
      <c r="AB2" s="165">
        <v>-0.45010792786391035</v>
      </c>
      <c r="AC2" s="166"/>
      <c r="AD2" s="165">
        <v>0.85144746062606114</v>
      </c>
      <c r="AE2" s="166"/>
      <c r="AF2" s="165">
        <v>0.54358935327380109</v>
      </c>
      <c r="AG2" s="166"/>
      <c r="AH2" s="165">
        <v>0.16873668948456524</v>
      </c>
      <c r="AI2" s="166"/>
      <c r="AJ2" s="165">
        <v>0.74565704333277005</v>
      </c>
      <c r="AK2" s="166"/>
      <c r="AL2" s="165">
        <v>0.83161266178943827</v>
      </c>
      <c r="AM2" s="166"/>
      <c r="AN2" s="165">
        <v>0.11868902581031714</v>
      </c>
      <c r="AO2" s="166"/>
    </row>
    <row r="3" spans="1:41" x14ac:dyDescent="0.4">
      <c r="A3" s="76">
        <v>1</v>
      </c>
      <c r="B3" s="77" t="s">
        <v>133</v>
      </c>
      <c r="C3" s="78">
        <v>1677.8999999999996</v>
      </c>
      <c r="D3" s="79" t="s">
        <v>194</v>
      </c>
      <c r="E3" s="102">
        <v>7.833333333333333</v>
      </c>
      <c r="F3" s="79" t="s">
        <v>133</v>
      </c>
      <c r="G3" s="80">
        <v>1.7572016460905351</v>
      </c>
      <c r="H3" s="79" t="s">
        <v>194</v>
      </c>
      <c r="I3" s="81">
        <v>0.5</v>
      </c>
      <c r="J3" s="79" t="s">
        <v>133</v>
      </c>
      <c r="K3" s="81">
        <v>0.20164609053497942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137</v>
      </c>
      <c r="C4" s="88">
        <v>267.39999999999981</v>
      </c>
      <c r="D4" s="89" t="s">
        <v>133</v>
      </c>
      <c r="E4" s="103">
        <v>6.9049382716049363</v>
      </c>
      <c r="F4" s="89" t="s">
        <v>194</v>
      </c>
      <c r="G4" s="90">
        <v>1.8333333333333333</v>
      </c>
      <c r="H4" s="89" t="s">
        <v>133</v>
      </c>
      <c r="I4" s="91">
        <v>0.44444444444444442</v>
      </c>
      <c r="J4" s="89" t="s">
        <v>167</v>
      </c>
      <c r="K4" s="91">
        <v>0.25</v>
      </c>
      <c r="L4" s="89" t="s">
        <v>133</v>
      </c>
      <c r="M4" s="92">
        <v>0.35710397387044096</v>
      </c>
      <c r="N4" s="89" t="s">
        <v>133</v>
      </c>
      <c r="O4" s="92">
        <v>0.14153511159499182</v>
      </c>
      <c r="P4" s="89" t="s">
        <v>138</v>
      </c>
      <c r="Q4" s="93">
        <v>11054.794520547945</v>
      </c>
      <c r="R4" s="89" t="s">
        <v>157</v>
      </c>
      <c r="S4" s="93">
        <v>-8586.95652173913</v>
      </c>
      <c r="T4" s="89" t="s">
        <v>133</v>
      </c>
      <c r="U4" s="91">
        <v>9.8765432098765427E-2</v>
      </c>
      <c r="V4" s="89" t="s">
        <v>133</v>
      </c>
      <c r="W4" s="91">
        <v>0.18930041152263374</v>
      </c>
      <c r="X4" s="89" t="s">
        <v>133</v>
      </c>
      <c r="Y4" s="91">
        <v>0.102880658436214</v>
      </c>
      <c r="Z4" s="89" t="s">
        <v>194</v>
      </c>
      <c r="AA4" s="92">
        <v>0.42</v>
      </c>
      <c r="AB4" s="89" t="s">
        <v>135</v>
      </c>
      <c r="AC4" s="92">
        <v>0.30875576036866359</v>
      </c>
      <c r="AD4" s="89" t="s">
        <v>133</v>
      </c>
      <c r="AE4" s="92">
        <v>0.64845605700712594</v>
      </c>
      <c r="AF4" s="89" t="s">
        <v>194</v>
      </c>
      <c r="AG4" s="92">
        <v>0.5</v>
      </c>
      <c r="AH4" s="89" t="s">
        <v>136</v>
      </c>
      <c r="AI4" s="92">
        <v>0.48125000000000001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135</v>
      </c>
      <c r="C5" s="88">
        <v>243.20000000000005</v>
      </c>
      <c r="D5" s="89" t="s">
        <v>135</v>
      </c>
      <c r="E5" s="103">
        <v>3.8603174603174613</v>
      </c>
      <c r="F5" s="89" t="s">
        <v>137</v>
      </c>
      <c r="G5" s="90">
        <v>1.9145299145299146</v>
      </c>
      <c r="H5" s="89" t="s">
        <v>137</v>
      </c>
      <c r="I5" s="91">
        <v>0.38461538461538464</v>
      </c>
      <c r="J5" s="89" t="s">
        <v>135</v>
      </c>
      <c r="K5" s="91">
        <v>0.26984126984126983</v>
      </c>
      <c r="L5" s="89" t="s">
        <v>135</v>
      </c>
      <c r="M5" s="92">
        <v>0.34505494505494505</v>
      </c>
      <c r="N5" s="89" t="s">
        <v>135</v>
      </c>
      <c r="O5" s="92">
        <v>0.15604395604395604</v>
      </c>
      <c r="P5" s="89" t="s">
        <v>134</v>
      </c>
      <c r="Q5" s="93">
        <v>10943.840579710144</v>
      </c>
      <c r="R5" s="89" t="s">
        <v>138</v>
      </c>
      <c r="S5" s="93">
        <v>-8859.5744680851058</v>
      </c>
      <c r="T5" s="89" t="s">
        <v>135</v>
      </c>
      <c r="U5" s="91">
        <v>0.1111111111111111</v>
      </c>
      <c r="V5" s="89" t="s">
        <v>135</v>
      </c>
      <c r="W5" s="91">
        <v>0.17460317460317459</v>
      </c>
      <c r="X5" s="89" t="s">
        <v>139</v>
      </c>
      <c r="Y5" s="91">
        <v>9.6774193548387094E-2</v>
      </c>
      <c r="Z5" s="89" t="s">
        <v>138</v>
      </c>
      <c r="AA5" s="92">
        <v>0.30851063829787234</v>
      </c>
      <c r="AB5" s="89" t="s">
        <v>136</v>
      </c>
      <c r="AC5" s="92">
        <v>0.27710843373493976</v>
      </c>
      <c r="AD5" s="89" t="s">
        <v>194</v>
      </c>
      <c r="AE5" s="92">
        <v>0.61904761904761907</v>
      </c>
      <c r="AF5" s="89" t="s">
        <v>133</v>
      </c>
      <c r="AG5" s="92">
        <v>0.4861111111111111</v>
      </c>
      <c r="AH5" s="89" t="s">
        <v>138</v>
      </c>
      <c r="AI5" s="92">
        <v>0.45205479452054792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2.285470085470084</v>
      </c>
      <c r="F6" s="89" t="s">
        <v>135</v>
      </c>
      <c r="G6" s="90">
        <v>1.9365079365079365</v>
      </c>
      <c r="H6" s="89" t="s">
        <v>135</v>
      </c>
      <c r="I6" s="91">
        <v>0.33333333333333331</v>
      </c>
      <c r="J6" s="89" t="s">
        <v>137</v>
      </c>
      <c r="K6" s="91">
        <v>0.29914529914529914</v>
      </c>
      <c r="L6" s="89" t="s">
        <v>161</v>
      </c>
      <c r="M6" s="92">
        <v>0.30127320141125941</v>
      </c>
      <c r="N6" s="89" t="s">
        <v>137</v>
      </c>
      <c r="O6" s="92">
        <v>0.15837104072398189</v>
      </c>
      <c r="P6" s="89" t="s">
        <v>139</v>
      </c>
      <c r="Q6" s="93">
        <v>10492.307692307691</v>
      </c>
      <c r="R6" s="89" t="s">
        <v>135</v>
      </c>
      <c r="S6" s="93">
        <v>-9021.1267605633802</v>
      </c>
      <c r="T6" s="89" t="s">
        <v>137</v>
      </c>
      <c r="U6" s="91">
        <v>0.1111111111111111</v>
      </c>
      <c r="V6" s="89" t="s">
        <v>137</v>
      </c>
      <c r="W6" s="91">
        <v>0.17094017094017094</v>
      </c>
      <c r="X6" s="89" t="s">
        <v>137</v>
      </c>
      <c r="Y6" s="91">
        <v>9.4017094017094016E-2</v>
      </c>
      <c r="Z6" s="89" t="s">
        <v>133</v>
      </c>
      <c r="AA6" s="92">
        <v>0.30485155684286747</v>
      </c>
      <c r="AB6" s="89" t="s">
        <v>250</v>
      </c>
      <c r="AC6" s="92">
        <v>0.27272727272727271</v>
      </c>
      <c r="AD6" s="89" t="s">
        <v>161</v>
      </c>
      <c r="AE6" s="92">
        <v>0.58207934336525313</v>
      </c>
      <c r="AF6" s="89" t="s">
        <v>135</v>
      </c>
      <c r="AG6" s="92">
        <v>0.41791044776119401</v>
      </c>
      <c r="AH6" s="89" t="s">
        <v>134</v>
      </c>
      <c r="AI6" s="92">
        <v>0.44927536231884058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-5.9999999999999361</v>
      </c>
      <c r="D7" s="89" t="s">
        <v>161</v>
      </c>
      <c r="E7" s="103">
        <v>-7.0175438596490483E-3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137</v>
      </c>
      <c r="M7" s="92">
        <v>0.3009049773755656</v>
      </c>
      <c r="N7" s="89" t="s">
        <v>167</v>
      </c>
      <c r="O7" s="92">
        <v>0.16666666666666666</v>
      </c>
      <c r="P7" s="89" t="s">
        <v>137</v>
      </c>
      <c r="Q7" s="93">
        <v>10393.233082706767</v>
      </c>
      <c r="R7" s="89" t="s">
        <v>250</v>
      </c>
      <c r="S7" s="93">
        <v>-9190.9090909090901</v>
      </c>
      <c r="T7" s="89" t="s">
        <v>161</v>
      </c>
      <c r="U7" s="91">
        <v>0.15321637426900586</v>
      </c>
      <c r="V7" s="89" t="s">
        <v>194</v>
      </c>
      <c r="W7" s="91">
        <v>0.16666666666666666</v>
      </c>
      <c r="X7" s="89" t="s">
        <v>138</v>
      </c>
      <c r="Y7" s="91">
        <v>9.0909090909090912E-2</v>
      </c>
      <c r="Z7" s="89" t="s">
        <v>137</v>
      </c>
      <c r="AA7" s="92">
        <v>0.30211081794195249</v>
      </c>
      <c r="AB7" s="89" t="s">
        <v>161</v>
      </c>
      <c r="AC7" s="92">
        <v>0.21967470115618265</v>
      </c>
      <c r="AD7" s="89" t="s">
        <v>134</v>
      </c>
      <c r="AE7" s="92">
        <v>0.5818965517241379</v>
      </c>
      <c r="AF7" s="89" t="s">
        <v>161</v>
      </c>
      <c r="AG7" s="92">
        <v>0.39696699375557537</v>
      </c>
      <c r="AH7" s="89" t="s">
        <v>137</v>
      </c>
      <c r="AI7" s="92">
        <v>0.43984962406015038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0.2834890965732087</v>
      </c>
      <c r="N8" s="89" t="s">
        <v>161</v>
      </c>
      <c r="O8" s="92">
        <v>0.17211228716060745</v>
      </c>
      <c r="P8" s="89" t="s">
        <v>161</v>
      </c>
      <c r="Q8" s="93">
        <v>10097.9633401222</v>
      </c>
      <c r="R8" s="89" t="s">
        <v>137</v>
      </c>
      <c r="S8" s="93">
        <v>-9198.5714285714294</v>
      </c>
      <c r="T8" s="89" t="s">
        <v>194</v>
      </c>
      <c r="U8" s="91">
        <v>0.16666666666666666</v>
      </c>
      <c r="V8" s="89" t="s">
        <v>161</v>
      </c>
      <c r="W8" s="91">
        <v>0.15321637426900586</v>
      </c>
      <c r="X8" s="89" t="s">
        <v>250</v>
      </c>
      <c r="Y8" s="91">
        <v>8.3333333333333329E-2</v>
      </c>
      <c r="Z8" s="89" t="s">
        <v>139</v>
      </c>
      <c r="AA8" s="92">
        <v>0.30129589632829373</v>
      </c>
      <c r="AB8" s="89" t="s">
        <v>138</v>
      </c>
      <c r="AC8" s="92">
        <v>0.21276595744680851</v>
      </c>
      <c r="AD8" s="89" t="s">
        <v>139</v>
      </c>
      <c r="AE8" s="92">
        <v>0.58064516129032262</v>
      </c>
      <c r="AF8" s="89" t="s">
        <v>134</v>
      </c>
      <c r="AG8" s="92">
        <v>0.39007092198581561</v>
      </c>
      <c r="AH8" s="89" t="s">
        <v>139</v>
      </c>
      <c r="AI8" s="92">
        <v>0.4358974358974359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-3.6573529411764705</v>
      </c>
      <c r="F9" s="89" t="s">
        <v>138</v>
      </c>
      <c r="G9" s="90">
        <v>2.0606060606060606</v>
      </c>
      <c r="H9" s="89" t="s">
        <v>134</v>
      </c>
      <c r="I9" s="91">
        <v>0.28676470588235292</v>
      </c>
      <c r="J9" s="89" t="s">
        <v>138</v>
      </c>
      <c r="K9" s="91">
        <v>0.39393939393939392</v>
      </c>
      <c r="L9" s="89" t="s">
        <v>138</v>
      </c>
      <c r="M9" s="92">
        <v>0.27037037037037037</v>
      </c>
      <c r="N9" s="89" t="s">
        <v>138</v>
      </c>
      <c r="O9" s="92">
        <v>0.17407407407407408</v>
      </c>
      <c r="P9" s="89" t="s">
        <v>133</v>
      </c>
      <c r="Q9" s="93">
        <v>9815.0914634146338</v>
      </c>
      <c r="R9" s="89" t="s">
        <v>133</v>
      </c>
      <c r="S9" s="93">
        <v>-9343.461538461539</v>
      </c>
      <c r="T9" s="89" t="s">
        <v>136</v>
      </c>
      <c r="U9" s="91">
        <v>0.18181818181818182</v>
      </c>
      <c r="V9" s="89" t="s">
        <v>138</v>
      </c>
      <c r="W9" s="91">
        <v>0.15151515151515152</v>
      </c>
      <c r="X9" s="89" t="s">
        <v>161</v>
      </c>
      <c r="Y9" s="91">
        <v>8.1871345029239762E-2</v>
      </c>
      <c r="Z9" s="89" t="s">
        <v>134</v>
      </c>
      <c r="AA9" s="92">
        <v>0.29292929292929293</v>
      </c>
      <c r="AB9" s="89" t="s">
        <v>137</v>
      </c>
      <c r="AC9" s="92">
        <v>0.21240105540897097</v>
      </c>
      <c r="AD9" s="89" t="s">
        <v>135</v>
      </c>
      <c r="AE9" s="92">
        <v>0.5714285714285714</v>
      </c>
      <c r="AF9" s="89" t="s">
        <v>139</v>
      </c>
      <c r="AG9" s="92">
        <v>0.38636363636363635</v>
      </c>
      <c r="AH9" s="89" t="s">
        <v>135</v>
      </c>
      <c r="AI9" s="92">
        <v>0.43312101910828027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167</v>
      </c>
      <c r="E10" s="103">
        <v>-3.875</v>
      </c>
      <c r="F10" s="89" t="s">
        <v>134</v>
      </c>
      <c r="G10" s="90">
        <v>2.1102941176470589</v>
      </c>
      <c r="H10" s="89" t="s">
        <v>167</v>
      </c>
      <c r="I10" s="91">
        <v>0.25</v>
      </c>
      <c r="J10" s="89" t="s">
        <v>134</v>
      </c>
      <c r="K10" s="91">
        <v>0.39705882352941174</v>
      </c>
      <c r="L10" s="89" t="s">
        <v>171</v>
      </c>
      <c r="M10" s="92">
        <v>0.27027027027027029</v>
      </c>
      <c r="N10" s="89" t="s">
        <v>136</v>
      </c>
      <c r="O10" s="92">
        <v>0.19327731092436976</v>
      </c>
      <c r="P10" s="89" t="s">
        <v>135</v>
      </c>
      <c r="Q10" s="93">
        <v>9724.2038216560504</v>
      </c>
      <c r="R10" s="89" t="s">
        <v>161</v>
      </c>
      <c r="S10" s="93">
        <v>-9382.442067736185</v>
      </c>
      <c r="T10" s="89" t="s">
        <v>138</v>
      </c>
      <c r="U10" s="91">
        <v>0.18181818181818182</v>
      </c>
      <c r="V10" s="89" t="s">
        <v>139</v>
      </c>
      <c r="W10" s="91">
        <v>0.13709677419354838</v>
      </c>
      <c r="X10" s="89" t="s">
        <v>134</v>
      </c>
      <c r="Y10" s="91">
        <v>7.3529411764705885E-2</v>
      </c>
      <c r="Z10" s="89" t="s">
        <v>161</v>
      </c>
      <c r="AA10" s="92">
        <v>0.28649813834999022</v>
      </c>
      <c r="AB10" s="89" t="s">
        <v>133</v>
      </c>
      <c r="AC10" s="92">
        <v>0.20854453294713976</v>
      </c>
      <c r="AD10" s="89" t="s">
        <v>137</v>
      </c>
      <c r="AE10" s="92">
        <v>0.55895196506550215</v>
      </c>
      <c r="AF10" s="89" t="s">
        <v>137</v>
      </c>
      <c r="AG10" s="92">
        <v>0.38509316770186336</v>
      </c>
      <c r="AH10" s="89" t="s">
        <v>161</v>
      </c>
      <c r="AI10" s="92">
        <v>0.41700610997963339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139</v>
      </c>
      <c r="E11" s="103">
        <v>-3.9798387096774182</v>
      </c>
      <c r="F11" s="89" t="s">
        <v>139</v>
      </c>
      <c r="G11" s="90">
        <v>2.1693548387096775</v>
      </c>
      <c r="H11" s="89" t="s">
        <v>139</v>
      </c>
      <c r="I11" s="91">
        <v>0.24193548387096775</v>
      </c>
      <c r="J11" s="89" t="s">
        <v>171</v>
      </c>
      <c r="K11" s="91">
        <v>0.4</v>
      </c>
      <c r="L11" s="89" t="s">
        <v>136</v>
      </c>
      <c r="M11" s="92">
        <v>0.26890756302521007</v>
      </c>
      <c r="N11" s="89" t="s">
        <v>157</v>
      </c>
      <c r="O11" s="92">
        <v>0.19327731092436976</v>
      </c>
      <c r="P11" s="89" t="s">
        <v>157</v>
      </c>
      <c r="Q11" s="93">
        <v>9544</v>
      </c>
      <c r="R11" s="89" t="s">
        <v>139</v>
      </c>
      <c r="S11" s="93">
        <v>-9500.5235602094235</v>
      </c>
      <c r="T11" s="89" t="s">
        <v>139</v>
      </c>
      <c r="U11" s="91">
        <v>0.18548387096774194</v>
      </c>
      <c r="V11" s="89" t="s">
        <v>134</v>
      </c>
      <c r="W11" s="91">
        <v>0.125</v>
      </c>
      <c r="X11" s="89" t="s">
        <v>136</v>
      </c>
      <c r="Y11" s="91">
        <v>5.1948051948051951E-2</v>
      </c>
      <c r="Z11" s="89" t="s">
        <v>136</v>
      </c>
      <c r="AA11" s="92">
        <v>0.26746987951807227</v>
      </c>
      <c r="AB11" s="89" t="s">
        <v>139</v>
      </c>
      <c r="AC11" s="92">
        <v>0.19006479481641469</v>
      </c>
      <c r="AD11" s="89" t="s">
        <v>138</v>
      </c>
      <c r="AE11" s="92">
        <v>0.5</v>
      </c>
      <c r="AF11" s="89" t="s">
        <v>136</v>
      </c>
      <c r="AG11" s="92">
        <v>0.35652173913043478</v>
      </c>
      <c r="AH11" s="89" t="s">
        <v>250</v>
      </c>
      <c r="AI11" s="92">
        <v>0.41176470588235292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-155.1</v>
      </c>
      <c r="D12" s="89" t="s">
        <v>136</v>
      </c>
      <c r="E12" s="103">
        <v>-6.7168831168831176</v>
      </c>
      <c r="F12" s="89" t="s">
        <v>171</v>
      </c>
      <c r="G12" s="90">
        <v>2.2000000000000002</v>
      </c>
      <c r="H12" s="89" t="s">
        <v>157</v>
      </c>
      <c r="I12" s="91">
        <v>0.22580645161290322</v>
      </c>
      <c r="J12" s="89" t="s">
        <v>139</v>
      </c>
      <c r="K12" s="91">
        <v>0.41129032258064518</v>
      </c>
      <c r="L12" s="89" t="s">
        <v>134</v>
      </c>
      <c r="M12" s="92">
        <v>0.2621082621082621</v>
      </c>
      <c r="N12" s="89" t="s">
        <v>134</v>
      </c>
      <c r="O12" s="92">
        <v>0.19373219373219372</v>
      </c>
      <c r="P12" s="89" t="s">
        <v>194</v>
      </c>
      <c r="Q12" s="93">
        <v>9163.1578947368416</v>
      </c>
      <c r="R12" s="89" t="s">
        <v>134</v>
      </c>
      <c r="S12" s="93">
        <v>-9620.5882352941171</v>
      </c>
      <c r="T12" s="89" t="s">
        <v>134</v>
      </c>
      <c r="U12" s="91">
        <v>0.19117647058823528</v>
      </c>
      <c r="V12" s="89" t="s">
        <v>136</v>
      </c>
      <c r="W12" s="91">
        <v>0.11688311688311688</v>
      </c>
      <c r="X12" s="89" t="s">
        <v>135</v>
      </c>
      <c r="Y12" s="91">
        <v>4.7619047619047616E-2</v>
      </c>
      <c r="Z12" s="89" t="s">
        <v>171</v>
      </c>
      <c r="AA12" s="92">
        <v>0.25806451612903225</v>
      </c>
      <c r="AB12" s="89" t="s">
        <v>134</v>
      </c>
      <c r="AC12" s="92">
        <v>0.17803030303030304</v>
      </c>
      <c r="AD12" s="89" t="s">
        <v>136</v>
      </c>
      <c r="AE12" s="92">
        <v>0.49549549549549549</v>
      </c>
      <c r="AF12" s="89" t="s">
        <v>250</v>
      </c>
      <c r="AG12" s="92">
        <v>0.33333333333333331</v>
      </c>
      <c r="AH12" s="89" t="s">
        <v>133</v>
      </c>
      <c r="AI12" s="92">
        <v>0.375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157</v>
      </c>
      <c r="E13" s="103">
        <v>-10.803225806451612</v>
      </c>
      <c r="F13" s="89" t="s">
        <v>136</v>
      </c>
      <c r="G13" s="90">
        <v>2.2077922077922079</v>
      </c>
      <c r="H13" s="89" t="s">
        <v>136</v>
      </c>
      <c r="I13" s="91">
        <v>0.22077922077922077</v>
      </c>
      <c r="J13" s="89" t="s">
        <v>136</v>
      </c>
      <c r="K13" s="91">
        <v>0.42857142857142855</v>
      </c>
      <c r="L13" s="89" t="s">
        <v>167</v>
      </c>
      <c r="M13" s="92">
        <v>0.25</v>
      </c>
      <c r="N13" s="89" t="s">
        <v>139</v>
      </c>
      <c r="O13" s="92">
        <v>0.19833852544132918</v>
      </c>
      <c r="P13" s="89" t="s">
        <v>136</v>
      </c>
      <c r="Q13" s="93">
        <v>9118.75</v>
      </c>
      <c r="R13" s="89" t="s">
        <v>136</v>
      </c>
      <c r="S13" s="93">
        <v>-9637.391304347826</v>
      </c>
      <c r="T13" s="89" t="s">
        <v>157</v>
      </c>
      <c r="U13" s="91">
        <v>0.29032258064516131</v>
      </c>
      <c r="V13" s="89" t="s">
        <v>157</v>
      </c>
      <c r="W13" s="91">
        <v>9.6774193548387094E-2</v>
      </c>
      <c r="X13" s="89" t="s">
        <v>157</v>
      </c>
      <c r="Y13" s="91">
        <v>0</v>
      </c>
      <c r="Z13" s="89" t="s">
        <v>135</v>
      </c>
      <c r="AA13" s="92">
        <v>0.22580645161290322</v>
      </c>
      <c r="AB13" s="89" t="s">
        <v>171</v>
      </c>
      <c r="AC13" s="92">
        <v>0.16129032258064516</v>
      </c>
      <c r="AD13" s="89" t="s">
        <v>157</v>
      </c>
      <c r="AE13" s="92">
        <v>0.44117647058823528</v>
      </c>
      <c r="AF13" s="89" t="s">
        <v>157</v>
      </c>
      <c r="AG13" s="92">
        <v>0.29166666666666669</v>
      </c>
      <c r="AH13" s="89" t="s">
        <v>167</v>
      </c>
      <c r="AI13" s="92">
        <v>0.33333333333333331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139</v>
      </c>
      <c r="C14" s="88">
        <v>-493.49999999999983</v>
      </c>
      <c r="D14" s="89" t="s">
        <v>250</v>
      </c>
      <c r="E14" s="103">
        <v>-12.924999999999999</v>
      </c>
      <c r="F14" s="89" t="s">
        <v>157</v>
      </c>
      <c r="G14" s="90">
        <v>2.3225806451612905</v>
      </c>
      <c r="H14" s="89" t="s">
        <v>171</v>
      </c>
      <c r="I14" s="91">
        <v>0.2</v>
      </c>
      <c r="J14" s="89" t="s">
        <v>157</v>
      </c>
      <c r="K14" s="91">
        <v>0.54838709677419351</v>
      </c>
      <c r="L14" s="89" t="s">
        <v>157</v>
      </c>
      <c r="M14" s="92">
        <v>0.21008403361344538</v>
      </c>
      <c r="N14" s="89" t="s">
        <v>171</v>
      </c>
      <c r="O14" s="92">
        <v>0.21621621621621623</v>
      </c>
      <c r="P14" s="89" t="s">
        <v>250</v>
      </c>
      <c r="Q14" s="93">
        <v>8670.5882352941171</v>
      </c>
      <c r="R14" s="89" t="s">
        <v>194</v>
      </c>
      <c r="S14" s="93">
        <v>-10025</v>
      </c>
      <c r="T14" s="89" t="s">
        <v>250</v>
      </c>
      <c r="U14" s="91">
        <v>0.33333333333333331</v>
      </c>
      <c r="V14" s="89" t="s">
        <v>250</v>
      </c>
      <c r="W14" s="91">
        <v>8.3333333333333329E-2</v>
      </c>
      <c r="X14" s="89" t="s">
        <v>166</v>
      </c>
      <c r="Y14" s="91">
        <v>0</v>
      </c>
      <c r="Z14" s="89" t="s">
        <v>157</v>
      </c>
      <c r="AA14" s="92">
        <v>0.14285714285714285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134</v>
      </c>
      <c r="C15" s="88">
        <v>-497.4</v>
      </c>
      <c r="D15" s="89" t="s">
        <v>171</v>
      </c>
      <c r="E15" s="103">
        <v>-17.28</v>
      </c>
      <c r="F15" s="89" t="s">
        <v>250</v>
      </c>
      <c r="G15" s="90">
        <v>2.4166666666666665</v>
      </c>
      <c r="H15" s="89" t="s">
        <v>250</v>
      </c>
      <c r="I15" s="91">
        <v>0.16666666666666666</v>
      </c>
      <c r="J15" s="89" t="s">
        <v>250</v>
      </c>
      <c r="K15" s="91">
        <v>0.58333333333333337</v>
      </c>
      <c r="L15" s="89" t="s">
        <v>250</v>
      </c>
      <c r="M15" s="92">
        <v>0.19318181818181818</v>
      </c>
      <c r="N15" s="89" t="s">
        <v>250</v>
      </c>
      <c r="O15" s="92">
        <v>0.25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250</v>
      </c>
      <c r="AA15" s="92">
        <v>0.13636363636363635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-517.20000000000005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E207-DE6A-4F04-B675-18F26F614DC5}">
  <sheetPr codeName="Sheet4"/>
  <dimension ref="A1:Q85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161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855</v>
      </c>
      <c r="C2" s="150"/>
      <c r="E2" s="64" t="s">
        <v>71</v>
      </c>
      <c r="F2" s="61" t="s">
        <v>25</v>
      </c>
      <c r="G2" s="48">
        <v>1329</v>
      </c>
      <c r="H2" s="137">
        <f>IF(B$27=0,0,G2/B$27)</f>
        <v>0.86862745098039218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-15.421115065243178</v>
      </c>
      <c r="P2" s="124">
        <v>843</v>
      </c>
      <c r="Q2" s="108">
        <v>-13000</v>
      </c>
    </row>
    <row r="3" spans="1:17" x14ac:dyDescent="0.4">
      <c r="A3" s="57" t="s">
        <v>8</v>
      </c>
      <c r="B3" s="155">
        <v>6519</v>
      </c>
      <c r="C3" s="156"/>
      <c r="E3" s="65" t="s">
        <v>69</v>
      </c>
      <c r="F3" s="62" t="s">
        <v>23</v>
      </c>
      <c r="G3" s="49">
        <v>1115</v>
      </c>
      <c r="H3" s="138">
        <f>IF(B$27=0,0,G3/B$27)</f>
        <v>0.72875816993464049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-4.9200492004920049</v>
      </c>
      <c r="P3" s="125">
        <v>813</v>
      </c>
      <c r="Q3" s="109">
        <v>-4000</v>
      </c>
    </row>
    <row r="4" spans="1:17" x14ac:dyDescent="0.4">
      <c r="A4" s="57" t="s">
        <v>6</v>
      </c>
      <c r="B4" s="157">
        <v>-5.9999999999999361</v>
      </c>
      <c r="C4" s="158"/>
      <c r="E4" s="65" t="s">
        <v>76</v>
      </c>
      <c r="F4" s="62" t="s">
        <v>29</v>
      </c>
      <c r="G4" s="49">
        <v>856</v>
      </c>
      <c r="H4" s="138">
        <f>IF(B$27=0,0,G4/B$27)</f>
        <v>0.55947712418300655</v>
      </c>
      <c r="I4" s="100">
        <v>7</v>
      </c>
      <c r="K4" s="40">
        <v>2</v>
      </c>
      <c r="L4" s="105">
        <v>-7</v>
      </c>
      <c r="N4" s="121" t="s">
        <v>149</v>
      </c>
      <c r="O4" s="128">
        <f t="shared" si="0"/>
        <v>7.9051383399209483</v>
      </c>
      <c r="P4" s="125">
        <v>759</v>
      </c>
      <c r="Q4" s="109">
        <v>6000</v>
      </c>
    </row>
    <row r="5" spans="1:17" x14ac:dyDescent="0.4">
      <c r="A5" s="57" t="s">
        <v>7</v>
      </c>
      <c r="B5" s="159">
        <f>IF(B$2=0,0,B$4/B$2)</f>
        <v>-7.0175438596490483E-3</v>
      </c>
      <c r="C5" s="160"/>
      <c r="E5" s="65" t="s">
        <v>67</v>
      </c>
      <c r="F5" s="62" t="s">
        <v>21</v>
      </c>
      <c r="G5" s="49">
        <v>837</v>
      </c>
      <c r="H5" s="138">
        <f>IF(B$27=0,0,G5/B$27)</f>
        <v>0.54705882352941182</v>
      </c>
      <c r="I5" s="100">
        <v>6</v>
      </c>
      <c r="K5" s="40">
        <v>3</v>
      </c>
      <c r="L5" s="105">
        <v>0</v>
      </c>
      <c r="N5" s="121" t="s">
        <v>150</v>
      </c>
      <c r="O5" s="128">
        <f t="shared" si="0"/>
        <v>2.9239766081871346</v>
      </c>
      <c r="P5" s="125">
        <v>684</v>
      </c>
      <c r="Q5" s="109">
        <v>2000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72</v>
      </c>
      <c r="F6" s="62" t="s">
        <v>12</v>
      </c>
      <c r="G6" s="49">
        <v>469</v>
      </c>
      <c r="H6" s="138">
        <f>IF(B$27=0,0,G6/B$27)</f>
        <v>0.30653594771241832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10</v>
      </c>
      <c r="P6" s="125">
        <v>600</v>
      </c>
      <c r="Q6" s="109">
        <v>6000</v>
      </c>
    </row>
    <row r="7" spans="1:17" x14ac:dyDescent="0.4">
      <c r="A7" s="57" t="s">
        <v>2</v>
      </c>
      <c r="B7" s="49">
        <v>285</v>
      </c>
      <c r="C7" s="41">
        <f>IF(B$2=0,0,B7/B$2)</f>
        <v>0.33333333333333331</v>
      </c>
      <c r="E7" s="65" t="s">
        <v>70</v>
      </c>
      <c r="F7" s="62" t="s">
        <v>24</v>
      </c>
      <c r="G7" s="49">
        <v>460</v>
      </c>
      <c r="H7" s="138">
        <f>IF(B$27=0,0,G7/B$27)</f>
        <v>0.30065359477124182</v>
      </c>
      <c r="I7" s="100">
        <v>7</v>
      </c>
      <c r="K7" s="40">
        <v>5</v>
      </c>
      <c r="L7" s="105">
        <v>39.9</v>
      </c>
      <c r="N7" s="122" t="s">
        <v>152</v>
      </c>
      <c r="O7" s="129">
        <f t="shared" si="0"/>
        <v>-6.25</v>
      </c>
      <c r="P7" s="126">
        <v>480</v>
      </c>
      <c r="Q7" s="110">
        <v>-3000</v>
      </c>
    </row>
    <row r="8" spans="1:17" x14ac:dyDescent="0.4">
      <c r="A8" s="57" t="s">
        <v>3</v>
      </c>
      <c r="B8" s="49">
        <v>285</v>
      </c>
      <c r="C8" s="41">
        <f>IF(B$2=0,0,B8/B$2)</f>
        <v>0.33333333333333331</v>
      </c>
      <c r="E8" s="65" t="s">
        <v>94</v>
      </c>
      <c r="F8" s="62" t="s">
        <v>47</v>
      </c>
      <c r="G8" s="49">
        <v>232</v>
      </c>
      <c r="H8" s="138">
        <f>IF(B$27=0,0,G8/B$27)</f>
        <v>0.15163398692810456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285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225</v>
      </c>
      <c r="H9" s="138">
        <f>IF(B$27=0,0,G9/B$27)</f>
        <v>0.14705882352941177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131</v>
      </c>
      <c r="C10" s="42">
        <f>IF(B$2=0,0,B10/B$2)</f>
        <v>0.15321637426900586</v>
      </c>
      <c r="E10" s="65" t="s">
        <v>68</v>
      </c>
      <c r="F10" s="62" t="s">
        <v>22</v>
      </c>
      <c r="G10" s="49">
        <v>186</v>
      </c>
      <c r="H10" s="138">
        <f>IF(B$27=0,0,G10/B$27)</f>
        <v>0.12156862745098039</v>
      </c>
      <c r="I10" s="100">
        <v>7</v>
      </c>
      <c r="K10" s="40">
        <v>8</v>
      </c>
      <c r="L10" s="105">
        <v>-26.699999999999996</v>
      </c>
      <c r="N10" s="120" t="s">
        <v>253</v>
      </c>
      <c r="O10" s="130">
        <f>IF(P10=0,0,Q10/P10)</f>
        <v>-2.3882978723404253</v>
      </c>
      <c r="P10" s="124">
        <v>282</v>
      </c>
      <c r="Q10" s="112">
        <v>-673.49999999999989</v>
      </c>
    </row>
    <row r="11" spans="1:17" x14ac:dyDescent="0.4">
      <c r="A11" s="58" t="s">
        <v>155</v>
      </c>
      <c r="B11" s="50">
        <v>131</v>
      </c>
      <c r="C11" s="42">
        <f>IF(B$2=0,0,B11/B$2)</f>
        <v>0.15321637426900586</v>
      </c>
      <c r="E11" s="65" t="s">
        <v>74</v>
      </c>
      <c r="F11" s="62" t="s">
        <v>27</v>
      </c>
      <c r="G11" s="49">
        <v>149</v>
      </c>
      <c r="H11" s="138">
        <f>IF(B$27=0,0,G11/B$27)</f>
        <v>9.7385620915032681E-2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0.5152482269503551</v>
      </c>
      <c r="P11" s="125">
        <v>282</v>
      </c>
      <c r="Q11" s="113">
        <v>145.30000000000013</v>
      </c>
    </row>
    <row r="12" spans="1:17" x14ac:dyDescent="0.4">
      <c r="A12" s="59" t="s">
        <v>239</v>
      </c>
      <c r="B12" s="51">
        <v>70</v>
      </c>
      <c r="C12" s="44">
        <f>IF(B$2=0,0,B12/B$2)</f>
        <v>8.1871345029239762E-2</v>
      </c>
      <c r="E12" s="65" t="s">
        <v>91</v>
      </c>
      <c r="F12" s="62" t="s">
        <v>44</v>
      </c>
      <c r="G12" s="49">
        <v>105</v>
      </c>
      <c r="H12" s="138">
        <f>IF(B$27=0,0,G12/B$27)</f>
        <v>6.8627450980392163E-2</v>
      </c>
      <c r="I12" s="100">
        <v>7</v>
      </c>
      <c r="K12" s="40">
        <v>10</v>
      </c>
      <c r="L12" s="105">
        <v>85.2</v>
      </c>
      <c r="N12" s="122" t="s">
        <v>255</v>
      </c>
      <c r="O12" s="132">
        <f>IF(P12=0,0,Q12/P12)</f>
        <v>1.8517730496453906</v>
      </c>
      <c r="P12" s="126">
        <v>282</v>
      </c>
      <c r="Q12" s="114">
        <v>522.20000000000016</v>
      </c>
    </row>
    <row r="13" spans="1:17" x14ac:dyDescent="0.4">
      <c r="A13" s="60" t="s">
        <v>128</v>
      </c>
      <c r="B13" s="52">
        <v>1462</v>
      </c>
      <c r="C13" s="46">
        <f>IF(B$26=0,0,B13/B$26)</f>
        <v>0.28649813834999022</v>
      </c>
      <c r="E13" s="65" t="s">
        <v>75</v>
      </c>
      <c r="F13" s="62" t="s">
        <v>28</v>
      </c>
      <c r="G13" s="49">
        <v>73</v>
      </c>
      <c r="H13" s="138">
        <f>IF(B$27=0,0,G13/B$27)</f>
        <v>4.7712418300653592E-2</v>
      </c>
      <c r="I13" s="100">
        <v>6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1121</v>
      </c>
      <c r="C14" s="41">
        <f>IF(B$26=0,0,B14/B$26)</f>
        <v>0.21967470115618265</v>
      </c>
      <c r="E14" s="65" t="s">
        <v>88</v>
      </c>
      <c r="F14" s="62" t="s">
        <v>41</v>
      </c>
      <c r="G14" s="49">
        <v>69</v>
      </c>
      <c r="H14" s="138">
        <f>IF(B$27=0,0,G14/B$27)</f>
        <v>4.5098039215686274E-2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851</v>
      </c>
      <c r="C15" s="39">
        <f>IF(B$13=0,0,B15/B$13)</f>
        <v>0.58207934336525313</v>
      </c>
      <c r="E15" s="65" t="s">
        <v>82</v>
      </c>
      <c r="F15" s="62" t="s">
        <v>35</v>
      </c>
      <c r="G15" s="49">
        <v>46</v>
      </c>
      <c r="H15" s="138">
        <f>IF(B$27=0,0,G15/B$27)</f>
        <v>3.0065359477124184E-2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445</v>
      </c>
      <c r="C16" s="39">
        <f>IF(B$14=0,0,B16/B$14)</f>
        <v>0.39696699375557537</v>
      </c>
      <c r="E16" s="65" t="s">
        <v>86</v>
      </c>
      <c r="F16" s="62" t="s">
        <v>39</v>
      </c>
      <c r="G16" s="49">
        <v>45</v>
      </c>
      <c r="H16" s="138">
        <f>IF(B$27=0,0,G16/B$27)</f>
        <v>2.9411764705882353E-2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1964</v>
      </c>
      <c r="C17" s="39">
        <f>IF(B$3=0,0,B17/B$3)</f>
        <v>0.30127320141125941</v>
      </c>
      <c r="E17" s="65" t="s">
        <v>96</v>
      </c>
      <c r="F17" s="62" t="s">
        <v>49</v>
      </c>
      <c r="G17" s="49">
        <v>30</v>
      </c>
      <c r="H17" s="138">
        <f>IF(B$27=0,0,G17/B$27)</f>
        <v>1.9607843137254902E-2</v>
      </c>
      <c r="I17" s="100">
        <v>7</v>
      </c>
      <c r="K17" s="40">
        <v>15</v>
      </c>
      <c r="L17" s="105">
        <v>0</v>
      </c>
      <c r="N17" s="121" t="s">
        <v>250</v>
      </c>
      <c r="O17" s="131">
        <f>IF(P17=0,0,Q17/P17)</f>
        <v>19.387499999999999</v>
      </c>
      <c r="P17" s="125">
        <v>24</v>
      </c>
      <c r="Q17" s="113">
        <v>465.29999999999995</v>
      </c>
    </row>
    <row r="18" spans="1:17" x14ac:dyDescent="0.4">
      <c r="A18" s="57" t="s">
        <v>12</v>
      </c>
      <c r="B18" s="49">
        <v>819</v>
      </c>
      <c r="C18" s="41">
        <f>IF(B$17=0,0,B18/B$17)</f>
        <v>0.41700610997963339</v>
      </c>
      <c r="E18" s="65" t="s">
        <v>83</v>
      </c>
      <c r="F18" s="62" t="s">
        <v>36</v>
      </c>
      <c r="G18" s="49">
        <v>22</v>
      </c>
      <c r="H18" s="138">
        <f>IF(B$27=0,0,G18/B$27)</f>
        <v>1.4379084967320261E-2</v>
      </c>
      <c r="I18" s="100">
        <v>6</v>
      </c>
      <c r="K18" s="40">
        <v>16</v>
      </c>
      <c r="L18" s="105">
        <v>-48</v>
      </c>
      <c r="N18" s="121" t="s">
        <v>157</v>
      </c>
      <c r="O18" s="131">
        <f>IF(P18=0,0,Q18/P18)</f>
        <v>16.204838709677421</v>
      </c>
      <c r="P18" s="125">
        <v>62</v>
      </c>
      <c r="Q18" s="113">
        <v>1004.7</v>
      </c>
    </row>
    <row r="19" spans="1:17" x14ac:dyDescent="0.4">
      <c r="A19" s="57" t="s">
        <v>11</v>
      </c>
      <c r="B19" s="49">
        <v>1145</v>
      </c>
      <c r="C19" s="41">
        <f>IF(B$17=0,0,B19/B$17)</f>
        <v>0.58299389002036661</v>
      </c>
      <c r="E19" s="65" t="s">
        <v>77</v>
      </c>
      <c r="F19" s="62" t="s">
        <v>30</v>
      </c>
      <c r="G19" s="49">
        <v>13</v>
      </c>
      <c r="H19" s="138">
        <f>IF(B$27=0,0,G19/B$27)</f>
        <v>8.4967320261437902E-3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>IF(P19=0,0,Q19/P19)</f>
        <v>10.075324675324676</v>
      </c>
      <c r="P19" s="125">
        <v>154</v>
      </c>
      <c r="Q19" s="113">
        <v>1551.6000000000001</v>
      </c>
    </row>
    <row r="20" spans="1:17" x14ac:dyDescent="0.4">
      <c r="A20" s="57" t="s">
        <v>13</v>
      </c>
      <c r="B20" s="49">
        <v>1122</v>
      </c>
      <c r="C20" s="41">
        <f>IF(B$3=0,0,B20/B$3)</f>
        <v>0.17211228716060745</v>
      </c>
      <c r="E20" s="65" t="s">
        <v>79</v>
      </c>
      <c r="F20" s="62" t="s">
        <v>32</v>
      </c>
      <c r="G20" s="49">
        <v>9</v>
      </c>
      <c r="H20" s="138">
        <f>IF(B$27=0,0,G20/B$27)</f>
        <v>5.8823529411764705E-3</v>
      </c>
      <c r="I20" s="100">
        <v>4</v>
      </c>
      <c r="K20" s="40">
        <v>18</v>
      </c>
      <c r="L20" s="105">
        <v>0</v>
      </c>
      <c r="N20" s="121" t="s">
        <v>139</v>
      </c>
      <c r="O20" s="131">
        <f>IF(P20=0,0,Q20/P20)</f>
        <v>5.9616935483870979</v>
      </c>
      <c r="P20" s="125">
        <v>248</v>
      </c>
      <c r="Q20" s="113">
        <v>1478.5000000000002</v>
      </c>
    </row>
    <row r="21" spans="1:17" x14ac:dyDescent="0.4">
      <c r="A21" s="57" t="s">
        <v>5</v>
      </c>
      <c r="B21" s="53">
        <f>IF(B$17=0,0,C21/B$17)</f>
        <v>10097.9633401222</v>
      </c>
      <c r="C21" s="43">
        <v>19832400</v>
      </c>
      <c r="E21" s="65" t="s">
        <v>81</v>
      </c>
      <c r="F21" s="62" t="s">
        <v>34</v>
      </c>
      <c r="G21" s="49">
        <v>9</v>
      </c>
      <c r="H21" s="138">
        <f>IF(B$27=0,0,G21/B$27)</f>
        <v>5.8823529411764705E-3</v>
      </c>
      <c r="I21" s="100">
        <v>5</v>
      </c>
      <c r="K21" s="40">
        <v>19</v>
      </c>
      <c r="L21" s="105">
        <v>-6.1</v>
      </c>
      <c r="N21" s="121" t="s">
        <v>167</v>
      </c>
      <c r="O21" s="131">
        <f>IF(P21=0,0,Q21/P21)</f>
        <v>5.8125</v>
      </c>
      <c r="P21" s="125">
        <v>8</v>
      </c>
      <c r="Q21" s="113">
        <v>46.5</v>
      </c>
    </row>
    <row r="22" spans="1:17" x14ac:dyDescent="0.4">
      <c r="A22" s="59" t="s">
        <v>14</v>
      </c>
      <c r="B22" s="54">
        <f>IF(B$20=0,0,C22/B$20)</f>
        <v>-9382.442067736185</v>
      </c>
      <c r="C22" s="47">
        <v>-10527100</v>
      </c>
      <c r="E22" s="65" t="s">
        <v>97</v>
      </c>
      <c r="F22" s="62" t="s">
        <v>50</v>
      </c>
      <c r="G22" s="49">
        <v>8</v>
      </c>
      <c r="H22" s="138">
        <f>IF(B$27=0,0,G22/B$27)</f>
        <v>5.2287581699346402E-3</v>
      </c>
      <c r="I22" s="100">
        <v>5</v>
      </c>
      <c r="K22" s="40">
        <v>20</v>
      </c>
      <c r="L22" s="105">
        <v>4.9000000000000004</v>
      </c>
      <c r="N22" s="121" t="s">
        <v>134</v>
      </c>
      <c r="O22" s="131">
        <f>IF(P22=0,0,Q22/P22)</f>
        <v>5.4713235294117615</v>
      </c>
      <c r="P22" s="125">
        <v>272</v>
      </c>
      <c r="Q22" s="113">
        <v>1488.1999999999991</v>
      </c>
    </row>
    <row r="23" spans="1:17" x14ac:dyDescent="0.4">
      <c r="A23" s="96" t="s">
        <v>158</v>
      </c>
      <c r="B23" s="145">
        <v>10</v>
      </c>
      <c r="C23" s="146"/>
      <c r="E23" s="65" t="s">
        <v>90</v>
      </c>
      <c r="F23" s="62" t="s">
        <v>43</v>
      </c>
      <c r="G23" s="49">
        <v>6</v>
      </c>
      <c r="H23" s="138">
        <f>IF(B$27=0,0,G23/B$27)</f>
        <v>3.9215686274509803E-3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43">
        <v>124700</v>
      </c>
      <c r="C24" s="144"/>
      <c r="E24" s="65" t="s">
        <v>98</v>
      </c>
      <c r="F24" s="62" t="s">
        <v>51</v>
      </c>
      <c r="G24" s="49">
        <v>6</v>
      </c>
      <c r="H24" s="138">
        <f>IF(B$27=0,0,G24/B$27)</f>
        <v>3.9215686274509803E-3</v>
      </c>
      <c r="I24" s="100">
        <v>4</v>
      </c>
      <c r="K24" s="40">
        <v>22</v>
      </c>
      <c r="L24" s="105">
        <v>-36</v>
      </c>
      <c r="N24" s="121" t="s">
        <v>137</v>
      </c>
      <c r="O24" s="131">
        <f>IF(P24=0,0,Q24/P24)</f>
        <v>-3.4410256410256412</v>
      </c>
      <c r="P24" s="125">
        <v>234</v>
      </c>
      <c r="Q24" s="113">
        <v>-805.2</v>
      </c>
    </row>
    <row r="25" spans="1:17" x14ac:dyDescent="0.4">
      <c r="A25" s="59" t="s">
        <v>159</v>
      </c>
      <c r="B25" s="67">
        <v>20</v>
      </c>
      <c r="C25" s="44">
        <f>IF(B$3=0,0,B25/B$3)</f>
        <v>3.0679552078539652E-3</v>
      </c>
      <c r="E25" s="65" t="s">
        <v>78</v>
      </c>
      <c r="F25" s="62" t="s">
        <v>31</v>
      </c>
      <c r="G25" s="49">
        <v>5</v>
      </c>
      <c r="H25" s="138">
        <f>IF(B$27=0,0,G25/B$27)</f>
        <v>3.2679738562091504E-3</v>
      </c>
      <c r="I25" s="100">
        <v>5</v>
      </c>
      <c r="K25" s="40">
        <v>23</v>
      </c>
      <c r="L25" s="105">
        <v>-3</v>
      </c>
      <c r="N25" s="121" t="s">
        <v>135</v>
      </c>
      <c r="O25" s="131">
        <f>IF(P25=0,0,Q25/P25)</f>
        <v>-5.8142857142857087</v>
      </c>
      <c r="P25" s="125">
        <v>126</v>
      </c>
      <c r="Q25" s="113">
        <v>-732.59999999999934</v>
      </c>
    </row>
    <row r="26" spans="1:17" x14ac:dyDescent="0.4">
      <c r="A26" s="56" t="s">
        <v>126</v>
      </c>
      <c r="B26" s="149">
        <v>5103</v>
      </c>
      <c r="C26" s="150"/>
      <c r="E26" s="65" t="s">
        <v>89</v>
      </c>
      <c r="F26" s="62" t="s">
        <v>42</v>
      </c>
      <c r="G26" s="49">
        <v>4</v>
      </c>
      <c r="H26" s="138">
        <f>IF(B$27=0,0,G26/B$27)</f>
        <v>2.6143790849673201E-3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-10.365637860082298</v>
      </c>
      <c r="P26" s="125">
        <v>486</v>
      </c>
      <c r="Q26" s="113">
        <v>-5037.6999999999971</v>
      </c>
    </row>
    <row r="27" spans="1:17" x14ac:dyDescent="0.4">
      <c r="A27" s="59" t="s">
        <v>127</v>
      </c>
      <c r="B27" s="151">
        <v>1530</v>
      </c>
      <c r="C27" s="152"/>
      <c r="E27" s="65" t="s">
        <v>92</v>
      </c>
      <c r="F27" s="62" t="s">
        <v>45</v>
      </c>
      <c r="G27" s="49">
        <v>3</v>
      </c>
      <c r="H27" s="138">
        <f>IF(B$27=0,0,G27/B$27)</f>
        <v>1.9607843137254902E-3</v>
      </c>
      <c r="I27" s="100">
        <v>3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38">
        <f>IF(B$27=0,0,G28/B$27)</f>
        <v>1.30718954248366E-3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38">
        <f>IF(B$27=0,0,G29/B$27)</f>
        <v>6.5359477124183002E-4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38">
        <f>IF(B$27=0,0,G30/B$27)</f>
        <v>6.5359477124183002E-4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8">
        <f>IF(B$27=0,0,G31/B$27)</f>
        <v>6.5359477124183002E-4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8">
        <f>IF(B$27=0,0,G32/B$27)</f>
        <v>6.5359477124183002E-4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8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  <row r="813" spans="11:12" x14ac:dyDescent="0.4">
      <c r="K813" s="40">
        <v>811</v>
      </c>
      <c r="L813" s="105">
        <v>-4.89999999999994</v>
      </c>
    </row>
    <row r="814" spans="11:12" x14ac:dyDescent="0.4">
      <c r="K814" s="40">
        <v>812</v>
      </c>
      <c r="L814" s="105">
        <v>3.60000000000006</v>
      </c>
    </row>
    <row r="815" spans="11:12" x14ac:dyDescent="0.4">
      <c r="K815" s="40">
        <v>813</v>
      </c>
      <c r="L815" s="105">
        <v>-4.9999999999999396</v>
      </c>
    </row>
    <row r="816" spans="11:12" x14ac:dyDescent="0.4">
      <c r="K816" s="40">
        <v>814</v>
      </c>
      <c r="L816" s="105">
        <v>7.2000000000000597</v>
      </c>
    </row>
    <row r="817" spans="11:12" x14ac:dyDescent="0.4">
      <c r="K817" s="40">
        <v>815</v>
      </c>
      <c r="L817" s="105">
        <v>11.900000000000059</v>
      </c>
    </row>
    <row r="818" spans="11:12" x14ac:dyDescent="0.4">
      <c r="K818" s="40">
        <v>816</v>
      </c>
      <c r="L818" s="105">
        <v>-4.9999999999999396</v>
      </c>
    </row>
    <row r="819" spans="11:12" x14ac:dyDescent="0.4">
      <c r="K819" s="40">
        <v>817</v>
      </c>
      <c r="L819" s="105">
        <v>4.5000000000000604</v>
      </c>
    </row>
    <row r="820" spans="11:12" x14ac:dyDescent="0.4">
      <c r="K820" s="40">
        <v>818</v>
      </c>
      <c r="L820" s="105">
        <v>-6.0999999999999392</v>
      </c>
    </row>
    <row r="821" spans="11:12" x14ac:dyDescent="0.4">
      <c r="K821" s="40">
        <v>819</v>
      </c>
      <c r="L821" s="105">
        <v>-4.9999999999999396</v>
      </c>
    </row>
    <row r="822" spans="11:12" x14ac:dyDescent="0.4">
      <c r="K822" s="40">
        <v>820</v>
      </c>
      <c r="L822" s="105">
        <v>22.20000000000006</v>
      </c>
    </row>
    <row r="823" spans="11:12" x14ac:dyDescent="0.4">
      <c r="K823" s="40">
        <v>821</v>
      </c>
      <c r="L823" s="105">
        <v>28.00000000000006</v>
      </c>
    </row>
    <row r="824" spans="11:12" x14ac:dyDescent="0.4">
      <c r="K824" s="40">
        <v>822</v>
      </c>
      <c r="L824" s="105">
        <v>-4.9999999999999396</v>
      </c>
    </row>
    <row r="825" spans="11:12" x14ac:dyDescent="0.4">
      <c r="K825" s="40">
        <v>823</v>
      </c>
      <c r="L825" s="105">
        <v>-17.599999999999937</v>
      </c>
    </row>
    <row r="826" spans="11:12" x14ac:dyDescent="0.4">
      <c r="K826" s="40">
        <v>824</v>
      </c>
      <c r="L826" s="105">
        <v>2.5000000000000639</v>
      </c>
    </row>
    <row r="827" spans="11:12" x14ac:dyDescent="0.4">
      <c r="K827" s="40">
        <v>825</v>
      </c>
      <c r="L827" s="105">
        <v>-4.9999999999999361</v>
      </c>
    </row>
    <row r="828" spans="11:12" x14ac:dyDescent="0.4">
      <c r="K828" s="40">
        <v>826</v>
      </c>
      <c r="L828" s="105">
        <v>2.5000000000000639</v>
      </c>
    </row>
    <row r="829" spans="11:12" x14ac:dyDescent="0.4">
      <c r="K829" s="40">
        <v>827</v>
      </c>
      <c r="L829" s="105">
        <v>-22.599999999999937</v>
      </c>
    </row>
    <row r="830" spans="11:12" x14ac:dyDescent="0.4">
      <c r="K830" s="40">
        <v>828</v>
      </c>
      <c r="L830" s="105">
        <v>-4.9999999999999361</v>
      </c>
    </row>
    <row r="831" spans="11:12" x14ac:dyDescent="0.4">
      <c r="K831" s="40">
        <v>829</v>
      </c>
      <c r="L831" s="105">
        <v>-22.599999999999937</v>
      </c>
    </row>
    <row r="832" spans="11:12" x14ac:dyDescent="0.4">
      <c r="K832" s="40">
        <v>830</v>
      </c>
      <c r="L832" s="105">
        <v>2.0000000000000639</v>
      </c>
    </row>
    <row r="833" spans="11:12" x14ac:dyDescent="0.4">
      <c r="K833" s="40">
        <v>831</v>
      </c>
      <c r="L833" s="105">
        <v>-5.9999999999999361</v>
      </c>
    </row>
    <row r="834" spans="11:12" x14ac:dyDescent="0.4">
      <c r="K834" s="40">
        <v>832</v>
      </c>
      <c r="L834" s="105">
        <v>1.8000000000000638</v>
      </c>
    </row>
    <row r="835" spans="11:12" x14ac:dyDescent="0.4">
      <c r="K835" s="40">
        <v>833</v>
      </c>
      <c r="L835" s="105">
        <v>-12.599999999999937</v>
      </c>
    </row>
    <row r="836" spans="11:12" x14ac:dyDescent="0.4">
      <c r="K836" s="40">
        <v>834</v>
      </c>
      <c r="L836" s="105">
        <v>-5.9999999999999378</v>
      </c>
    </row>
    <row r="837" spans="11:12" x14ac:dyDescent="0.4">
      <c r="K837" s="40">
        <v>835</v>
      </c>
      <c r="L837" s="105">
        <v>40.900000000000063</v>
      </c>
    </row>
    <row r="838" spans="11:12" x14ac:dyDescent="0.4">
      <c r="K838" s="40">
        <v>836</v>
      </c>
      <c r="L838" s="105">
        <v>1.0000000000000639</v>
      </c>
    </row>
    <row r="839" spans="11:12" x14ac:dyDescent="0.4">
      <c r="K839" s="40">
        <v>837</v>
      </c>
      <c r="L839" s="105">
        <v>-5.9999999999999361</v>
      </c>
    </row>
    <row r="840" spans="11:12" x14ac:dyDescent="0.4">
      <c r="K840" s="40">
        <v>838</v>
      </c>
      <c r="L840" s="105">
        <v>0.30000000000006377</v>
      </c>
    </row>
    <row r="841" spans="11:12" x14ac:dyDescent="0.4">
      <c r="K841" s="40">
        <v>839</v>
      </c>
      <c r="L841" s="105">
        <v>6.3782312764715243E-14</v>
      </c>
    </row>
    <row r="842" spans="11:12" x14ac:dyDescent="0.4">
      <c r="K842" s="40">
        <v>840</v>
      </c>
      <c r="L842" s="105">
        <v>-5.9999999999999361</v>
      </c>
    </row>
    <row r="843" spans="11:12" x14ac:dyDescent="0.4">
      <c r="K843" s="40">
        <v>841</v>
      </c>
      <c r="L843" s="105">
        <v>18.300000000000065</v>
      </c>
    </row>
    <row r="844" spans="11:12" x14ac:dyDescent="0.4">
      <c r="K844" s="40">
        <v>842</v>
      </c>
      <c r="L844" s="105">
        <v>-15.699999999999935</v>
      </c>
    </row>
    <row r="845" spans="11:12" x14ac:dyDescent="0.4">
      <c r="K845" s="40">
        <v>843</v>
      </c>
      <c r="L845" s="105">
        <v>-5.9999999999999361</v>
      </c>
    </row>
    <row r="846" spans="11:12" x14ac:dyDescent="0.4">
      <c r="K846" s="40">
        <v>844</v>
      </c>
      <c r="L846" s="105">
        <v>-16.399999999999935</v>
      </c>
    </row>
    <row r="847" spans="11:12" x14ac:dyDescent="0.4">
      <c r="K847" s="40">
        <v>845</v>
      </c>
      <c r="L847" s="105">
        <v>-27.899999999999935</v>
      </c>
    </row>
    <row r="848" spans="11:12" x14ac:dyDescent="0.4">
      <c r="K848" s="40">
        <v>846</v>
      </c>
      <c r="L848" s="105">
        <v>-5.9999999999999361</v>
      </c>
    </row>
    <row r="849" spans="11:12" x14ac:dyDescent="0.4">
      <c r="K849" s="40">
        <v>847</v>
      </c>
      <c r="L849" s="105">
        <v>-23.199999999999935</v>
      </c>
    </row>
    <row r="850" spans="11:12" x14ac:dyDescent="0.4">
      <c r="K850" s="40">
        <v>848</v>
      </c>
      <c r="L850" s="105">
        <v>-32.499999999999936</v>
      </c>
    </row>
    <row r="851" spans="11:12" x14ac:dyDescent="0.4">
      <c r="K851" s="40">
        <v>849</v>
      </c>
      <c r="L851" s="105">
        <v>-5.9999999999999361</v>
      </c>
    </row>
    <row r="852" spans="11:12" x14ac:dyDescent="0.4">
      <c r="K852" s="40">
        <v>850</v>
      </c>
      <c r="L852" s="105">
        <v>-6.9999999999999361</v>
      </c>
    </row>
    <row r="853" spans="11:12" x14ac:dyDescent="0.4">
      <c r="K853" s="40">
        <v>851</v>
      </c>
      <c r="L853" s="105">
        <v>-23.999999999999936</v>
      </c>
    </row>
    <row r="854" spans="11:12" x14ac:dyDescent="0.4">
      <c r="K854" s="40">
        <v>852</v>
      </c>
      <c r="L854" s="105">
        <v>-5.9999999999999361</v>
      </c>
    </row>
    <row r="855" spans="11:12" x14ac:dyDescent="0.4">
      <c r="K855" s="40">
        <v>853</v>
      </c>
      <c r="L855" s="105">
        <v>13.800000000000065</v>
      </c>
    </row>
    <row r="856" spans="11:12" x14ac:dyDescent="0.4">
      <c r="K856" s="40">
        <v>854</v>
      </c>
      <c r="L856" s="105">
        <v>35.500000000000064</v>
      </c>
    </row>
    <row r="857" spans="11:12" x14ac:dyDescent="0.4">
      <c r="K857" s="40">
        <v>855</v>
      </c>
      <c r="L857" s="105">
        <v>-5.9999999999999361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1D639-0ADA-4473-800E-1B088F150C0E}">
  <sheetPr codeName="Sheet7"/>
  <dimension ref="A1:Q24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133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243</v>
      </c>
      <c r="C2" s="150"/>
      <c r="E2" s="64" t="s">
        <v>71</v>
      </c>
      <c r="F2" s="61" t="s">
        <v>25</v>
      </c>
      <c r="G2" s="48">
        <v>417</v>
      </c>
      <c r="H2" s="137">
        <f>IF(B$27=0,0,G2/B$27)</f>
        <v>0.83399999999999996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1502.0920502092051</v>
      </c>
      <c r="P2" s="124">
        <v>239</v>
      </c>
      <c r="Q2" s="108">
        <v>359000</v>
      </c>
    </row>
    <row r="3" spans="1:17" x14ac:dyDescent="0.4">
      <c r="A3" s="57" t="s">
        <v>8</v>
      </c>
      <c r="B3" s="155">
        <v>1837</v>
      </c>
      <c r="C3" s="156"/>
      <c r="E3" s="65" t="s">
        <v>69</v>
      </c>
      <c r="F3" s="62" t="s">
        <v>23</v>
      </c>
      <c r="G3" s="49">
        <v>359</v>
      </c>
      <c r="H3" s="138">
        <f>IF(B$27=0,0,G3/B$27)</f>
        <v>0.71799999999999997</v>
      </c>
      <c r="I3" s="100">
        <v>7</v>
      </c>
      <c r="K3" s="40">
        <v>1</v>
      </c>
      <c r="L3" s="105">
        <v>15</v>
      </c>
      <c r="N3" s="121" t="s">
        <v>148</v>
      </c>
      <c r="O3" s="128">
        <f t="shared" si="0"/>
        <v>495.23809523809524</v>
      </c>
      <c r="P3" s="125">
        <v>231</v>
      </c>
      <c r="Q3" s="109">
        <v>114400</v>
      </c>
    </row>
    <row r="4" spans="1:17" x14ac:dyDescent="0.4">
      <c r="A4" s="57" t="s">
        <v>6</v>
      </c>
      <c r="B4" s="157">
        <v>1677.8999999999996</v>
      </c>
      <c r="C4" s="158"/>
      <c r="E4" s="65" t="s">
        <v>67</v>
      </c>
      <c r="F4" s="62" t="s">
        <v>21</v>
      </c>
      <c r="G4" s="49">
        <v>271</v>
      </c>
      <c r="H4" s="138">
        <f>IF(B$27=0,0,G4/B$27)</f>
        <v>0.54200000000000004</v>
      </c>
      <c r="I4" s="100">
        <v>8</v>
      </c>
      <c r="K4" s="40">
        <v>2</v>
      </c>
      <c r="L4" s="105">
        <v>14</v>
      </c>
      <c r="N4" s="121" t="s">
        <v>149</v>
      </c>
      <c r="O4" s="128">
        <f t="shared" si="0"/>
        <v>1653.953488372093</v>
      </c>
      <c r="P4" s="125">
        <v>215</v>
      </c>
      <c r="Q4" s="109">
        <v>355600</v>
      </c>
    </row>
    <row r="5" spans="1:17" x14ac:dyDescent="0.4">
      <c r="A5" s="57" t="s">
        <v>7</v>
      </c>
      <c r="B5" s="159">
        <f>IF(B$2=0,0,B$4/B$2)</f>
        <v>6.9049382716049363</v>
      </c>
      <c r="C5" s="160"/>
      <c r="E5" s="65" t="s">
        <v>76</v>
      </c>
      <c r="F5" s="62" t="s">
        <v>29</v>
      </c>
      <c r="G5" s="49">
        <v>265</v>
      </c>
      <c r="H5" s="138">
        <f>IF(B$27=0,0,G5/B$27)</f>
        <v>0.53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0"/>
        <v>1551.5463917525774</v>
      </c>
      <c r="P5" s="125">
        <v>194</v>
      </c>
      <c r="Q5" s="109">
        <v>301000</v>
      </c>
    </row>
    <row r="6" spans="1:17" x14ac:dyDescent="0.4">
      <c r="A6" s="57" t="s">
        <v>1</v>
      </c>
      <c r="B6" s="147">
        <f>IF(B$2=0,0,(B$7*1+B$8*2+B$9*3)/B$2)</f>
        <v>1.7572016460905351</v>
      </c>
      <c r="C6" s="148"/>
      <c r="E6" s="65" t="s">
        <v>72</v>
      </c>
      <c r="F6" s="62" t="s">
        <v>12</v>
      </c>
      <c r="G6" s="49">
        <v>143</v>
      </c>
      <c r="H6" s="138">
        <f>IF(B$27=0,0,G6/B$27)</f>
        <v>0.28599999999999998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1628.8235294117646</v>
      </c>
      <c r="P6" s="125">
        <v>170</v>
      </c>
      <c r="Q6" s="109">
        <v>276900</v>
      </c>
    </row>
    <row r="7" spans="1:17" x14ac:dyDescent="0.4">
      <c r="A7" s="57" t="s">
        <v>2</v>
      </c>
      <c r="B7" s="49">
        <v>108</v>
      </c>
      <c r="C7" s="41">
        <f>IF(B$2=0,0,B7/B$2)</f>
        <v>0.44444444444444442</v>
      </c>
      <c r="E7" s="65" t="s">
        <v>70</v>
      </c>
      <c r="F7" s="62" t="s">
        <v>24</v>
      </c>
      <c r="G7" s="49">
        <v>142</v>
      </c>
      <c r="H7" s="138">
        <f>IF(B$27=0,0,G7/B$27)</f>
        <v>0.28399999999999997</v>
      </c>
      <c r="I7" s="100">
        <v>8</v>
      </c>
      <c r="K7" s="40">
        <v>5</v>
      </c>
      <c r="L7" s="105">
        <v>145.80000000000001</v>
      </c>
      <c r="N7" s="122" t="s">
        <v>152</v>
      </c>
      <c r="O7" s="129">
        <f t="shared" si="0"/>
        <v>1715.3284671532847</v>
      </c>
      <c r="P7" s="126">
        <v>137</v>
      </c>
      <c r="Q7" s="110">
        <v>235000</v>
      </c>
    </row>
    <row r="8" spans="1:17" x14ac:dyDescent="0.4">
      <c r="A8" s="57" t="s">
        <v>3</v>
      </c>
      <c r="B8" s="49">
        <v>86</v>
      </c>
      <c r="C8" s="41">
        <f>IF(B$2=0,0,B8/B$2)</f>
        <v>0.35390946502057613</v>
      </c>
      <c r="E8" s="65" t="s">
        <v>94</v>
      </c>
      <c r="F8" s="62" t="s">
        <v>47</v>
      </c>
      <c r="G8" s="49">
        <v>88</v>
      </c>
      <c r="H8" s="138">
        <f>IF(B$27=0,0,G8/B$27)</f>
        <v>0.17599999999999999</v>
      </c>
      <c r="I8" s="100">
        <v>5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0.20164609053497942</v>
      </c>
      <c r="E9" s="65" t="s">
        <v>73</v>
      </c>
      <c r="F9" s="62" t="s">
        <v>26</v>
      </c>
      <c r="G9" s="49">
        <v>78</v>
      </c>
      <c r="H9" s="138">
        <f>IF(B$27=0,0,G9/B$27)</f>
        <v>0.156</v>
      </c>
      <c r="I9" s="100">
        <v>4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9.8765432098765427E-2</v>
      </c>
      <c r="E10" s="65" t="s">
        <v>68</v>
      </c>
      <c r="F10" s="62" t="s">
        <v>22</v>
      </c>
      <c r="G10" s="49">
        <v>61</v>
      </c>
      <c r="H10" s="138">
        <f>IF(B$27=0,0,G10/B$27)</f>
        <v>0.122</v>
      </c>
      <c r="I10" s="100">
        <v>6</v>
      </c>
      <c r="K10" s="40">
        <v>8</v>
      </c>
      <c r="L10" s="105">
        <v>55.700000000000017</v>
      </c>
      <c r="N10" s="120" t="s">
        <v>253</v>
      </c>
      <c r="O10" s="130">
        <f>IF(P10=0,0,Q10/P10)</f>
        <v>8.6519230769230795</v>
      </c>
      <c r="P10" s="124">
        <v>52</v>
      </c>
      <c r="Q10" s="112">
        <v>449.90000000000015</v>
      </c>
    </row>
    <row r="11" spans="1:17" x14ac:dyDescent="0.4">
      <c r="A11" s="58" t="s">
        <v>155</v>
      </c>
      <c r="B11" s="50">
        <v>46</v>
      </c>
      <c r="C11" s="42">
        <f>IF(B$2=0,0,B11/B$2)</f>
        <v>0.18930041152263374</v>
      </c>
      <c r="E11" s="65" t="s">
        <v>74</v>
      </c>
      <c r="F11" s="62" t="s">
        <v>27</v>
      </c>
      <c r="G11" s="49">
        <v>41</v>
      </c>
      <c r="H11" s="138">
        <f>IF(B$27=0,0,G11/B$27)</f>
        <v>8.2000000000000003E-2</v>
      </c>
      <c r="I11" s="100">
        <v>9</v>
      </c>
      <c r="K11" s="40">
        <v>9</v>
      </c>
      <c r="L11" s="105">
        <v>14.700000000000017</v>
      </c>
      <c r="N11" s="121" t="s">
        <v>254</v>
      </c>
      <c r="O11" s="131">
        <f>IF(P11=0,0,Q11/P11)</f>
        <v>6.2222222222222223</v>
      </c>
      <c r="P11" s="125">
        <v>72</v>
      </c>
      <c r="Q11" s="113">
        <v>448</v>
      </c>
    </row>
    <row r="12" spans="1:17" x14ac:dyDescent="0.4">
      <c r="A12" s="59" t="s">
        <v>239</v>
      </c>
      <c r="B12" s="51">
        <v>25</v>
      </c>
      <c r="C12" s="44">
        <f>IF(B$2=0,0,B12/B$2)</f>
        <v>0.102880658436214</v>
      </c>
      <c r="E12" s="65" t="s">
        <v>91</v>
      </c>
      <c r="F12" s="62" t="s">
        <v>44</v>
      </c>
      <c r="G12" s="49">
        <v>33</v>
      </c>
      <c r="H12" s="138">
        <f>IF(B$27=0,0,G12/B$27)</f>
        <v>6.6000000000000003E-2</v>
      </c>
      <c r="I12" s="100">
        <v>8</v>
      </c>
      <c r="K12" s="40">
        <v>10</v>
      </c>
      <c r="L12" s="105">
        <v>-16.799999999999983</v>
      </c>
      <c r="N12" s="122" t="s">
        <v>255</v>
      </c>
      <c r="O12" s="132">
        <f>IF(P12=0,0,Q12/P12)</f>
        <v>6.4862068965517237</v>
      </c>
      <c r="P12" s="126">
        <v>116</v>
      </c>
      <c r="Q12" s="114">
        <v>752.4</v>
      </c>
    </row>
    <row r="13" spans="1:17" x14ac:dyDescent="0.4">
      <c r="A13" s="60" t="s">
        <v>128</v>
      </c>
      <c r="B13" s="52">
        <v>421</v>
      </c>
      <c r="C13" s="46">
        <f>IF(B$26=0,0,B13/B$26)</f>
        <v>0.30485155684286747</v>
      </c>
      <c r="E13" s="65" t="s">
        <v>75</v>
      </c>
      <c r="F13" s="62" t="s">
        <v>28</v>
      </c>
      <c r="G13" s="49">
        <v>32</v>
      </c>
      <c r="H13" s="138">
        <f>IF(B$27=0,0,G13/B$27)</f>
        <v>6.4000000000000001E-2</v>
      </c>
      <c r="I13" s="100">
        <v>2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288</v>
      </c>
      <c r="C14" s="41">
        <f>IF(B$26=0,0,B14/B$26)</f>
        <v>0.20854453294713976</v>
      </c>
      <c r="E14" s="65" t="s">
        <v>88</v>
      </c>
      <c r="F14" s="62" t="s">
        <v>41</v>
      </c>
      <c r="G14" s="49">
        <v>16</v>
      </c>
      <c r="H14" s="138">
        <f>IF(B$27=0,0,G14/B$27)</f>
        <v>3.2000000000000001E-2</v>
      </c>
      <c r="I14" s="100">
        <v>7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273</v>
      </c>
      <c r="C15" s="39">
        <f>IF(B$13=0,0,B15/B$13)</f>
        <v>0.64845605700712594</v>
      </c>
      <c r="E15" s="65" t="s">
        <v>86</v>
      </c>
      <c r="F15" s="62" t="s">
        <v>39</v>
      </c>
      <c r="G15" s="49">
        <v>11</v>
      </c>
      <c r="H15" s="138">
        <f>IF(B$27=0,0,G15/B$27)</f>
        <v>2.1999999999999999E-2</v>
      </c>
      <c r="I15" s="100">
        <v>8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140</v>
      </c>
      <c r="C16" s="39">
        <f>IF(B$14=0,0,B16/B$14)</f>
        <v>0.4861111111111111</v>
      </c>
      <c r="E16" s="65" t="s">
        <v>96</v>
      </c>
      <c r="F16" s="62" t="s">
        <v>49</v>
      </c>
      <c r="G16" s="49">
        <v>8</v>
      </c>
      <c r="H16" s="138">
        <f>IF(B$27=0,0,G16/B$27)</f>
        <v>1.6E-2</v>
      </c>
      <c r="I16" s="100">
        <v>9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656</v>
      </c>
      <c r="C17" s="39">
        <f>IF(B$3=0,0,B17/B$3)</f>
        <v>0.35710397387044096</v>
      </c>
      <c r="E17" s="65" t="s">
        <v>82</v>
      </c>
      <c r="F17" s="62" t="s">
        <v>35</v>
      </c>
      <c r="G17" s="49">
        <v>7</v>
      </c>
      <c r="H17" s="138">
        <f>IF(B$27=0,0,G17/B$27)</f>
        <v>1.4E-2</v>
      </c>
      <c r="I17" s="100">
        <v>9</v>
      </c>
      <c r="K17" s="40">
        <v>15</v>
      </c>
      <c r="L17" s="105">
        <v>-9.6999999999999886</v>
      </c>
      <c r="N17" s="121" t="s">
        <v>157</v>
      </c>
      <c r="O17" s="131">
        <f>IF(P17=0,0,Q17/P17)</f>
        <v>27.285714285714285</v>
      </c>
      <c r="P17" s="125">
        <v>21</v>
      </c>
      <c r="Q17" s="113">
        <v>573</v>
      </c>
    </row>
    <row r="18" spans="1:17" x14ac:dyDescent="0.4">
      <c r="A18" s="57" t="s">
        <v>12</v>
      </c>
      <c r="B18" s="49">
        <v>246</v>
      </c>
      <c r="C18" s="41">
        <f>IF(B$17=0,0,B18/B$17)</f>
        <v>0.375</v>
      </c>
      <c r="E18" s="65" t="s">
        <v>83</v>
      </c>
      <c r="F18" s="62" t="s">
        <v>36</v>
      </c>
      <c r="G18" s="49">
        <v>5</v>
      </c>
      <c r="H18" s="138">
        <f>IF(B$27=0,0,G18/B$27)</f>
        <v>0.01</v>
      </c>
      <c r="I18" s="100">
        <v>9</v>
      </c>
      <c r="K18" s="40">
        <v>16</v>
      </c>
      <c r="L18" s="105">
        <v>-8.099999999999989</v>
      </c>
      <c r="N18" s="121" t="s">
        <v>250</v>
      </c>
      <c r="O18" s="131">
        <f>IF(P18=0,0,Q18/P18)</f>
        <v>26.587499999999995</v>
      </c>
      <c r="P18" s="125">
        <v>8</v>
      </c>
      <c r="Q18" s="113">
        <v>212.69999999999996</v>
      </c>
    </row>
    <row r="19" spans="1:17" x14ac:dyDescent="0.4">
      <c r="A19" s="57" t="s">
        <v>11</v>
      </c>
      <c r="B19" s="49">
        <v>410</v>
      </c>
      <c r="C19" s="41">
        <f>IF(B$17=0,0,B19/B$17)</f>
        <v>0.625</v>
      </c>
      <c r="E19" s="65" t="s">
        <v>79</v>
      </c>
      <c r="F19" s="62" t="s">
        <v>32</v>
      </c>
      <c r="G19" s="49">
        <v>4</v>
      </c>
      <c r="H19" s="138">
        <f>IF(B$27=0,0,G19/B$27)</f>
        <v>8.0000000000000002E-3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>IF(P19=0,0,Q19/P19)</f>
        <v>15.400000000000002</v>
      </c>
      <c r="P19" s="125">
        <v>62</v>
      </c>
      <c r="Q19" s="113">
        <v>954.80000000000018</v>
      </c>
    </row>
    <row r="20" spans="1:17" x14ac:dyDescent="0.4">
      <c r="A20" s="57" t="s">
        <v>13</v>
      </c>
      <c r="B20" s="49">
        <v>260</v>
      </c>
      <c r="C20" s="41">
        <f>IF(B$3=0,0,B20/B$3)</f>
        <v>0.14153511159499182</v>
      </c>
      <c r="E20" s="65" t="s">
        <v>81</v>
      </c>
      <c r="F20" s="62" t="s">
        <v>34</v>
      </c>
      <c r="G20" s="49">
        <v>4</v>
      </c>
      <c r="H20" s="138">
        <f>IF(B$27=0,0,G20/B$27)</f>
        <v>8.0000000000000002E-3</v>
      </c>
      <c r="I20" s="100">
        <v>4</v>
      </c>
      <c r="K20" s="40">
        <v>18</v>
      </c>
      <c r="L20" s="105">
        <v>-14.599999999999985</v>
      </c>
      <c r="N20" s="121" t="s">
        <v>139</v>
      </c>
      <c r="O20" s="131">
        <f>IF(P20=0,0,Q20/P20)</f>
        <v>11.471717171717177</v>
      </c>
      <c r="P20" s="125">
        <v>99</v>
      </c>
      <c r="Q20" s="113">
        <v>1135.7000000000005</v>
      </c>
    </row>
    <row r="21" spans="1:17" x14ac:dyDescent="0.4">
      <c r="A21" s="57" t="s">
        <v>5</v>
      </c>
      <c r="B21" s="53">
        <f>IF(B$17=0,0,C21/B$17)</f>
        <v>9815.0914634146338</v>
      </c>
      <c r="C21" s="43">
        <v>6438700</v>
      </c>
      <c r="E21" s="65" t="s">
        <v>77</v>
      </c>
      <c r="F21" s="62" t="s">
        <v>30</v>
      </c>
      <c r="G21" s="49">
        <v>3</v>
      </c>
      <c r="H21" s="138">
        <f>IF(B$27=0,0,G21/B$27)</f>
        <v>6.0000000000000001E-3</v>
      </c>
      <c r="I21" s="100">
        <v>5</v>
      </c>
      <c r="K21" s="40">
        <v>19</v>
      </c>
      <c r="L21" s="105">
        <v>42.600000000000016</v>
      </c>
      <c r="N21" s="121" t="s">
        <v>134</v>
      </c>
      <c r="O21" s="131">
        <f>IF(P21=0,0,Q21/P21)</f>
        <v>9.2920353982300821</v>
      </c>
      <c r="P21" s="125">
        <v>113</v>
      </c>
      <c r="Q21" s="113">
        <v>1049.9999999999993</v>
      </c>
    </row>
    <row r="22" spans="1:17" x14ac:dyDescent="0.4">
      <c r="A22" s="59" t="s">
        <v>14</v>
      </c>
      <c r="B22" s="54">
        <f>IF(B$20=0,0,C22/B$20)</f>
        <v>-9343.461538461539</v>
      </c>
      <c r="C22" s="47">
        <v>-2429300</v>
      </c>
      <c r="E22" s="65" t="s">
        <v>97</v>
      </c>
      <c r="F22" s="62" t="s">
        <v>50</v>
      </c>
      <c r="G22" s="49">
        <v>3</v>
      </c>
      <c r="H22" s="138">
        <f>IF(B$27=0,0,G22/B$27)</f>
        <v>6.0000000000000001E-3</v>
      </c>
      <c r="I22" s="100">
        <v>4</v>
      </c>
      <c r="K22" s="40">
        <v>20</v>
      </c>
      <c r="L22" s="105">
        <v>68.800000000000011</v>
      </c>
      <c r="N22" s="121" t="s">
        <v>138</v>
      </c>
      <c r="O22" s="131">
        <f>IF(P22=0,0,Q22/P22)</f>
        <v>9.1555555555555568</v>
      </c>
      <c r="P22" s="125">
        <v>27</v>
      </c>
      <c r="Q22" s="113">
        <v>247.20000000000005</v>
      </c>
    </row>
    <row r="23" spans="1:17" x14ac:dyDescent="0.4">
      <c r="A23" s="96" t="s">
        <v>158</v>
      </c>
      <c r="B23" s="145">
        <v>10</v>
      </c>
      <c r="C23" s="146"/>
      <c r="E23" s="65" t="s">
        <v>78</v>
      </c>
      <c r="F23" s="62" t="s">
        <v>31</v>
      </c>
      <c r="G23" s="49">
        <v>2</v>
      </c>
      <c r="H23" s="138">
        <f>IF(B$27=0,0,G23/B$27)</f>
        <v>4.0000000000000001E-3</v>
      </c>
      <c r="I23" s="100">
        <v>3</v>
      </c>
      <c r="K23" s="40">
        <v>21</v>
      </c>
      <c r="L23" s="105">
        <v>125.30000000000001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43">
        <v>120200</v>
      </c>
      <c r="C24" s="144"/>
      <c r="E24" s="65" t="s">
        <v>90</v>
      </c>
      <c r="F24" s="62" t="s">
        <v>43</v>
      </c>
      <c r="G24" s="49">
        <v>2</v>
      </c>
      <c r="H24" s="138">
        <f>IF(B$27=0,0,G24/B$27)</f>
        <v>4.0000000000000001E-3</v>
      </c>
      <c r="I24" s="100">
        <v>3</v>
      </c>
      <c r="K24" s="40">
        <v>22</v>
      </c>
      <c r="L24" s="105">
        <v>99.800000000000011</v>
      </c>
      <c r="N24" s="121" t="s">
        <v>137</v>
      </c>
      <c r="O24" s="131">
        <f>IF(P24=0,0,Q24/P24)</f>
        <v>3.4645833333333331</v>
      </c>
      <c r="P24" s="125">
        <v>96</v>
      </c>
      <c r="Q24" s="113">
        <v>332.59999999999997</v>
      </c>
    </row>
    <row r="25" spans="1:17" x14ac:dyDescent="0.4">
      <c r="A25" s="59" t="s">
        <v>159</v>
      </c>
      <c r="B25" s="67">
        <v>2</v>
      </c>
      <c r="C25" s="44">
        <f>IF(B$3=0,0,B25/B$3)</f>
        <v>1.0887316276537834E-3</v>
      </c>
      <c r="E25" s="65" t="s">
        <v>92</v>
      </c>
      <c r="F25" s="62" t="s">
        <v>45</v>
      </c>
      <c r="G25" s="49">
        <v>2</v>
      </c>
      <c r="H25" s="138">
        <f>IF(B$27=0,0,G25/B$27)</f>
        <v>4.0000000000000001E-3</v>
      </c>
      <c r="I25" s="100">
        <v>2</v>
      </c>
      <c r="K25" s="40">
        <v>23</v>
      </c>
      <c r="L25" s="105">
        <v>124.50000000000001</v>
      </c>
      <c r="N25" s="121" t="s">
        <v>135</v>
      </c>
      <c r="O25" s="131">
        <f>IF(P25=0,0,Q25/P25)</f>
        <v>2.0518518518518509</v>
      </c>
      <c r="P25" s="125">
        <v>54</v>
      </c>
      <c r="Q25" s="113">
        <v>110.79999999999995</v>
      </c>
    </row>
    <row r="26" spans="1:17" x14ac:dyDescent="0.4">
      <c r="A26" s="56" t="s">
        <v>126</v>
      </c>
      <c r="B26" s="149">
        <v>1381</v>
      </c>
      <c r="C26" s="150"/>
      <c r="E26" s="65" t="s">
        <v>95</v>
      </c>
      <c r="F26" s="62" t="s">
        <v>48</v>
      </c>
      <c r="G26" s="49">
        <v>1</v>
      </c>
      <c r="H26" s="138">
        <f>IF(B$27=0,0,G26/B$27)</f>
        <v>2E-3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1">
        <v>500</v>
      </c>
      <c r="C27" s="152"/>
      <c r="E27" s="65" t="s">
        <v>98</v>
      </c>
      <c r="F27" s="62" t="s">
        <v>51</v>
      </c>
      <c r="G27" s="49">
        <v>1</v>
      </c>
      <c r="H27" s="138">
        <f>IF(B$27=0,0,G27/B$27)</f>
        <v>2E-3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38">
        <f>IF(B$27=0,0,G28/B$27)</f>
        <v>2E-3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38">
        <f>IF(B$27=0,0,G29/B$27)</f>
        <v>2E-3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8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  <row r="233" spans="11:12" x14ac:dyDescent="0.4">
      <c r="K233" s="40">
        <v>231</v>
      </c>
      <c r="L233" s="105">
        <v>1540.3999999999996</v>
      </c>
    </row>
    <row r="234" spans="11:12" x14ac:dyDescent="0.4">
      <c r="K234" s="40">
        <v>232</v>
      </c>
      <c r="L234" s="105">
        <v>1552.5999999999997</v>
      </c>
    </row>
    <row r="235" spans="11:12" x14ac:dyDescent="0.4">
      <c r="K235" s="40">
        <v>233</v>
      </c>
      <c r="L235" s="105">
        <v>1562.0999999999997</v>
      </c>
    </row>
    <row r="236" spans="11:12" x14ac:dyDescent="0.4">
      <c r="K236" s="40">
        <v>234</v>
      </c>
      <c r="L236" s="105">
        <v>1589.2999999999997</v>
      </c>
    </row>
    <row r="237" spans="11:12" x14ac:dyDescent="0.4">
      <c r="K237" s="40">
        <v>235</v>
      </c>
      <c r="L237" s="105">
        <v>1576.6999999999998</v>
      </c>
    </row>
    <row r="238" spans="11:12" x14ac:dyDescent="0.4">
      <c r="K238" s="40">
        <v>236</v>
      </c>
      <c r="L238" s="105">
        <v>1584.1999999999998</v>
      </c>
    </row>
    <row r="239" spans="11:12" x14ac:dyDescent="0.4">
      <c r="K239" s="40">
        <v>237</v>
      </c>
      <c r="L239" s="105">
        <v>1591.9999999999998</v>
      </c>
    </row>
    <row r="240" spans="11:12" x14ac:dyDescent="0.4">
      <c r="K240" s="40">
        <v>238</v>
      </c>
      <c r="L240" s="105">
        <v>1638.8999999999999</v>
      </c>
    </row>
    <row r="241" spans="11:12" x14ac:dyDescent="0.4">
      <c r="K241" s="40">
        <v>239</v>
      </c>
      <c r="L241" s="105">
        <v>1645.1999999999998</v>
      </c>
    </row>
    <row r="242" spans="11:12" x14ac:dyDescent="0.4">
      <c r="K242" s="40">
        <v>240</v>
      </c>
      <c r="L242" s="105">
        <v>1669.4999999999998</v>
      </c>
    </row>
    <row r="243" spans="11:12" x14ac:dyDescent="0.4">
      <c r="K243" s="40">
        <v>241</v>
      </c>
      <c r="L243" s="105">
        <v>1659.0999999999997</v>
      </c>
    </row>
    <row r="244" spans="11:12" x14ac:dyDescent="0.4">
      <c r="K244" s="40">
        <v>242</v>
      </c>
      <c r="L244" s="105">
        <v>1658.0999999999997</v>
      </c>
    </row>
    <row r="245" spans="11:12" x14ac:dyDescent="0.4">
      <c r="K245" s="40">
        <v>243</v>
      </c>
      <c r="L245" s="105">
        <v>1677.8999999999996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AE452-6C01-4927-AF77-85E28BD788B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166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67</v>
      </c>
      <c r="F2" s="61" t="s">
        <v>21</v>
      </c>
      <c r="G2" s="48">
        <v>0</v>
      </c>
      <c r="H2" s="137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55">
        <v>25</v>
      </c>
      <c r="C3" s="156"/>
      <c r="E3" s="65" t="s">
        <v>68</v>
      </c>
      <c r="F3" s="62" t="s">
        <v>22</v>
      </c>
      <c r="G3" s="49">
        <v>0</v>
      </c>
      <c r="H3" s="138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57">
        <v>-132.1</v>
      </c>
      <c r="C4" s="158"/>
      <c r="E4" s="65" t="s">
        <v>69</v>
      </c>
      <c r="F4" s="62" t="s">
        <v>23</v>
      </c>
      <c r="G4" s="49">
        <v>0</v>
      </c>
      <c r="H4" s="138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9">
        <f>IF(B$2=0,0,B$4/B$2)</f>
        <v>-33.024999999999999</v>
      </c>
      <c r="C5" s="160"/>
      <c r="E5" s="65" t="s">
        <v>70</v>
      </c>
      <c r="F5" s="62" t="s">
        <v>24</v>
      </c>
      <c r="G5" s="49">
        <v>0</v>
      </c>
      <c r="H5" s="138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47">
        <f>IF(B$2=0,0,(B$7*1+B$8*2+B$9*3)/B$2)</f>
        <v>3</v>
      </c>
      <c r="C6" s="148"/>
      <c r="E6" s="65" t="s">
        <v>71</v>
      </c>
      <c r="F6" s="62" t="s">
        <v>25</v>
      </c>
      <c r="G6" s="49">
        <v>0</v>
      </c>
      <c r="H6" s="138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8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8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8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8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8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8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8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8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8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8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8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8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8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8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8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0</v>
      </c>
      <c r="C23" s="146"/>
      <c r="E23" s="65" t="s">
        <v>88</v>
      </c>
      <c r="F23" s="62" t="s">
        <v>41</v>
      </c>
      <c r="G23" s="49">
        <v>0</v>
      </c>
      <c r="H23" s="138">
        <f>IF(B$27=0,0,G23/B$27)</f>
        <v>0</v>
      </c>
      <c r="I23" s="100">
        <v>12</v>
      </c>
    </row>
    <row r="24" spans="1:17" x14ac:dyDescent="0.4">
      <c r="A24" s="60" t="s">
        <v>199</v>
      </c>
      <c r="B24" s="143">
        <v>13000</v>
      </c>
      <c r="C24" s="144"/>
      <c r="E24" s="65" t="s">
        <v>89</v>
      </c>
      <c r="F24" s="62" t="s">
        <v>42</v>
      </c>
      <c r="G24" s="49">
        <v>0</v>
      </c>
      <c r="H24" s="138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8">
        <f>IF(B$27=0,0,G25/B$27)</f>
        <v>0</v>
      </c>
      <c r="I25" s="100">
        <v>6</v>
      </c>
    </row>
    <row r="26" spans="1:17" x14ac:dyDescent="0.4">
      <c r="A26" s="56" t="s">
        <v>126</v>
      </c>
      <c r="B26" s="149">
        <v>0</v>
      </c>
      <c r="C26" s="150"/>
      <c r="E26" s="65" t="s">
        <v>91</v>
      </c>
      <c r="F26" s="62" t="s">
        <v>44</v>
      </c>
      <c r="G26" s="49">
        <v>0</v>
      </c>
      <c r="H26" s="138">
        <f>IF(B$27=0,0,G26/B$27)</f>
        <v>0</v>
      </c>
      <c r="I26" s="100">
        <v>14</v>
      </c>
    </row>
    <row r="27" spans="1:17" x14ac:dyDescent="0.4">
      <c r="A27" s="59" t="s">
        <v>127</v>
      </c>
      <c r="B27" s="151">
        <v>0</v>
      </c>
      <c r="C27" s="152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D7559-BC6C-4FFE-A526-318A8D41D6E5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167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69</v>
      </c>
      <c r="F2" s="61" t="s">
        <v>23</v>
      </c>
      <c r="G2" s="48">
        <v>5</v>
      </c>
      <c r="H2" s="137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55">
        <v>24</v>
      </c>
      <c r="C3" s="156"/>
      <c r="E3" s="65" t="s">
        <v>76</v>
      </c>
      <c r="F3" s="62" t="s">
        <v>29</v>
      </c>
      <c r="G3" s="49">
        <v>3</v>
      </c>
      <c r="H3" s="138">
        <f>IF(B$27=0,0,G3/B$27)</f>
        <v>0.75</v>
      </c>
      <c r="I3" s="100">
        <v>3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57">
        <v>-15.5</v>
      </c>
      <c r="C4" s="158"/>
      <c r="E4" s="65" t="s">
        <v>67</v>
      </c>
      <c r="F4" s="62" t="s">
        <v>21</v>
      </c>
      <c r="G4" s="49">
        <v>2</v>
      </c>
      <c r="H4" s="138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9">
        <f>IF(B$2=0,0,B$4/B$2)</f>
        <v>-3.875</v>
      </c>
      <c r="C5" s="160"/>
      <c r="E5" s="65" t="s">
        <v>70</v>
      </c>
      <c r="F5" s="62" t="s">
        <v>24</v>
      </c>
      <c r="G5" s="49">
        <v>2</v>
      </c>
      <c r="H5" s="138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71</v>
      </c>
      <c r="F6" s="62" t="s">
        <v>25</v>
      </c>
      <c r="G6" s="49">
        <v>2</v>
      </c>
      <c r="H6" s="138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8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8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8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8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8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8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3</v>
      </c>
      <c r="C23" s="146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46000</v>
      </c>
      <c r="C24" s="144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19</v>
      </c>
      <c r="C26" s="150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4</v>
      </c>
      <c r="C27" s="152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1AA59-CDD2-4BBD-AA73-426D15A9E13A}">
  <sheetPr codeName="Sheet13"/>
  <dimension ref="A1:Q138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134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136</v>
      </c>
      <c r="C2" s="150"/>
      <c r="E2" s="64" t="s">
        <v>71</v>
      </c>
      <c r="F2" s="61" t="s">
        <v>25</v>
      </c>
      <c r="G2" s="48">
        <v>171</v>
      </c>
      <c r="H2" s="137">
        <f>IF(B$27=0,0,G2/B$27)</f>
        <v>0.79534883720930227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-854.47761194029852</v>
      </c>
      <c r="P2" s="124">
        <v>134</v>
      </c>
      <c r="Q2" s="108">
        <v>-114500</v>
      </c>
    </row>
    <row r="3" spans="1:17" x14ac:dyDescent="0.4">
      <c r="A3" s="57" t="s">
        <v>8</v>
      </c>
      <c r="B3" s="155">
        <v>1053</v>
      </c>
      <c r="C3" s="156"/>
      <c r="E3" s="65" t="s">
        <v>69</v>
      </c>
      <c r="F3" s="62" t="s">
        <v>23</v>
      </c>
      <c r="G3" s="49">
        <v>147</v>
      </c>
      <c r="H3" s="138">
        <f>IF(B$27=0,0,G3/B$27)</f>
        <v>0.68372093023255809</v>
      </c>
      <c r="I3" s="100">
        <v>8</v>
      </c>
      <c r="K3" s="40">
        <v>1</v>
      </c>
      <c r="L3" s="105">
        <v>40.9</v>
      </c>
      <c r="N3" s="121" t="s">
        <v>148</v>
      </c>
      <c r="O3" s="128">
        <f t="shared" si="0"/>
        <v>-1213.8461538461538</v>
      </c>
      <c r="P3" s="125">
        <v>130</v>
      </c>
      <c r="Q3" s="109">
        <v>-157800</v>
      </c>
    </row>
    <row r="4" spans="1:17" x14ac:dyDescent="0.4">
      <c r="A4" s="57" t="s">
        <v>6</v>
      </c>
      <c r="B4" s="157">
        <v>-497.4</v>
      </c>
      <c r="C4" s="158"/>
      <c r="E4" s="65" t="s">
        <v>67</v>
      </c>
      <c r="F4" s="62" t="s">
        <v>21</v>
      </c>
      <c r="G4" s="49">
        <v>133</v>
      </c>
      <c r="H4" s="138">
        <f>IF(B$27=0,0,G4/B$27)</f>
        <v>0.61860465116279073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1375.2</v>
      </c>
      <c r="P4" s="125">
        <v>125</v>
      </c>
      <c r="Q4" s="109">
        <v>171900</v>
      </c>
    </row>
    <row r="5" spans="1:17" x14ac:dyDescent="0.4">
      <c r="A5" s="57" t="s">
        <v>7</v>
      </c>
      <c r="B5" s="159">
        <f>IF(B$2=0,0,B$4/B$2)</f>
        <v>-3.6573529411764705</v>
      </c>
      <c r="C5" s="160"/>
      <c r="E5" s="65" t="s">
        <v>76</v>
      </c>
      <c r="F5" s="62" t="s">
        <v>29</v>
      </c>
      <c r="G5" s="49">
        <v>109</v>
      </c>
      <c r="H5" s="138">
        <f>IF(B$27=0,0,G5/B$27)</f>
        <v>0.50697674418604655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-887.5</v>
      </c>
      <c r="P5" s="125">
        <v>112</v>
      </c>
      <c r="Q5" s="109">
        <v>-99400</v>
      </c>
    </row>
    <row r="6" spans="1:17" x14ac:dyDescent="0.4">
      <c r="A6" s="57" t="s">
        <v>1</v>
      </c>
      <c r="B6" s="147">
        <f>IF(B$2=0,0,(B$7*1+B$8*2+B$9*3)/B$2)</f>
        <v>2.1102941176470589</v>
      </c>
      <c r="C6" s="148"/>
      <c r="E6" s="65" t="s">
        <v>72</v>
      </c>
      <c r="F6" s="62" t="s">
        <v>12</v>
      </c>
      <c r="G6" s="49">
        <v>79</v>
      </c>
      <c r="H6" s="138">
        <f>IF(B$27=0,0,G6/B$27)</f>
        <v>0.36744186046511629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-1951.0416666666667</v>
      </c>
      <c r="P6" s="125">
        <v>96</v>
      </c>
      <c r="Q6" s="109">
        <v>-187300</v>
      </c>
    </row>
    <row r="7" spans="1:17" x14ac:dyDescent="0.4">
      <c r="A7" s="57" t="s">
        <v>2</v>
      </c>
      <c r="B7" s="49">
        <v>39</v>
      </c>
      <c r="C7" s="41">
        <f>IF(B$2=0,0,B7/B$2)</f>
        <v>0.28676470588235292</v>
      </c>
      <c r="E7" s="65" t="s">
        <v>70</v>
      </c>
      <c r="F7" s="62" t="s">
        <v>24</v>
      </c>
      <c r="G7" s="49">
        <v>66</v>
      </c>
      <c r="H7" s="138">
        <f>IF(B$27=0,0,G7/B$27)</f>
        <v>0.30697674418604654</v>
      </c>
      <c r="I7" s="100">
        <v>6</v>
      </c>
      <c r="K7" s="40">
        <v>5</v>
      </c>
      <c r="L7" s="105">
        <v>14.600000000000001</v>
      </c>
      <c r="N7" s="122" t="s">
        <v>152</v>
      </c>
      <c r="O7" s="129">
        <f t="shared" si="0"/>
        <v>-1737.3333333333333</v>
      </c>
      <c r="P7" s="126">
        <v>75</v>
      </c>
      <c r="Q7" s="110">
        <v>-130300</v>
      </c>
    </row>
    <row r="8" spans="1:17" x14ac:dyDescent="0.4">
      <c r="A8" s="57" t="s">
        <v>3</v>
      </c>
      <c r="B8" s="49">
        <v>43</v>
      </c>
      <c r="C8" s="41">
        <f>IF(B$2=0,0,B8/B$2)</f>
        <v>0.31617647058823528</v>
      </c>
      <c r="E8" s="65" t="s">
        <v>94</v>
      </c>
      <c r="F8" s="62" t="s">
        <v>47</v>
      </c>
      <c r="G8" s="49">
        <v>38</v>
      </c>
      <c r="H8" s="138">
        <f>IF(B$27=0,0,G8/B$27)</f>
        <v>0.17674418604651163</v>
      </c>
      <c r="I8" s="100">
        <v>3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54</v>
      </c>
      <c r="C9" s="42">
        <f t="shared" ref="C9" si="1">IF(B$2=0,0,B9/B$2)</f>
        <v>0.39705882352941174</v>
      </c>
      <c r="E9" s="65" t="s">
        <v>73</v>
      </c>
      <c r="F9" s="62" t="s">
        <v>26</v>
      </c>
      <c r="G9" s="49">
        <v>33</v>
      </c>
      <c r="H9" s="138">
        <f>IF(B$27=0,0,G9/B$27)</f>
        <v>0.15348837209302327</v>
      </c>
      <c r="I9" s="100">
        <v>6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26</v>
      </c>
      <c r="C10" s="42">
        <f>IF(B$2=0,0,B10/B$2)</f>
        <v>0.19117647058823528</v>
      </c>
      <c r="E10" s="65" t="s">
        <v>68</v>
      </c>
      <c r="F10" s="62" t="s">
        <v>22</v>
      </c>
      <c r="G10" s="49">
        <v>31</v>
      </c>
      <c r="H10" s="138">
        <f>IF(B$27=0,0,G10/B$27)</f>
        <v>0.14418604651162792</v>
      </c>
      <c r="I10" s="100">
        <v>5</v>
      </c>
      <c r="K10" s="40">
        <v>8</v>
      </c>
      <c r="L10" s="105">
        <v>60.199999999999996</v>
      </c>
      <c r="N10" s="120" t="s">
        <v>253</v>
      </c>
      <c r="O10" s="130">
        <f>IF(P10=0,0,Q10/P10)</f>
        <v>-7.3999999999999995</v>
      </c>
      <c r="P10" s="124">
        <v>44</v>
      </c>
      <c r="Q10" s="112">
        <v>-325.59999999999997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0.125</v>
      </c>
      <c r="E11" s="65" t="s">
        <v>74</v>
      </c>
      <c r="F11" s="62" t="s">
        <v>27</v>
      </c>
      <c r="G11" s="49">
        <v>29</v>
      </c>
      <c r="H11" s="138">
        <f>IF(B$27=0,0,G11/B$27)</f>
        <v>0.13488372093023257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-4.3579999999999997</v>
      </c>
      <c r="P11" s="125">
        <v>50</v>
      </c>
      <c r="Q11" s="113">
        <v>-217.89999999999998</v>
      </c>
    </row>
    <row r="12" spans="1:17" x14ac:dyDescent="0.4">
      <c r="A12" s="59" t="s">
        <v>239</v>
      </c>
      <c r="B12" s="51">
        <v>10</v>
      </c>
      <c r="C12" s="44">
        <f>IF(B$2=0,0,B12/B$2)</f>
        <v>7.3529411764705885E-2</v>
      </c>
      <c r="E12" s="65" t="s">
        <v>91</v>
      </c>
      <c r="F12" s="62" t="s">
        <v>44</v>
      </c>
      <c r="G12" s="49">
        <v>20</v>
      </c>
      <c r="H12" s="138">
        <f>IF(B$27=0,0,G12/B$27)</f>
        <v>9.3023255813953487E-2</v>
      </c>
      <c r="I12" s="100">
        <v>4</v>
      </c>
      <c r="K12" s="40">
        <v>10</v>
      </c>
      <c r="L12" s="105">
        <v>-20.100000000000001</v>
      </c>
      <c r="N12" s="122" t="s">
        <v>255</v>
      </c>
      <c r="O12" s="132">
        <f>IF(P12=0,0,Q12/P12)</f>
        <v>-9.5121951219512155E-2</v>
      </c>
      <c r="P12" s="126">
        <v>41</v>
      </c>
      <c r="Q12" s="114">
        <v>-3.8999999999999986</v>
      </c>
    </row>
    <row r="13" spans="1:17" x14ac:dyDescent="0.4">
      <c r="A13" s="60" t="s">
        <v>128</v>
      </c>
      <c r="B13" s="52">
        <v>232</v>
      </c>
      <c r="C13" s="46">
        <f>IF(B$26=0,0,B13/B$26)</f>
        <v>0.29292929292929293</v>
      </c>
      <c r="E13" s="65" t="s">
        <v>88</v>
      </c>
      <c r="F13" s="62" t="s">
        <v>41</v>
      </c>
      <c r="G13" s="49">
        <v>16</v>
      </c>
      <c r="H13" s="138">
        <f>IF(B$27=0,0,G13/B$27)</f>
        <v>7.441860465116279E-2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141</v>
      </c>
      <c r="C14" s="41">
        <f>IF(B$26=0,0,B14/B$26)</f>
        <v>0.17803030303030304</v>
      </c>
      <c r="E14" s="65" t="s">
        <v>86</v>
      </c>
      <c r="F14" s="62" t="s">
        <v>39</v>
      </c>
      <c r="G14" s="49">
        <v>10</v>
      </c>
      <c r="H14" s="138">
        <f>IF(B$27=0,0,G14/B$27)</f>
        <v>4.6511627906976744E-2</v>
      </c>
      <c r="I14" s="100">
        <v>3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135</v>
      </c>
      <c r="C15" s="39">
        <f>IF(B$13=0,0,B15/B$13)</f>
        <v>0.5818965517241379</v>
      </c>
      <c r="E15" s="65" t="s">
        <v>75</v>
      </c>
      <c r="F15" s="62" t="s">
        <v>28</v>
      </c>
      <c r="G15" s="49">
        <v>7</v>
      </c>
      <c r="H15" s="138">
        <f>IF(B$27=0,0,G15/B$27)</f>
        <v>3.255813953488372E-2</v>
      </c>
      <c r="I15" s="100">
        <v>9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55</v>
      </c>
      <c r="C16" s="39">
        <f>IF(B$14=0,0,B16/B$14)</f>
        <v>0.39007092198581561</v>
      </c>
      <c r="E16" s="65" t="s">
        <v>96</v>
      </c>
      <c r="F16" s="62" t="s">
        <v>49</v>
      </c>
      <c r="G16" s="49">
        <v>7</v>
      </c>
      <c r="H16" s="138">
        <f>IF(B$27=0,0,G16/B$27)</f>
        <v>3.255813953488372E-2</v>
      </c>
      <c r="I16" s="100">
        <v>2</v>
      </c>
      <c r="K16" s="40">
        <v>14</v>
      </c>
      <c r="L16" s="105">
        <v>33</v>
      </c>
      <c r="N16" s="121" t="s">
        <v>167</v>
      </c>
      <c r="O16" s="131">
        <f>IF(P16=0,0,Q16/P16)</f>
        <v>26.466666666666669</v>
      </c>
      <c r="P16" s="125">
        <v>3</v>
      </c>
      <c r="Q16" s="113">
        <v>79.400000000000006</v>
      </c>
    </row>
    <row r="17" spans="1:17" x14ac:dyDescent="0.4">
      <c r="A17" s="56" t="s">
        <v>10</v>
      </c>
      <c r="B17" s="48">
        <f>B19+B18</f>
        <v>276</v>
      </c>
      <c r="C17" s="39">
        <f>IF(B$3=0,0,B17/B$3)</f>
        <v>0.2621082621082621</v>
      </c>
      <c r="E17" s="65" t="s">
        <v>82</v>
      </c>
      <c r="F17" s="62" t="s">
        <v>35</v>
      </c>
      <c r="G17" s="49">
        <v>5</v>
      </c>
      <c r="H17" s="138">
        <f>IF(B$27=0,0,G17/B$27)</f>
        <v>2.3255813953488372E-2</v>
      </c>
      <c r="I17" s="100">
        <v>7</v>
      </c>
      <c r="K17" s="40">
        <v>15</v>
      </c>
      <c r="L17" s="105">
        <v>38.5</v>
      </c>
      <c r="N17" s="121" t="s">
        <v>136</v>
      </c>
      <c r="O17" s="131">
        <f>IF(P17=0,0,Q17/P17)</f>
        <v>24.274999999999999</v>
      </c>
      <c r="P17" s="125">
        <v>20</v>
      </c>
      <c r="Q17" s="113">
        <v>485.49999999999994</v>
      </c>
    </row>
    <row r="18" spans="1:17" x14ac:dyDescent="0.4">
      <c r="A18" s="57" t="s">
        <v>12</v>
      </c>
      <c r="B18" s="49">
        <v>124</v>
      </c>
      <c r="C18" s="41">
        <f>IF(B$17=0,0,B18/B$17)</f>
        <v>0.44927536231884058</v>
      </c>
      <c r="E18" s="65" t="s">
        <v>83</v>
      </c>
      <c r="F18" s="62" t="s">
        <v>36</v>
      </c>
      <c r="G18" s="49">
        <v>3</v>
      </c>
      <c r="H18" s="138">
        <f>IF(B$27=0,0,G18/B$27)</f>
        <v>1.3953488372093023E-2</v>
      </c>
      <c r="I18" s="100">
        <v>7</v>
      </c>
      <c r="K18" s="40">
        <v>16</v>
      </c>
      <c r="L18" s="105">
        <v>14.600000000000001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152</v>
      </c>
      <c r="C19" s="41">
        <f>IF(B$17=0,0,B19/B$17)</f>
        <v>0.55072463768115942</v>
      </c>
      <c r="E19" s="65" t="s">
        <v>89</v>
      </c>
      <c r="F19" s="62" t="s">
        <v>42</v>
      </c>
      <c r="G19" s="49">
        <v>2</v>
      </c>
      <c r="H19" s="138">
        <f>IF(B$27=0,0,G19/B$27)</f>
        <v>9.3023255813953487E-3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204</v>
      </c>
      <c r="C20" s="41">
        <f>IF(B$3=0,0,B20/B$3)</f>
        <v>0.19373219373219372</v>
      </c>
      <c r="E20" s="65" t="s">
        <v>90</v>
      </c>
      <c r="F20" s="62" t="s">
        <v>43</v>
      </c>
      <c r="G20" s="49">
        <v>2</v>
      </c>
      <c r="H20" s="138">
        <f>IF(B$27=0,0,G20/B$27)</f>
        <v>9.3023255813953487E-3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-9.2920353982300821</v>
      </c>
      <c r="P20" s="125">
        <v>113</v>
      </c>
      <c r="Q20" s="113">
        <v>-1049.9999999999993</v>
      </c>
    </row>
    <row r="21" spans="1:17" x14ac:dyDescent="0.4">
      <c r="A21" s="57" t="s">
        <v>5</v>
      </c>
      <c r="B21" s="53">
        <f>IF(B$17=0,0,C21/B$17)</f>
        <v>10943.840579710144</v>
      </c>
      <c r="C21" s="43">
        <v>3020500</v>
      </c>
      <c r="E21" s="65" t="s">
        <v>97</v>
      </c>
      <c r="F21" s="62" t="s">
        <v>50</v>
      </c>
      <c r="G21" s="49">
        <v>2</v>
      </c>
      <c r="H21" s="138">
        <f>IF(B$27=0,0,G21/B$27)</f>
        <v>9.3023255813953487E-3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-9620.5882352941171</v>
      </c>
      <c r="C22" s="47">
        <v>-1962600</v>
      </c>
      <c r="E22" s="65" t="s">
        <v>77</v>
      </c>
      <c r="F22" s="62" t="s">
        <v>30</v>
      </c>
      <c r="G22" s="49">
        <v>1</v>
      </c>
      <c r="H22" s="138">
        <f>IF(B$27=0,0,G22/B$27)</f>
        <v>4.6511627906976744E-3</v>
      </c>
      <c r="I22" s="100">
        <v>6</v>
      </c>
      <c r="K22" s="40">
        <v>20</v>
      </c>
      <c r="L22" s="105">
        <v>-57.899999999999991</v>
      </c>
      <c r="N22" s="121" t="s">
        <v>135</v>
      </c>
      <c r="O22" s="131">
        <f>IF(P22=0,0,Q22/P22)</f>
        <v>-15.415789473684203</v>
      </c>
      <c r="P22" s="125">
        <v>38</v>
      </c>
      <c r="Q22" s="113">
        <v>-585.79999999999973</v>
      </c>
    </row>
    <row r="23" spans="1:17" x14ac:dyDescent="0.4">
      <c r="A23" s="96" t="s">
        <v>158</v>
      </c>
      <c r="B23" s="145">
        <v>10</v>
      </c>
      <c r="C23" s="146"/>
      <c r="E23" s="65" t="s">
        <v>78</v>
      </c>
      <c r="F23" s="62" t="s">
        <v>31</v>
      </c>
      <c r="G23" s="49">
        <v>1</v>
      </c>
      <c r="H23" s="138">
        <f>IF(B$27=0,0,G23/B$27)</f>
        <v>4.6511627906976744E-3</v>
      </c>
      <c r="I23" s="100">
        <v>1</v>
      </c>
      <c r="K23" s="40">
        <v>21</v>
      </c>
      <c r="L23" s="105">
        <v>-82.699999999999989</v>
      </c>
      <c r="N23" s="121" t="s">
        <v>137</v>
      </c>
      <c r="O23" s="131">
        <f>IF(P23=0,0,Q23/P23)</f>
        <v>-15.488888888888889</v>
      </c>
      <c r="P23" s="125">
        <v>36</v>
      </c>
      <c r="Q23" s="113">
        <v>-557.6</v>
      </c>
    </row>
    <row r="24" spans="1:17" x14ac:dyDescent="0.4">
      <c r="A24" s="60" t="s">
        <v>199</v>
      </c>
      <c r="B24" s="143">
        <v>97700</v>
      </c>
      <c r="C24" s="144"/>
      <c r="E24" s="65" t="s">
        <v>85</v>
      </c>
      <c r="F24" s="62" t="s">
        <v>38</v>
      </c>
      <c r="G24" s="49">
        <v>1</v>
      </c>
      <c r="H24" s="138">
        <f>IF(B$27=0,0,G24/B$27)</f>
        <v>4.6511627906976744E-3</v>
      </c>
      <c r="I24" s="100">
        <v>1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3.7986704653371322E-3</v>
      </c>
      <c r="E25" s="65" t="s">
        <v>92</v>
      </c>
      <c r="F25" s="62" t="s">
        <v>45</v>
      </c>
      <c r="G25" s="49">
        <v>1</v>
      </c>
      <c r="H25" s="138">
        <f>IF(B$27=0,0,G25/B$27)</f>
        <v>4.6511627906976744E-3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9">
        <v>792</v>
      </c>
      <c r="C26" s="150"/>
      <c r="E26" s="65" t="s">
        <v>93</v>
      </c>
      <c r="F26" s="62" t="s">
        <v>46</v>
      </c>
      <c r="G26" s="49">
        <v>1</v>
      </c>
      <c r="H26" s="138">
        <f>IF(B$27=0,0,G26/B$27)</f>
        <v>4.6511627906976744E-3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1">
        <v>215</v>
      </c>
      <c r="C27" s="152"/>
      <c r="E27" s="65" t="s">
        <v>79</v>
      </c>
      <c r="F27" s="62" t="s">
        <v>32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38">
        <f>IF(B$27=0,0,G29/B$27)</f>
        <v>0</v>
      </c>
      <c r="I29" s="100">
        <v>7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  <row r="134" spans="11:12" x14ac:dyDescent="0.4">
      <c r="K134" s="40">
        <v>132</v>
      </c>
      <c r="L134" s="105">
        <v>-449.7</v>
      </c>
    </row>
    <row r="135" spans="11:12" x14ac:dyDescent="0.4">
      <c r="K135" s="40">
        <v>133</v>
      </c>
      <c r="L135" s="105">
        <v>-489.59999999999997</v>
      </c>
    </row>
    <row r="136" spans="11:12" x14ac:dyDescent="0.4">
      <c r="K136" s="40">
        <v>134</v>
      </c>
      <c r="L136" s="105">
        <v>-489.9</v>
      </c>
    </row>
    <row r="137" spans="11:12" x14ac:dyDescent="0.4">
      <c r="K137" s="40">
        <v>135</v>
      </c>
      <c r="L137" s="105">
        <v>-480.2</v>
      </c>
    </row>
    <row r="138" spans="11:12" x14ac:dyDescent="0.4">
      <c r="K138" s="40">
        <v>136</v>
      </c>
      <c r="L138" s="105">
        <v>-497.4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236-A5C7-4DBF-9699-20DEC683D516}">
  <sheetPr codeName="Sheet15"/>
  <dimension ref="A1:Q6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135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63</v>
      </c>
      <c r="C2" s="150"/>
      <c r="E2" s="64" t="s">
        <v>71</v>
      </c>
      <c r="F2" s="61" t="s">
        <v>25</v>
      </c>
      <c r="G2" s="48">
        <v>63</v>
      </c>
      <c r="H2" s="137">
        <f>IF(B$27=0,0,G2/B$27)</f>
        <v>0.9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-331.74603174603175</v>
      </c>
      <c r="P2" s="124">
        <v>63</v>
      </c>
      <c r="Q2" s="108">
        <v>-20900</v>
      </c>
    </row>
    <row r="3" spans="1:17" x14ac:dyDescent="0.4">
      <c r="A3" s="57" t="s">
        <v>8</v>
      </c>
      <c r="B3" s="155">
        <v>455</v>
      </c>
      <c r="C3" s="156"/>
      <c r="E3" s="65" t="s">
        <v>69</v>
      </c>
      <c r="F3" s="62" t="s">
        <v>23</v>
      </c>
      <c r="G3" s="49">
        <v>61</v>
      </c>
      <c r="H3" s="138">
        <f>IF(B$27=0,0,G3/B$27)</f>
        <v>0.87142857142857144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2160</v>
      </c>
      <c r="P3" s="125">
        <v>60</v>
      </c>
      <c r="Q3" s="109">
        <v>129600</v>
      </c>
    </row>
    <row r="4" spans="1:17" x14ac:dyDescent="0.4">
      <c r="A4" s="57" t="s">
        <v>6</v>
      </c>
      <c r="B4" s="157">
        <v>243.20000000000005</v>
      </c>
      <c r="C4" s="158"/>
      <c r="E4" s="65" t="s">
        <v>76</v>
      </c>
      <c r="F4" s="62" t="s">
        <v>29</v>
      </c>
      <c r="G4" s="49">
        <v>46</v>
      </c>
      <c r="H4" s="138">
        <f>IF(B$27=0,0,G4/B$27)</f>
        <v>0.65714285714285714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-1722.8070175438597</v>
      </c>
      <c r="P4" s="125">
        <v>57</v>
      </c>
      <c r="Q4" s="109">
        <v>-98200</v>
      </c>
    </row>
    <row r="5" spans="1:17" x14ac:dyDescent="0.4">
      <c r="A5" s="57" t="s">
        <v>7</v>
      </c>
      <c r="B5" s="159">
        <f>IF(B$2=0,0,B$4/B$2)</f>
        <v>3.8603174603174613</v>
      </c>
      <c r="C5" s="160"/>
      <c r="E5" s="65" t="s">
        <v>67</v>
      </c>
      <c r="F5" s="62" t="s">
        <v>21</v>
      </c>
      <c r="G5" s="49">
        <v>28</v>
      </c>
      <c r="H5" s="138">
        <f>IF(B$27=0,0,G5/B$27)</f>
        <v>0.4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-566.66666666666663</v>
      </c>
      <c r="P5" s="125">
        <v>48</v>
      </c>
      <c r="Q5" s="109">
        <v>-27200</v>
      </c>
    </row>
    <row r="6" spans="1:17" x14ac:dyDescent="0.4">
      <c r="A6" s="57" t="s">
        <v>1</v>
      </c>
      <c r="B6" s="147">
        <f>IF(B$2=0,0,(B$7*1+B$8*2+B$9*3)/B$2)</f>
        <v>1.9365079365079365</v>
      </c>
      <c r="C6" s="148"/>
      <c r="E6" s="65" t="s">
        <v>72</v>
      </c>
      <c r="F6" s="62" t="s">
        <v>12</v>
      </c>
      <c r="G6" s="49">
        <v>19</v>
      </c>
      <c r="H6" s="138">
        <f>IF(B$27=0,0,G6/B$27)</f>
        <v>0.27142857142857141</v>
      </c>
      <c r="I6" s="100">
        <v>9</v>
      </c>
      <c r="K6" s="40">
        <v>4</v>
      </c>
      <c r="L6" s="105">
        <v>-53.7</v>
      </c>
      <c r="N6" s="121" t="s">
        <v>151</v>
      </c>
      <c r="O6" s="128">
        <f t="shared" si="0"/>
        <v>6638.0952380952385</v>
      </c>
      <c r="P6" s="125">
        <v>42</v>
      </c>
      <c r="Q6" s="109">
        <v>278800</v>
      </c>
    </row>
    <row r="7" spans="1:17" x14ac:dyDescent="0.4">
      <c r="A7" s="57" t="s">
        <v>2</v>
      </c>
      <c r="B7" s="49">
        <v>21</v>
      </c>
      <c r="C7" s="41">
        <f>IF(B$2=0,0,B7/B$2)</f>
        <v>0.33333333333333331</v>
      </c>
      <c r="E7" s="65" t="s">
        <v>70</v>
      </c>
      <c r="F7" s="62" t="s">
        <v>24</v>
      </c>
      <c r="G7" s="49">
        <v>17</v>
      </c>
      <c r="H7" s="138">
        <f>IF(B$27=0,0,G7/B$27)</f>
        <v>0.24285714285714285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-550</v>
      </c>
      <c r="P7" s="126">
        <v>30</v>
      </c>
      <c r="Q7" s="110">
        <v>-16500</v>
      </c>
    </row>
    <row r="8" spans="1:17" x14ac:dyDescent="0.4">
      <c r="A8" s="57" t="s">
        <v>3</v>
      </c>
      <c r="B8" s="49">
        <v>25</v>
      </c>
      <c r="C8" s="41">
        <f>IF(B$2=0,0,B8/B$2)</f>
        <v>0.3968253968253968</v>
      </c>
      <c r="E8" s="65" t="s">
        <v>88</v>
      </c>
      <c r="F8" s="62" t="s">
        <v>41</v>
      </c>
      <c r="G8" s="49">
        <v>7</v>
      </c>
      <c r="H8" s="138">
        <f>IF(B$27=0,0,G8/B$27)</f>
        <v>0.1</v>
      </c>
      <c r="I8" s="100">
        <v>4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0.26984126984126983</v>
      </c>
      <c r="E9" s="65" t="s">
        <v>73</v>
      </c>
      <c r="F9" s="62" t="s">
        <v>26</v>
      </c>
      <c r="G9" s="49">
        <v>6</v>
      </c>
      <c r="H9" s="138">
        <f>IF(B$27=0,0,G9/B$27)</f>
        <v>8.5714285714285715E-2</v>
      </c>
      <c r="I9" s="100">
        <v>11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0.1111111111111111</v>
      </c>
      <c r="E10" s="65" t="s">
        <v>94</v>
      </c>
      <c r="F10" s="62" t="s">
        <v>47</v>
      </c>
      <c r="G10" s="49">
        <v>6</v>
      </c>
      <c r="H10" s="138">
        <f>IF(B$27=0,0,G10/B$27)</f>
        <v>8.5714285714285715E-2</v>
      </c>
      <c r="I10" s="100">
        <v>11</v>
      </c>
      <c r="K10" s="40">
        <v>8</v>
      </c>
      <c r="L10" s="105">
        <v>-59.1</v>
      </c>
      <c r="N10" s="120" t="s">
        <v>253</v>
      </c>
      <c r="O10" s="130">
        <f>IF(P10=0,0,Q10/P10)</f>
        <v>2.6315789473684212</v>
      </c>
      <c r="P10" s="124">
        <v>19</v>
      </c>
      <c r="Q10" s="112">
        <v>50</v>
      </c>
    </row>
    <row r="11" spans="1:17" x14ac:dyDescent="0.4">
      <c r="A11" s="58" t="s">
        <v>155</v>
      </c>
      <c r="B11" s="50">
        <v>11</v>
      </c>
      <c r="C11" s="42">
        <f>IF(B$2=0,0,B11/B$2)</f>
        <v>0.17460317460317459</v>
      </c>
      <c r="E11" s="65" t="s">
        <v>68</v>
      </c>
      <c r="F11" s="62" t="s">
        <v>22</v>
      </c>
      <c r="G11" s="49">
        <v>5</v>
      </c>
      <c r="H11" s="138">
        <f>IF(B$27=0,0,G11/B$27)</f>
        <v>7.1428571428571425E-2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5.484375</v>
      </c>
      <c r="P11" s="125">
        <v>32</v>
      </c>
      <c r="Q11" s="113">
        <v>175.5</v>
      </c>
    </row>
    <row r="12" spans="1:17" x14ac:dyDescent="0.4">
      <c r="A12" s="59" t="s">
        <v>239</v>
      </c>
      <c r="B12" s="51">
        <v>3</v>
      </c>
      <c r="C12" s="44">
        <f>IF(B$2=0,0,B12/B$2)</f>
        <v>4.7619047619047616E-2</v>
      </c>
      <c r="E12" s="65" t="s">
        <v>74</v>
      </c>
      <c r="F12" s="62" t="s">
        <v>27</v>
      </c>
      <c r="G12" s="49">
        <v>5</v>
      </c>
      <c r="H12" s="138">
        <f>IF(B$27=0,0,G12/B$27)</f>
        <v>7.1428571428571425E-2</v>
      </c>
      <c r="I12" s="100">
        <v>11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49</v>
      </c>
      <c r="C13" s="46">
        <f>IF(B$26=0,0,B13/B$26)</f>
        <v>0.22580645161290322</v>
      </c>
      <c r="E13" s="65" t="s">
        <v>86</v>
      </c>
      <c r="F13" s="62" t="s">
        <v>39</v>
      </c>
      <c r="G13" s="49">
        <v>4</v>
      </c>
      <c r="H13" s="138">
        <f>IF(B$27=0,0,G13/B$27)</f>
        <v>5.7142857142857141E-2</v>
      </c>
      <c r="I13" s="100">
        <v>2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67</v>
      </c>
      <c r="C14" s="41">
        <f>IF(B$26=0,0,B14/B$26)</f>
        <v>0.30875576036866359</v>
      </c>
      <c r="E14" s="65" t="s">
        <v>91</v>
      </c>
      <c r="F14" s="62" t="s">
        <v>44</v>
      </c>
      <c r="G14" s="49">
        <v>3</v>
      </c>
      <c r="H14" s="138">
        <f>IF(B$27=0,0,G14/B$27)</f>
        <v>4.2857142857142858E-2</v>
      </c>
      <c r="I14" s="100">
        <v>11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0.5714285714285714</v>
      </c>
      <c r="E15" s="65" t="s">
        <v>96</v>
      </c>
      <c r="F15" s="62" t="s">
        <v>49</v>
      </c>
      <c r="G15" s="49">
        <v>2</v>
      </c>
      <c r="H15" s="138">
        <f>IF(B$27=0,0,G15/B$27)</f>
        <v>2.8571428571428571E-2</v>
      </c>
      <c r="I15" s="100">
        <v>3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28</v>
      </c>
      <c r="C16" s="39">
        <f>IF(B$14=0,0,B16/B$14)</f>
        <v>0.41791044776119401</v>
      </c>
      <c r="E16" s="65" t="s">
        <v>75</v>
      </c>
      <c r="F16" s="62" t="s">
        <v>28</v>
      </c>
      <c r="G16" s="49">
        <v>1</v>
      </c>
      <c r="H16" s="138">
        <f>IF(B$27=0,0,G16/B$27)</f>
        <v>1.4285714285714285E-2</v>
      </c>
      <c r="I16" s="100">
        <v>11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157</v>
      </c>
      <c r="C17" s="39">
        <f>IF(B$3=0,0,B17/B$3)</f>
        <v>0.34505494505494505</v>
      </c>
      <c r="E17" s="65" t="s">
        <v>82</v>
      </c>
      <c r="F17" s="62" t="s">
        <v>35</v>
      </c>
      <c r="G17" s="49">
        <v>1</v>
      </c>
      <c r="H17" s="138">
        <f>IF(B$27=0,0,G17/B$27)</f>
        <v>1.4285714285714285E-2</v>
      </c>
      <c r="I17" s="100">
        <v>8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0.43312101910828027</v>
      </c>
      <c r="E18" s="65" t="s">
        <v>98</v>
      </c>
      <c r="F18" s="62" t="s">
        <v>51</v>
      </c>
      <c r="G18" s="49">
        <v>1</v>
      </c>
      <c r="H18" s="138">
        <f>IF(B$27=0,0,G18/B$27)</f>
        <v>1.4285714285714285E-2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89</v>
      </c>
      <c r="C19" s="41">
        <f>IF(B$17=0,0,B19/B$17)</f>
        <v>0.56687898089171973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134</v>
      </c>
      <c r="O19" s="131">
        <f>IF(P19=0,0,Q19/P19)</f>
        <v>15.415789473684203</v>
      </c>
      <c r="P19" s="125">
        <v>38</v>
      </c>
      <c r="Q19" s="113">
        <v>585.79999999999973</v>
      </c>
    </row>
    <row r="20" spans="1:17" x14ac:dyDescent="0.4">
      <c r="A20" s="57" t="s">
        <v>13</v>
      </c>
      <c r="B20" s="49">
        <v>71</v>
      </c>
      <c r="C20" s="41">
        <f>IF(B$3=0,0,B20/B$3)</f>
        <v>0.15604395604395604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9724.2038216560504</v>
      </c>
      <c r="C21" s="43">
        <v>1526700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-17.700000000000003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-9021.1267605633802</v>
      </c>
      <c r="C22" s="47">
        <v>-640500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69.8</v>
      </c>
      <c r="N23" s="121" t="s">
        <v>133</v>
      </c>
      <c r="O23" s="131">
        <f>IF(P23=0,0,Q23/P23)</f>
        <v>-2.0518518518518514</v>
      </c>
      <c r="P23" s="125">
        <v>54</v>
      </c>
      <c r="Q23" s="113">
        <v>-110.79999999999998</v>
      </c>
    </row>
    <row r="24" spans="1:17" x14ac:dyDescent="0.4">
      <c r="A24" s="60" t="s">
        <v>199</v>
      </c>
      <c r="B24" s="143">
        <v>118000</v>
      </c>
      <c r="C24" s="144"/>
      <c r="E24" s="65" t="s">
        <v>83</v>
      </c>
      <c r="F24" s="62" t="s">
        <v>36</v>
      </c>
      <c r="G24" s="49">
        <v>0</v>
      </c>
      <c r="H24" s="138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2.1978021978021978E-3</v>
      </c>
      <c r="E25" s="65" t="s">
        <v>84</v>
      </c>
      <c r="F25" s="62" t="s">
        <v>37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9">
        <v>217</v>
      </c>
      <c r="C26" s="150"/>
      <c r="E26" s="65" t="s">
        <v>85</v>
      </c>
      <c r="F26" s="62" t="s">
        <v>38</v>
      </c>
      <c r="G26" s="49">
        <v>0</v>
      </c>
      <c r="H26" s="138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1">
        <v>70</v>
      </c>
      <c r="C27" s="152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  <row r="64" spans="5:12" x14ac:dyDescent="0.4">
      <c r="K64" s="40">
        <v>62</v>
      </c>
      <c r="L64" s="105">
        <v>249.20000000000005</v>
      </c>
    </row>
    <row r="65" spans="11:12" x14ac:dyDescent="0.4">
      <c r="K65" s="40">
        <v>63</v>
      </c>
      <c r="L65" s="105">
        <v>243.20000000000005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258C-6C91-4387-8A5B-D4E270496043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171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5</v>
      </c>
      <c r="C2" s="150"/>
      <c r="E2" s="64" t="s">
        <v>67</v>
      </c>
      <c r="F2" s="61" t="s">
        <v>21</v>
      </c>
      <c r="G2" s="48">
        <v>6</v>
      </c>
      <c r="H2" s="137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55">
        <v>37</v>
      </c>
      <c r="C3" s="156"/>
      <c r="E3" s="65" t="s">
        <v>71</v>
      </c>
      <c r="F3" s="62" t="s">
        <v>25</v>
      </c>
      <c r="G3" s="49">
        <v>6</v>
      </c>
      <c r="H3" s="138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57">
        <v>-86.4</v>
      </c>
      <c r="C4" s="158"/>
      <c r="E4" s="65" t="s">
        <v>68</v>
      </c>
      <c r="F4" s="62" t="s">
        <v>22</v>
      </c>
      <c r="G4" s="49">
        <v>4</v>
      </c>
      <c r="H4" s="138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9">
        <f>IF(B$2=0,0,B$4/B$2)</f>
        <v>-17.28</v>
      </c>
      <c r="C5" s="160"/>
      <c r="E5" s="65" t="s">
        <v>76</v>
      </c>
      <c r="F5" s="62" t="s">
        <v>29</v>
      </c>
      <c r="G5" s="49">
        <v>4</v>
      </c>
      <c r="H5" s="138">
        <f>IF(B$27=0,0,G5/B$27)</f>
        <v>0.44444444444444442</v>
      </c>
      <c r="I5" s="100">
        <v>13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47">
        <f>IF(B$2=0,0,(B$7*1+B$8*2+B$9*3)/B$2)</f>
        <v>2.2000000000000002</v>
      </c>
      <c r="C6" s="148"/>
      <c r="E6" s="65" t="s">
        <v>72</v>
      </c>
      <c r="F6" s="62" t="s">
        <v>12</v>
      </c>
      <c r="G6" s="49">
        <v>3</v>
      </c>
      <c r="H6" s="138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8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8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8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8">
        <f>IF(B$27=0,0,G10/B$27)</f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8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8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8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8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8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8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8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8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8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8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3</v>
      </c>
      <c r="C23" s="146"/>
      <c r="E23" s="65" t="s">
        <v>87</v>
      </c>
      <c r="F23" s="62" t="s">
        <v>40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57800</v>
      </c>
      <c r="C24" s="144"/>
      <c r="E24" s="65" t="s">
        <v>88</v>
      </c>
      <c r="F24" s="62" t="s">
        <v>41</v>
      </c>
      <c r="G24" s="49">
        <v>0</v>
      </c>
      <c r="H24" s="138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8">
        <f>IF(B$27=0,0,G25/B$27)</f>
        <v>0</v>
      </c>
      <c r="I25" s="100">
        <v>5</v>
      </c>
    </row>
    <row r="26" spans="1:17" x14ac:dyDescent="0.4">
      <c r="A26" s="56" t="s">
        <v>126</v>
      </c>
      <c r="B26" s="149">
        <v>31</v>
      </c>
      <c r="C26" s="150"/>
      <c r="E26" s="65" t="s">
        <v>90</v>
      </c>
      <c r="F26" s="62" t="s">
        <v>43</v>
      </c>
      <c r="G26" s="49">
        <v>0</v>
      </c>
      <c r="H26" s="138">
        <f>IF(B$27=0,0,G26/B$27)</f>
        <v>0</v>
      </c>
      <c r="I26" s="100">
        <v>6</v>
      </c>
    </row>
    <row r="27" spans="1:17" x14ac:dyDescent="0.4">
      <c r="A27" s="59" t="s">
        <v>127</v>
      </c>
      <c r="B27" s="151">
        <v>9</v>
      </c>
      <c r="C27" s="152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E515D-6FBA-412F-96BA-CE4F202AB480}">
  <sheetPr codeName="Sheet19"/>
  <dimension ref="A1:Q7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136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77</v>
      </c>
      <c r="C2" s="150"/>
      <c r="E2" s="64" t="s">
        <v>71</v>
      </c>
      <c r="F2" s="61" t="s">
        <v>25</v>
      </c>
      <c r="G2" s="48">
        <v>98</v>
      </c>
      <c r="H2" s="137">
        <f>IF(B$27=0,0,G2/B$27)</f>
        <v>0.8990825688073395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-1372.7272727272727</v>
      </c>
      <c r="P2" s="124">
        <v>77</v>
      </c>
      <c r="Q2" s="108">
        <v>-105700</v>
      </c>
    </row>
    <row r="3" spans="1:17" x14ac:dyDescent="0.4">
      <c r="A3" s="57" t="s">
        <v>8</v>
      </c>
      <c r="B3" s="155">
        <v>595</v>
      </c>
      <c r="C3" s="156"/>
      <c r="E3" s="65" t="s">
        <v>69</v>
      </c>
      <c r="F3" s="62" t="s">
        <v>23</v>
      </c>
      <c r="G3" s="49">
        <v>80</v>
      </c>
      <c r="H3" s="138">
        <f>IF(B$27=0,0,G3/B$27)</f>
        <v>0.73394495412844041</v>
      </c>
      <c r="I3" s="100">
        <v>5</v>
      </c>
      <c r="K3" s="40">
        <v>1</v>
      </c>
      <c r="L3" s="105">
        <v>68.2</v>
      </c>
      <c r="N3" s="121" t="s">
        <v>148</v>
      </c>
      <c r="O3" s="128">
        <f t="shared" si="0"/>
        <v>-3119.178082191781</v>
      </c>
      <c r="P3" s="125">
        <v>73</v>
      </c>
      <c r="Q3" s="109">
        <v>-227700</v>
      </c>
    </row>
    <row r="4" spans="1:17" x14ac:dyDescent="0.4">
      <c r="A4" s="57" t="s">
        <v>6</v>
      </c>
      <c r="B4" s="157">
        <v>-517.20000000000005</v>
      </c>
      <c r="C4" s="158"/>
      <c r="E4" s="65" t="s">
        <v>76</v>
      </c>
      <c r="F4" s="62" t="s">
        <v>29</v>
      </c>
      <c r="G4" s="49">
        <v>64</v>
      </c>
      <c r="H4" s="138">
        <f>IF(B$27=0,0,G4/B$27)</f>
        <v>0.58715596330275233</v>
      </c>
      <c r="I4" s="100">
        <v>5</v>
      </c>
      <c r="K4" s="40">
        <v>2</v>
      </c>
      <c r="L4" s="105">
        <v>58.5</v>
      </c>
      <c r="N4" s="121" t="s">
        <v>149</v>
      </c>
      <c r="O4" s="128">
        <f t="shared" si="0"/>
        <v>-1273.8461538461538</v>
      </c>
      <c r="P4" s="125">
        <v>65</v>
      </c>
      <c r="Q4" s="109">
        <v>-82800</v>
      </c>
    </row>
    <row r="5" spans="1:17" x14ac:dyDescent="0.4">
      <c r="A5" s="57" t="s">
        <v>7</v>
      </c>
      <c r="B5" s="159">
        <f>IF(B$2=0,0,B$4/B$2)</f>
        <v>-6.7168831168831176</v>
      </c>
      <c r="C5" s="160"/>
      <c r="E5" s="65" t="s">
        <v>67</v>
      </c>
      <c r="F5" s="62" t="s">
        <v>21</v>
      </c>
      <c r="G5" s="49">
        <v>52</v>
      </c>
      <c r="H5" s="138">
        <f>IF(B$27=0,0,G5/B$27)</f>
        <v>0.47706422018348627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-169.84126984126985</v>
      </c>
      <c r="P5" s="125">
        <v>63</v>
      </c>
      <c r="Q5" s="109">
        <v>-10700</v>
      </c>
    </row>
    <row r="6" spans="1:17" x14ac:dyDescent="0.4">
      <c r="A6" s="57" t="s">
        <v>1</v>
      </c>
      <c r="B6" s="147">
        <f>IF(B$2=0,0,(B$7*1+B$8*2+B$9*3)/B$2)</f>
        <v>2.2077922077922079</v>
      </c>
      <c r="C6" s="148"/>
      <c r="E6" s="65" t="s">
        <v>72</v>
      </c>
      <c r="F6" s="62" t="s">
        <v>12</v>
      </c>
      <c r="G6" s="49">
        <v>36</v>
      </c>
      <c r="H6" s="138">
        <f>IF(B$27=0,0,G6/B$27)</f>
        <v>0.33027522935779818</v>
      </c>
      <c r="I6" s="100">
        <v>4</v>
      </c>
      <c r="K6" s="40">
        <v>4</v>
      </c>
      <c r="L6" s="105">
        <v>57.699999999999996</v>
      </c>
      <c r="N6" s="121" t="s">
        <v>151</v>
      </c>
      <c r="O6" s="128">
        <f t="shared" si="0"/>
        <v>-1553.8461538461538</v>
      </c>
      <c r="P6" s="125">
        <v>52</v>
      </c>
      <c r="Q6" s="109">
        <v>-80800</v>
      </c>
    </row>
    <row r="7" spans="1:17" x14ac:dyDescent="0.4">
      <c r="A7" s="57" t="s">
        <v>2</v>
      </c>
      <c r="B7" s="49">
        <v>17</v>
      </c>
      <c r="C7" s="41">
        <f>IF(B$2=0,0,B7/B$2)</f>
        <v>0.22077922077922077</v>
      </c>
      <c r="E7" s="65" t="s">
        <v>68</v>
      </c>
      <c r="F7" s="62" t="s">
        <v>22</v>
      </c>
      <c r="G7" s="49">
        <v>16</v>
      </c>
      <c r="H7" s="138">
        <f>IF(B$27=0,0,G7/B$27)</f>
        <v>0.14678899082568808</v>
      </c>
      <c r="I7" s="100">
        <v>4</v>
      </c>
      <c r="K7" s="40">
        <v>5</v>
      </c>
      <c r="L7" s="105">
        <v>123.69999999999999</v>
      </c>
      <c r="N7" s="122" t="s">
        <v>152</v>
      </c>
      <c r="O7" s="129">
        <f t="shared" si="0"/>
        <v>-670.73170731707319</v>
      </c>
      <c r="P7" s="126">
        <v>41</v>
      </c>
      <c r="Q7" s="110">
        <v>-27500</v>
      </c>
    </row>
    <row r="8" spans="1:17" x14ac:dyDescent="0.4">
      <c r="A8" s="57" t="s">
        <v>3</v>
      </c>
      <c r="B8" s="49">
        <v>27</v>
      </c>
      <c r="C8" s="41">
        <f>IF(B$2=0,0,B8/B$2)</f>
        <v>0.35064935064935066</v>
      </c>
      <c r="E8" s="65" t="s">
        <v>70</v>
      </c>
      <c r="F8" s="62" t="s">
        <v>24</v>
      </c>
      <c r="G8" s="49">
        <v>15</v>
      </c>
      <c r="H8" s="138">
        <f>IF(B$27=0,0,G8/B$27)</f>
        <v>0.13761467889908258</v>
      </c>
      <c r="I8" s="100">
        <v>12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33</v>
      </c>
      <c r="C9" s="42">
        <f t="shared" ref="C9" si="1">IF(B$2=0,0,B9/B$2)</f>
        <v>0.42857142857142855</v>
      </c>
      <c r="E9" s="65" t="s">
        <v>73</v>
      </c>
      <c r="F9" s="62" t="s">
        <v>26</v>
      </c>
      <c r="G9" s="49">
        <v>14</v>
      </c>
      <c r="H9" s="138">
        <f>IF(B$27=0,0,G9/B$27)</f>
        <v>0.12844036697247707</v>
      </c>
      <c r="I9" s="100">
        <v>8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14</v>
      </c>
      <c r="C10" s="42">
        <f>IF(B$2=0,0,B10/B$2)</f>
        <v>0.18181818181818182</v>
      </c>
      <c r="E10" s="65" t="s">
        <v>74</v>
      </c>
      <c r="F10" s="62" t="s">
        <v>27</v>
      </c>
      <c r="G10" s="49">
        <v>8</v>
      </c>
      <c r="H10" s="138">
        <f>IF(B$27=0,0,G10/B$27)</f>
        <v>7.3394495412844041E-2</v>
      </c>
      <c r="I10" s="100">
        <v>10</v>
      </c>
      <c r="K10" s="40">
        <v>8</v>
      </c>
      <c r="L10" s="105">
        <v>96.5</v>
      </c>
      <c r="N10" s="120" t="s">
        <v>253</v>
      </c>
      <c r="O10" s="130">
        <f>IF(P10=0,0,Q10/P10)</f>
        <v>-8.7529411764705909</v>
      </c>
      <c r="P10" s="124">
        <v>34</v>
      </c>
      <c r="Q10" s="112">
        <v>-297.60000000000008</v>
      </c>
    </row>
    <row r="11" spans="1:17" x14ac:dyDescent="0.4">
      <c r="A11" s="58" t="s">
        <v>155</v>
      </c>
      <c r="B11" s="50">
        <v>9</v>
      </c>
      <c r="C11" s="42">
        <f>IF(B$2=0,0,B11/B$2)</f>
        <v>0.11688311688311688</v>
      </c>
      <c r="E11" s="65" t="s">
        <v>94</v>
      </c>
      <c r="F11" s="62" t="s">
        <v>47</v>
      </c>
      <c r="G11" s="49">
        <v>8</v>
      </c>
      <c r="H11" s="138">
        <f>IF(B$27=0,0,G11/B$27)</f>
        <v>7.3394495412844041E-2</v>
      </c>
      <c r="I11" s="100">
        <v>12</v>
      </c>
      <c r="K11" s="40">
        <v>9</v>
      </c>
      <c r="L11" s="105">
        <v>82.8</v>
      </c>
      <c r="N11" s="121" t="s">
        <v>254</v>
      </c>
      <c r="O11" s="131">
        <f>IF(P11=0,0,Q11/P11)</f>
        <v>-5.1714285714285699</v>
      </c>
      <c r="P11" s="125">
        <v>21</v>
      </c>
      <c r="Q11" s="113">
        <v>-108.59999999999997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5.1948051948051951E-2</v>
      </c>
      <c r="E12" s="65" t="s">
        <v>75</v>
      </c>
      <c r="F12" s="62" t="s">
        <v>28</v>
      </c>
      <c r="G12" s="49">
        <v>6</v>
      </c>
      <c r="H12" s="138">
        <f>IF(B$27=0,0,G12/B$27)</f>
        <v>5.5045871559633031E-2</v>
      </c>
      <c r="I12" s="100">
        <v>4</v>
      </c>
      <c r="K12" s="40">
        <v>10</v>
      </c>
      <c r="L12" s="105">
        <v>110.5</v>
      </c>
      <c r="N12" s="122" t="s">
        <v>255</v>
      </c>
      <c r="O12" s="132">
        <f>IF(P12=0,0,Q12/P12)</f>
        <v>-5.0454545454545459</v>
      </c>
      <c r="P12" s="126">
        <v>22</v>
      </c>
      <c r="Q12" s="114">
        <v>-111</v>
      </c>
    </row>
    <row r="13" spans="1:17" x14ac:dyDescent="0.4">
      <c r="A13" s="60" t="s">
        <v>128</v>
      </c>
      <c r="B13" s="52">
        <v>111</v>
      </c>
      <c r="C13" s="46">
        <f>IF(B$26=0,0,B13/B$26)</f>
        <v>0.26746987951807227</v>
      </c>
      <c r="E13" s="65" t="s">
        <v>82</v>
      </c>
      <c r="F13" s="62" t="s">
        <v>35</v>
      </c>
      <c r="G13" s="49">
        <v>4</v>
      </c>
      <c r="H13" s="138">
        <f>IF(B$27=0,0,G13/B$27)</f>
        <v>3.669724770642202E-2</v>
      </c>
      <c r="I13" s="100">
        <v>5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115</v>
      </c>
      <c r="C14" s="41">
        <f>IF(B$26=0,0,B14/B$26)</f>
        <v>0.27710843373493976</v>
      </c>
      <c r="E14" s="65" t="s">
        <v>91</v>
      </c>
      <c r="F14" s="62" t="s">
        <v>44</v>
      </c>
      <c r="G14" s="49">
        <v>4</v>
      </c>
      <c r="H14" s="138">
        <f>IF(B$27=0,0,G14/B$27)</f>
        <v>3.669724770642202E-2</v>
      </c>
      <c r="I14" s="100">
        <v>12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55</v>
      </c>
      <c r="C15" s="39">
        <f>IF(B$13=0,0,B15/B$13)</f>
        <v>0.49549549549549549</v>
      </c>
      <c r="E15" s="65" t="s">
        <v>83</v>
      </c>
      <c r="F15" s="62" t="s">
        <v>36</v>
      </c>
      <c r="G15" s="49">
        <v>3</v>
      </c>
      <c r="H15" s="138">
        <f>IF(B$27=0,0,G15/B$27)</f>
        <v>2.7522935779816515E-2</v>
      </c>
      <c r="I15" s="100">
        <v>4</v>
      </c>
      <c r="K15" s="40">
        <v>13</v>
      </c>
      <c r="L15" s="105">
        <v>13.299999999999994</v>
      </c>
      <c r="N15" s="120" t="s">
        <v>157</v>
      </c>
      <c r="O15" s="130">
        <f>IF(P15=0,0,Q15/P15)</f>
        <v>16.125</v>
      </c>
      <c r="P15" s="124">
        <v>4</v>
      </c>
      <c r="Q15" s="112">
        <v>64.5</v>
      </c>
    </row>
    <row r="16" spans="1:17" x14ac:dyDescent="0.4">
      <c r="A16" s="56" t="s">
        <v>131</v>
      </c>
      <c r="B16" s="48">
        <v>41</v>
      </c>
      <c r="C16" s="39">
        <f>IF(B$14=0,0,B16/B$14)</f>
        <v>0.35652173913043478</v>
      </c>
      <c r="E16" s="65" t="s">
        <v>86</v>
      </c>
      <c r="F16" s="62" t="s">
        <v>39</v>
      </c>
      <c r="G16" s="49">
        <v>2</v>
      </c>
      <c r="H16" s="138">
        <f>IF(B$27=0,0,G16/B$27)</f>
        <v>1.834862385321101E-2</v>
      </c>
      <c r="I16" s="100">
        <v>9</v>
      </c>
      <c r="K16" s="40">
        <v>14</v>
      </c>
      <c r="L16" s="105">
        <v>4.7999999999999936</v>
      </c>
      <c r="N16" s="121" t="s">
        <v>139</v>
      </c>
      <c r="O16" s="131">
        <f>IF(P16=0,0,Q16/P16)</f>
        <v>6.7058823529411784</v>
      </c>
      <c r="P16" s="125">
        <v>17</v>
      </c>
      <c r="Q16" s="113">
        <v>114.00000000000003</v>
      </c>
    </row>
    <row r="17" spans="1:17" x14ac:dyDescent="0.4">
      <c r="A17" s="56" t="s">
        <v>10</v>
      </c>
      <c r="B17" s="48">
        <f>B19+B18</f>
        <v>160</v>
      </c>
      <c r="C17" s="39">
        <f>IF(B$3=0,0,B17/B$3)</f>
        <v>0.26890756302521007</v>
      </c>
      <c r="E17" s="65" t="s">
        <v>88</v>
      </c>
      <c r="F17" s="62" t="s">
        <v>41</v>
      </c>
      <c r="G17" s="49">
        <v>2</v>
      </c>
      <c r="H17" s="138">
        <f>IF(B$27=0,0,G17/B$27)</f>
        <v>1.834862385321101E-2</v>
      </c>
      <c r="I17" s="100">
        <v>11</v>
      </c>
      <c r="K17" s="40">
        <v>15</v>
      </c>
      <c r="L17" s="105">
        <v>-33.700000000000003</v>
      </c>
      <c r="N17" s="121" t="s">
        <v>137</v>
      </c>
      <c r="O17" s="131">
        <f>IF(P17=0,0,Q17/P17)</f>
        <v>3.2823529411764691</v>
      </c>
      <c r="P17" s="125">
        <v>34</v>
      </c>
      <c r="Q17" s="113">
        <v>111.59999999999995</v>
      </c>
    </row>
    <row r="18" spans="1:17" x14ac:dyDescent="0.4">
      <c r="A18" s="57" t="s">
        <v>12</v>
      </c>
      <c r="B18" s="49">
        <v>77</v>
      </c>
      <c r="C18" s="41">
        <f>IF(B$17=0,0,B18/B$17)</f>
        <v>0.48125000000000001</v>
      </c>
      <c r="E18" s="65" t="s">
        <v>79</v>
      </c>
      <c r="F18" s="62" t="s">
        <v>32</v>
      </c>
      <c r="G18" s="49">
        <v>1</v>
      </c>
      <c r="H18" s="138">
        <f>IF(B$27=0,0,G18/B$27)</f>
        <v>9.1743119266055051E-3</v>
      </c>
      <c r="I18" s="100">
        <v>2</v>
      </c>
      <c r="K18" s="40">
        <v>16</v>
      </c>
      <c r="L18" s="105">
        <v>-45.300000000000004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83</v>
      </c>
      <c r="C19" s="41">
        <f>IF(B$17=0,0,B19/B$17)</f>
        <v>0.51875000000000004</v>
      </c>
      <c r="E19" s="65" t="s">
        <v>81</v>
      </c>
      <c r="F19" s="62" t="s">
        <v>34</v>
      </c>
      <c r="G19" s="49">
        <v>1</v>
      </c>
      <c r="H19" s="138">
        <f>IF(B$27=0,0,G19/B$27)</f>
        <v>9.1743119266055051E-3</v>
      </c>
      <c r="I19" s="100">
        <v>2</v>
      </c>
      <c r="K19" s="40">
        <v>17</v>
      </c>
      <c r="L19" s="105">
        <v>-45.000000000000007</v>
      </c>
      <c r="N19" s="121" t="s">
        <v>133</v>
      </c>
      <c r="O19" s="131">
        <f>IF(P19=0,0,Q19/P19)</f>
        <v>-15.400000000000002</v>
      </c>
      <c r="P19" s="125">
        <v>62</v>
      </c>
      <c r="Q19" s="113">
        <v>-954.80000000000018</v>
      </c>
    </row>
    <row r="20" spans="1:17" x14ac:dyDescent="0.4">
      <c r="A20" s="57" t="s">
        <v>13</v>
      </c>
      <c r="B20" s="49">
        <v>115</v>
      </c>
      <c r="C20" s="41">
        <f>IF(B$3=0,0,B20/B$3)</f>
        <v>0.19327731092436976</v>
      </c>
      <c r="E20" s="65" t="s">
        <v>77</v>
      </c>
      <c r="F20" s="62" t="s">
        <v>30</v>
      </c>
      <c r="G20" s="49">
        <v>0</v>
      </c>
      <c r="H20" s="138">
        <f>IF(B$27=0,0,G20/B$27)</f>
        <v>0</v>
      </c>
      <c r="I20" s="100">
        <v>7</v>
      </c>
      <c r="K20" s="40">
        <v>18</v>
      </c>
      <c r="L20" s="105">
        <v>-30.300000000000008</v>
      </c>
      <c r="N20" s="121" t="s">
        <v>134</v>
      </c>
      <c r="O20" s="131">
        <f>IF(P20=0,0,Q20/P20)</f>
        <v>-24.275000000000002</v>
      </c>
      <c r="P20" s="125">
        <v>20</v>
      </c>
      <c r="Q20" s="113">
        <v>-485.50000000000006</v>
      </c>
    </row>
    <row r="21" spans="1:17" x14ac:dyDescent="0.4">
      <c r="A21" s="57" t="s">
        <v>5</v>
      </c>
      <c r="B21" s="53">
        <f>IF(B$17=0,0,C21/B$17)</f>
        <v>9118.75</v>
      </c>
      <c r="C21" s="43">
        <v>1459000</v>
      </c>
      <c r="E21" s="65" t="s">
        <v>78</v>
      </c>
      <c r="F21" s="62" t="s">
        <v>31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17.699999999999992</v>
      </c>
      <c r="N21" s="121" t="s">
        <v>138</v>
      </c>
      <c r="O21" s="131">
        <f>IF(P21=0,0,Q21/P21)</f>
        <v>-24.993333333333332</v>
      </c>
      <c r="P21" s="125">
        <v>15</v>
      </c>
      <c r="Q21" s="113">
        <v>-374.9</v>
      </c>
    </row>
    <row r="22" spans="1:17" x14ac:dyDescent="0.4">
      <c r="A22" s="59" t="s">
        <v>14</v>
      </c>
      <c r="B22" s="54">
        <f>IF(B$20=0,0,C22/B$20)</f>
        <v>-9637.391304347826</v>
      </c>
      <c r="C22" s="47">
        <v>-1108300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45">
        <v>6</v>
      </c>
      <c r="C23" s="146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43">
        <v>103200</v>
      </c>
      <c r="C24" s="144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3.3613445378151263E-3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9">
        <v>415</v>
      </c>
      <c r="C26" s="150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1">
        <v>109</v>
      </c>
      <c r="C27" s="152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  <row r="70" spans="11:12" x14ac:dyDescent="0.4">
      <c r="K70" s="40">
        <v>68</v>
      </c>
      <c r="L70" s="105">
        <v>-462</v>
      </c>
    </row>
    <row r="71" spans="11:12" x14ac:dyDescent="0.4">
      <c r="K71" s="40">
        <v>69</v>
      </c>
      <c r="L71" s="105">
        <v>-472.6</v>
      </c>
    </row>
    <row r="72" spans="11:12" x14ac:dyDescent="0.4">
      <c r="K72" s="40">
        <v>70</v>
      </c>
      <c r="L72" s="105">
        <v>-466.8</v>
      </c>
    </row>
    <row r="73" spans="11:12" x14ac:dyDescent="0.4">
      <c r="K73" s="40">
        <v>71</v>
      </c>
      <c r="L73" s="105">
        <v>-446.7</v>
      </c>
    </row>
    <row r="74" spans="11:12" x14ac:dyDescent="0.4">
      <c r="K74" s="40">
        <v>72</v>
      </c>
      <c r="L74" s="105">
        <v>-471.8</v>
      </c>
    </row>
    <row r="75" spans="11:12" x14ac:dyDescent="0.4">
      <c r="K75" s="40">
        <v>73</v>
      </c>
      <c r="L75" s="105">
        <v>-486.2</v>
      </c>
    </row>
    <row r="76" spans="11:12" x14ac:dyDescent="0.4">
      <c r="K76" s="40">
        <v>74</v>
      </c>
      <c r="L76" s="105">
        <v>-520.20000000000005</v>
      </c>
    </row>
    <row r="77" spans="11:12" x14ac:dyDescent="0.4">
      <c r="K77" s="40">
        <v>75</v>
      </c>
      <c r="L77" s="105">
        <v>-493.70000000000005</v>
      </c>
    </row>
    <row r="78" spans="11:12" x14ac:dyDescent="0.4">
      <c r="K78" s="40">
        <v>76</v>
      </c>
      <c r="L78" s="105">
        <v>-475.70000000000005</v>
      </c>
    </row>
    <row r="79" spans="11:12" x14ac:dyDescent="0.4">
      <c r="K79" s="40">
        <v>77</v>
      </c>
      <c r="L79" s="105">
        <v>-517.20000000000005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04E2-6E4F-409A-9CA7-14CAD803F363}">
  <sheetPr codeName="Sheet21"/>
  <dimension ref="A1:Q11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137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117</v>
      </c>
      <c r="C2" s="150"/>
      <c r="E2" s="64" t="s">
        <v>71</v>
      </c>
      <c r="F2" s="61" t="s">
        <v>25</v>
      </c>
      <c r="G2" s="48">
        <v>208</v>
      </c>
      <c r="H2" s="137">
        <f>IF(B$27=0,0,G2/B$27)</f>
        <v>0.90829694323144106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1649.5652173913043</v>
      </c>
      <c r="P2" s="124">
        <v>115</v>
      </c>
      <c r="Q2" s="108">
        <v>189700</v>
      </c>
    </row>
    <row r="3" spans="1:17" x14ac:dyDescent="0.4">
      <c r="A3" s="57" t="s">
        <v>8</v>
      </c>
      <c r="B3" s="155">
        <v>884</v>
      </c>
      <c r="C3" s="156"/>
      <c r="E3" s="65" t="s">
        <v>69</v>
      </c>
      <c r="F3" s="62" t="s">
        <v>23</v>
      </c>
      <c r="G3" s="49">
        <v>177</v>
      </c>
      <c r="H3" s="138">
        <f>IF(B$27=0,0,G3/B$27)</f>
        <v>0.77292576419213976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741.28440366972472</v>
      </c>
      <c r="P3" s="125">
        <v>109</v>
      </c>
      <c r="Q3" s="109">
        <v>80800</v>
      </c>
    </row>
    <row r="4" spans="1:17" x14ac:dyDescent="0.4">
      <c r="A4" s="57" t="s">
        <v>6</v>
      </c>
      <c r="B4" s="157">
        <v>267.39999999999981</v>
      </c>
      <c r="C4" s="158"/>
      <c r="E4" s="65" t="s">
        <v>76</v>
      </c>
      <c r="F4" s="62" t="s">
        <v>29</v>
      </c>
      <c r="G4" s="49">
        <v>128</v>
      </c>
      <c r="H4" s="138">
        <f>IF(B$27=0,0,G4/B$27)</f>
        <v>0.55895196506550215</v>
      </c>
      <c r="I4" s="100">
        <v>8</v>
      </c>
      <c r="K4" s="40">
        <v>2</v>
      </c>
      <c r="L4" s="105">
        <v>-45.300000000000004</v>
      </c>
      <c r="N4" s="121" t="s">
        <v>149</v>
      </c>
      <c r="O4" s="128">
        <f t="shared" si="0"/>
        <v>-15.841584158415841</v>
      </c>
      <c r="P4" s="125">
        <v>101</v>
      </c>
      <c r="Q4" s="109">
        <v>-1600</v>
      </c>
    </row>
    <row r="5" spans="1:17" x14ac:dyDescent="0.4">
      <c r="A5" s="57" t="s">
        <v>7</v>
      </c>
      <c r="B5" s="159">
        <f>IF(B$2=0,0,B$4/B$2)</f>
        <v>2.285470085470084</v>
      </c>
      <c r="C5" s="160"/>
      <c r="E5" s="65" t="s">
        <v>67</v>
      </c>
      <c r="F5" s="62" t="s">
        <v>21</v>
      </c>
      <c r="G5" s="49">
        <v>125</v>
      </c>
      <c r="H5" s="138">
        <f>IF(B$27=0,0,G5/B$27)</f>
        <v>0.54585152838427953</v>
      </c>
      <c r="I5" s="100">
        <v>7</v>
      </c>
      <c r="K5" s="40">
        <v>3</v>
      </c>
      <c r="L5" s="105">
        <v>-81.7</v>
      </c>
      <c r="N5" s="121" t="s">
        <v>150</v>
      </c>
      <c r="O5" s="128">
        <f t="shared" si="0"/>
        <v>-1085.2631578947369</v>
      </c>
      <c r="P5" s="125">
        <v>95</v>
      </c>
      <c r="Q5" s="109">
        <v>-103100</v>
      </c>
    </row>
    <row r="6" spans="1:17" x14ac:dyDescent="0.4">
      <c r="A6" s="57" t="s">
        <v>1</v>
      </c>
      <c r="B6" s="147">
        <f>IF(B$2=0,0,(B$7*1+B$8*2+B$9*3)/B$2)</f>
        <v>1.9145299145299146</v>
      </c>
      <c r="C6" s="148"/>
      <c r="E6" s="65" t="s">
        <v>70</v>
      </c>
      <c r="F6" s="62" t="s">
        <v>24</v>
      </c>
      <c r="G6" s="49">
        <v>83</v>
      </c>
      <c r="H6" s="138">
        <f>IF(B$27=0,0,G6/B$27)</f>
        <v>0.36244541484716158</v>
      </c>
      <c r="I6" s="100">
        <v>4</v>
      </c>
      <c r="K6" s="40">
        <v>4</v>
      </c>
      <c r="L6" s="105">
        <v>-114.30000000000001</v>
      </c>
      <c r="N6" s="121" t="s">
        <v>151</v>
      </c>
      <c r="O6" s="128">
        <f t="shared" si="0"/>
        <v>1034.1463414634147</v>
      </c>
      <c r="P6" s="125">
        <v>82</v>
      </c>
      <c r="Q6" s="109">
        <v>84800</v>
      </c>
    </row>
    <row r="7" spans="1:17" x14ac:dyDescent="0.4">
      <c r="A7" s="57" t="s">
        <v>2</v>
      </c>
      <c r="B7" s="49">
        <v>45</v>
      </c>
      <c r="C7" s="41">
        <f>IF(B$2=0,0,B7/B$2)</f>
        <v>0.38461538461538464</v>
      </c>
      <c r="E7" s="65" t="s">
        <v>72</v>
      </c>
      <c r="F7" s="62" t="s">
        <v>12</v>
      </c>
      <c r="G7" s="49">
        <v>72</v>
      </c>
      <c r="H7" s="138">
        <f>IF(B$27=0,0,G7/B$27)</f>
        <v>0.31441048034934499</v>
      </c>
      <c r="I7" s="100">
        <v>6</v>
      </c>
      <c r="K7" s="40">
        <v>5</v>
      </c>
      <c r="L7" s="105">
        <v>-136.30000000000001</v>
      </c>
      <c r="N7" s="122" t="s">
        <v>152</v>
      </c>
      <c r="O7" s="129">
        <f t="shared" si="0"/>
        <v>-346.37681159420288</v>
      </c>
      <c r="P7" s="126">
        <v>69</v>
      </c>
      <c r="Q7" s="110">
        <v>-23900</v>
      </c>
    </row>
    <row r="8" spans="1:17" x14ac:dyDescent="0.4">
      <c r="A8" s="57" t="s">
        <v>3</v>
      </c>
      <c r="B8" s="49">
        <v>37</v>
      </c>
      <c r="C8" s="41">
        <f>IF(B$2=0,0,B8/B$2)</f>
        <v>0.31623931623931623</v>
      </c>
      <c r="E8" s="65" t="s">
        <v>73</v>
      </c>
      <c r="F8" s="62" t="s">
        <v>26</v>
      </c>
      <c r="G8" s="49">
        <v>41</v>
      </c>
      <c r="H8" s="138">
        <f>IF(B$27=0,0,G8/B$27)</f>
        <v>0.17903930131004367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35</v>
      </c>
      <c r="C9" s="42">
        <f t="shared" ref="C9" si="1">IF(B$2=0,0,B9/B$2)</f>
        <v>0.29914529914529914</v>
      </c>
      <c r="E9" s="65" t="s">
        <v>94</v>
      </c>
      <c r="F9" s="62" t="s">
        <v>47</v>
      </c>
      <c r="G9" s="49">
        <v>34</v>
      </c>
      <c r="H9" s="138">
        <f>IF(B$27=0,0,G9/B$27)</f>
        <v>0.14847161572052403</v>
      </c>
      <c r="I9" s="100">
        <v>9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0.1111111111111111</v>
      </c>
      <c r="E10" s="65" t="s">
        <v>68</v>
      </c>
      <c r="F10" s="62" t="s">
        <v>22</v>
      </c>
      <c r="G10" s="49">
        <v>26</v>
      </c>
      <c r="H10" s="138">
        <f>IF(B$27=0,0,G10/B$27)</f>
        <v>0.11353711790393013</v>
      </c>
      <c r="I10" s="100">
        <v>8</v>
      </c>
      <c r="K10" s="40">
        <v>8</v>
      </c>
      <c r="L10" s="105">
        <v>-52.300000000000018</v>
      </c>
      <c r="N10" s="120" t="s">
        <v>253</v>
      </c>
      <c r="O10" s="130">
        <f>IF(P10=0,0,Q10/P10)</f>
        <v>4.2903846153846139</v>
      </c>
      <c r="P10" s="124">
        <v>52</v>
      </c>
      <c r="Q10" s="112">
        <v>223.09999999999991</v>
      </c>
    </row>
    <row r="11" spans="1:17" x14ac:dyDescent="0.4">
      <c r="A11" s="58" t="s">
        <v>155</v>
      </c>
      <c r="B11" s="50">
        <v>20</v>
      </c>
      <c r="C11" s="42">
        <f>IF(B$2=0,0,B11/B$2)</f>
        <v>0.17094017094017094</v>
      </c>
      <c r="E11" s="65" t="s">
        <v>74</v>
      </c>
      <c r="F11" s="62" t="s">
        <v>27</v>
      </c>
      <c r="G11" s="49">
        <v>19</v>
      </c>
      <c r="H11" s="138">
        <f>IF(B$27=0,0,G11/B$27)</f>
        <v>8.296943231441048E-2</v>
      </c>
      <c r="I11" s="100">
        <v>8</v>
      </c>
      <c r="K11" s="40">
        <v>9</v>
      </c>
      <c r="L11" s="105">
        <v>-53.500000000000021</v>
      </c>
      <c r="N11" s="121" t="s">
        <v>254</v>
      </c>
      <c r="O11" s="131">
        <f>IF(P11=0,0,Q11/P11)</f>
        <v>-4.1617647058823541</v>
      </c>
      <c r="P11" s="125">
        <v>34</v>
      </c>
      <c r="Q11" s="113">
        <v>-141.50000000000003</v>
      </c>
    </row>
    <row r="12" spans="1:17" x14ac:dyDescent="0.4">
      <c r="A12" s="59" t="s">
        <v>239</v>
      </c>
      <c r="B12" s="51">
        <v>11</v>
      </c>
      <c r="C12" s="44">
        <f>IF(B$2=0,0,B12/B$2)</f>
        <v>9.4017094017094016E-2</v>
      </c>
      <c r="E12" s="65" t="s">
        <v>75</v>
      </c>
      <c r="F12" s="62" t="s">
        <v>28</v>
      </c>
      <c r="G12" s="49">
        <v>14</v>
      </c>
      <c r="H12" s="138">
        <f>IF(B$27=0,0,G12/B$27)</f>
        <v>6.1135371179039298E-2</v>
      </c>
      <c r="I12" s="100">
        <v>3</v>
      </c>
      <c r="K12" s="40">
        <v>10</v>
      </c>
      <c r="L12" s="105">
        <v>-72.800000000000026</v>
      </c>
      <c r="N12" s="122" t="s">
        <v>255</v>
      </c>
      <c r="O12" s="132">
        <f>IF(P12=0,0,Q12/P12)</f>
        <v>5.2103448275862068</v>
      </c>
      <c r="P12" s="126">
        <v>29</v>
      </c>
      <c r="Q12" s="114">
        <v>151.1</v>
      </c>
    </row>
    <row r="13" spans="1:17" x14ac:dyDescent="0.4">
      <c r="A13" s="60" t="s">
        <v>128</v>
      </c>
      <c r="B13" s="52">
        <v>229</v>
      </c>
      <c r="C13" s="46">
        <f>IF(B$26=0,0,B13/B$26)</f>
        <v>0.30211081794195249</v>
      </c>
      <c r="E13" s="65" t="s">
        <v>82</v>
      </c>
      <c r="F13" s="62" t="s">
        <v>35</v>
      </c>
      <c r="G13" s="49">
        <v>14</v>
      </c>
      <c r="H13" s="138">
        <f>IF(B$27=0,0,G13/B$27)</f>
        <v>6.1135371179039298E-2</v>
      </c>
      <c r="I13" s="100">
        <v>1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161</v>
      </c>
      <c r="C14" s="41">
        <f>IF(B$26=0,0,B14/B$26)</f>
        <v>0.21240105540897097</v>
      </c>
      <c r="E14" s="65" t="s">
        <v>91</v>
      </c>
      <c r="F14" s="62" t="s">
        <v>44</v>
      </c>
      <c r="G14" s="49">
        <v>10</v>
      </c>
      <c r="H14" s="138">
        <f>IF(B$27=0,0,G14/B$27)</f>
        <v>4.3668122270742356E-2</v>
      </c>
      <c r="I14" s="100">
        <v>10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128</v>
      </c>
      <c r="C15" s="39">
        <f>IF(B$13=0,0,B15/B$13)</f>
        <v>0.55895196506550215</v>
      </c>
      <c r="E15" s="65" t="s">
        <v>86</v>
      </c>
      <c r="F15" s="62" t="s">
        <v>39</v>
      </c>
      <c r="G15" s="49">
        <v>9</v>
      </c>
      <c r="H15" s="138">
        <f>IF(B$27=0,0,G15/B$27)</f>
        <v>3.9301310043668124E-2</v>
      </c>
      <c r="I15" s="100">
        <v>5</v>
      </c>
      <c r="K15" s="40">
        <v>13</v>
      </c>
      <c r="L15" s="105">
        <v>-43.200000000000024</v>
      </c>
      <c r="N15" s="120" t="s">
        <v>250</v>
      </c>
      <c r="O15" s="130">
        <f>IF(P15=0,0,Q15/P15)</f>
        <v>33.4</v>
      </c>
      <c r="P15" s="124">
        <v>1</v>
      </c>
      <c r="Q15" s="112">
        <v>33.4</v>
      </c>
    </row>
    <row r="16" spans="1:17" x14ac:dyDescent="0.4">
      <c r="A16" s="56" t="s">
        <v>131</v>
      </c>
      <c r="B16" s="48">
        <v>62</v>
      </c>
      <c r="C16" s="39">
        <f>IF(B$14=0,0,B16/B$14)</f>
        <v>0.38509316770186336</v>
      </c>
      <c r="E16" s="65" t="s">
        <v>88</v>
      </c>
      <c r="F16" s="62" t="s">
        <v>41</v>
      </c>
      <c r="G16" s="49">
        <v>7</v>
      </c>
      <c r="H16" s="138">
        <f>IF(B$27=0,0,G16/B$27)</f>
        <v>3.0567685589519649E-2</v>
      </c>
      <c r="I16" s="100">
        <v>8</v>
      </c>
      <c r="K16" s="40">
        <v>14</v>
      </c>
      <c r="L16" s="105">
        <v>-50.400000000000027</v>
      </c>
      <c r="N16" s="121" t="s">
        <v>134</v>
      </c>
      <c r="O16" s="131">
        <f>IF(P16=0,0,Q16/P16)</f>
        <v>15.488888888888889</v>
      </c>
      <c r="P16" s="125">
        <v>36</v>
      </c>
      <c r="Q16" s="113">
        <v>557.6</v>
      </c>
    </row>
    <row r="17" spans="1:17" x14ac:dyDescent="0.4">
      <c r="A17" s="56" t="s">
        <v>10</v>
      </c>
      <c r="B17" s="48">
        <f>B19+B18</f>
        <v>266</v>
      </c>
      <c r="C17" s="39">
        <f>IF(B$3=0,0,B17/B$3)</f>
        <v>0.3009049773755656</v>
      </c>
      <c r="E17" s="65" t="s">
        <v>96</v>
      </c>
      <c r="F17" s="62" t="s">
        <v>49</v>
      </c>
      <c r="G17" s="49">
        <v>5</v>
      </c>
      <c r="H17" s="138">
        <f>IF(B$27=0,0,G17/B$27)</f>
        <v>2.1834061135371178E-2</v>
      </c>
      <c r="I17" s="100">
        <v>5</v>
      </c>
      <c r="K17" s="40">
        <v>15</v>
      </c>
      <c r="L17" s="105">
        <v>23.89999999999997</v>
      </c>
      <c r="N17" s="121" t="s">
        <v>157</v>
      </c>
      <c r="O17" s="131">
        <f>IF(P17=0,0,Q17/P17)</f>
        <v>15.14</v>
      </c>
      <c r="P17" s="125">
        <v>10</v>
      </c>
      <c r="Q17" s="113">
        <v>151.4</v>
      </c>
    </row>
    <row r="18" spans="1:17" x14ac:dyDescent="0.4">
      <c r="A18" s="57" t="s">
        <v>12</v>
      </c>
      <c r="B18" s="49">
        <v>117</v>
      </c>
      <c r="C18" s="41">
        <f>IF(B$17=0,0,B18/B$17)</f>
        <v>0.43984962406015038</v>
      </c>
      <c r="E18" s="65" t="s">
        <v>77</v>
      </c>
      <c r="F18" s="62" t="s">
        <v>30</v>
      </c>
      <c r="G18" s="49">
        <v>4</v>
      </c>
      <c r="H18" s="138">
        <f>IF(B$27=0,0,G18/B$27)</f>
        <v>1.7467248908296942E-2</v>
      </c>
      <c r="I18" s="100">
        <v>2</v>
      </c>
      <c r="K18" s="40">
        <v>16</v>
      </c>
      <c r="L18" s="105">
        <v>58.89999999999997</v>
      </c>
      <c r="N18" s="121" t="s">
        <v>139</v>
      </c>
      <c r="O18" s="131">
        <f>IF(P18=0,0,Q18/P18)</f>
        <v>14.631707317073168</v>
      </c>
      <c r="P18" s="125">
        <v>41</v>
      </c>
      <c r="Q18" s="113">
        <v>599.89999999999986</v>
      </c>
    </row>
    <row r="19" spans="1:17" x14ac:dyDescent="0.4">
      <c r="A19" s="57" t="s">
        <v>11</v>
      </c>
      <c r="B19" s="49">
        <v>149</v>
      </c>
      <c r="C19" s="41">
        <f>IF(B$17=0,0,B19/B$17)</f>
        <v>0.56015037593984962</v>
      </c>
      <c r="E19" s="65" t="s">
        <v>81</v>
      </c>
      <c r="F19" s="62" t="s">
        <v>34</v>
      </c>
      <c r="G19" s="49">
        <v>2</v>
      </c>
      <c r="H19" s="138">
        <f>IF(B$27=0,0,G19/B$27)</f>
        <v>8.7336244541484712E-3</v>
      </c>
      <c r="I19" s="100">
        <v>3</v>
      </c>
      <c r="K19" s="40">
        <v>17</v>
      </c>
      <c r="L19" s="105">
        <v>58.599999999999973</v>
      </c>
      <c r="N19" s="121" t="s">
        <v>138</v>
      </c>
      <c r="O19" s="131">
        <f>IF(P19=0,0,Q19/P19)</f>
        <v>4.2166666666666677</v>
      </c>
      <c r="P19" s="125">
        <v>6</v>
      </c>
      <c r="Q19" s="113">
        <v>25.300000000000004</v>
      </c>
    </row>
    <row r="20" spans="1:17" x14ac:dyDescent="0.4">
      <c r="A20" s="57" t="s">
        <v>13</v>
      </c>
      <c r="B20" s="49">
        <v>140</v>
      </c>
      <c r="C20" s="41">
        <f>IF(B$3=0,0,B20/B$3)</f>
        <v>0.15837104072398189</v>
      </c>
      <c r="E20" s="65" t="s">
        <v>83</v>
      </c>
      <c r="F20" s="62" t="s">
        <v>36</v>
      </c>
      <c r="G20" s="49">
        <v>2</v>
      </c>
      <c r="H20" s="138">
        <f>IF(B$27=0,0,G20/B$27)</f>
        <v>8.7336244541484712E-3</v>
      </c>
      <c r="I20" s="100">
        <v>10</v>
      </c>
      <c r="K20" s="40">
        <v>18</v>
      </c>
      <c r="L20" s="105">
        <v>122.59999999999997</v>
      </c>
      <c r="N20" s="121" t="s">
        <v>136</v>
      </c>
      <c r="O20" s="131">
        <f>IF(P20=0,0,Q20/P20)</f>
        <v>-3.2823529411764731</v>
      </c>
      <c r="P20" s="125">
        <v>34</v>
      </c>
      <c r="Q20" s="113">
        <v>-111.60000000000008</v>
      </c>
    </row>
    <row r="21" spans="1:17" x14ac:dyDescent="0.4">
      <c r="A21" s="57" t="s">
        <v>5</v>
      </c>
      <c r="B21" s="53">
        <f>IF(B$17=0,0,C21/B$17)</f>
        <v>10393.233082706767</v>
      </c>
      <c r="C21" s="43">
        <v>2764600</v>
      </c>
      <c r="E21" s="65" t="s">
        <v>98</v>
      </c>
      <c r="F21" s="62" t="s">
        <v>51</v>
      </c>
      <c r="G21" s="49">
        <v>2</v>
      </c>
      <c r="H21" s="138">
        <f>IF(B$27=0,0,G21/B$27)</f>
        <v>8.7336244541484712E-3</v>
      </c>
      <c r="I21" s="100">
        <v>2</v>
      </c>
      <c r="K21" s="40">
        <v>19</v>
      </c>
      <c r="L21" s="105">
        <v>125.69999999999996</v>
      </c>
      <c r="N21" s="121" t="s">
        <v>133</v>
      </c>
      <c r="O21" s="131">
        <f>IF(P21=0,0,Q21/P21)</f>
        <v>-3.4645833333333336</v>
      </c>
      <c r="P21" s="125">
        <v>96</v>
      </c>
      <c r="Q21" s="113">
        <v>-332.6</v>
      </c>
    </row>
    <row r="22" spans="1:17" x14ac:dyDescent="0.4">
      <c r="A22" s="59" t="s">
        <v>14</v>
      </c>
      <c r="B22" s="54">
        <f>IF(B$20=0,0,C22/B$20)</f>
        <v>-9198.5714285714294</v>
      </c>
      <c r="C22" s="47">
        <v>-1287800</v>
      </c>
      <c r="E22" s="65" t="s">
        <v>78</v>
      </c>
      <c r="F22" s="62" t="s">
        <v>31</v>
      </c>
      <c r="G22" s="49">
        <v>1</v>
      </c>
      <c r="H22" s="138">
        <f>IF(B$27=0,0,G22/B$27)</f>
        <v>4.3668122270742356E-3</v>
      </c>
      <c r="I22" s="100">
        <v>2</v>
      </c>
      <c r="K22" s="40">
        <v>20</v>
      </c>
      <c r="L22" s="105">
        <v>126.89999999999996</v>
      </c>
      <c r="N22" s="121" t="s">
        <v>194</v>
      </c>
      <c r="O22" s="131">
        <f>IF(P22=0,0,Q22/P22)</f>
        <v>-5.8666666666666671</v>
      </c>
      <c r="P22" s="125">
        <v>3</v>
      </c>
      <c r="Q22" s="113">
        <v>-17.600000000000001</v>
      </c>
    </row>
    <row r="23" spans="1:17" x14ac:dyDescent="0.4">
      <c r="A23" s="96" t="s">
        <v>158</v>
      </c>
      <c r="B23" s="145">
        <v>9</v>
      </c>
      <c r="C23" s="146"/>
      <c r="E23" s="65" t="s">
        <v>79</v>
      </c>
      <c r="F23" s="62" t="s">
        <v>32</v>
      </c>
      <c r="G23" s="49">
        <v>1</v>
      </c>
      <c r="H23" s="138">
        <f>IF(B$27=0,0,G23/B$27)</f>
        <v>4.3668122270742356E-3</v>
      </c>
      <c r="I23" s="100">
        <v>5</v>
      </c>
      <c r="K23" s="40">
        <v>21</v>
      </c>
      <c r="L23" s="105">
        <v>129.69999999999996</v>
      </c>
      <c r="N23" s="121" t="s">
        <v>135</v>
      </c>
      <c r="O23" s="131">
        <f>IF(P23=0,0,Q23/P23)</f>
        <v>-14.371428571428575</v>
      </c>
      <c r="P23" s="125">
        <v>7</v>
      </c>
      <c r="Q23" s="113">
        <v>-100.60000000000002</v>
      </c>
    </row>
    <row r="24" spans="1:17" x14ac:dyDescent="0.4">
      <c r="A24" s="60" t="s">
        <v>199</v>
      </c>
      <c r="B24" s="143">
        <v>109300</v>
      </c>
      <c r="C24" s="144"/>
      <c r="E24" s="65" t="s">
        <v>89</v>
      </c>
      <c r="F24" s="62" t="s">
        <v>42</v>
      </c>
      <c r="G24" s="49">
        <v>1</v>
      </c>
      <c r="H24" s="138">
        <f>IF(B$27=0,0,G24/B$27)</f>
        <v>4.3668122270742356E-3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3.3936651583710408E-3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9">
        <v>758</v>
      </c>
      <c r="C26" s="150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1">
        <v>229</v>
      </c>
      <c r="C27" s="152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  <row r="114" spans="11:12" x14ac:dyDescent="0.4">
      <c r="K114" s="40">
        <v>112</v>
      </c>
      <c r="L114" s="105">
        <v>225.49999999999983</v>
      </c>
    </row>
    <row r="115" spans="11:12" x14ac:dyDescent="0.4">
      <c r="K115" s="40">
        <v>113</v>
      </c>
      <c r="L115" s="105">
        <v>250.09999999999982</v>
      </c>
    </row>
    <row r="116" spans="11:12" x14ac:dyDescent="0.4">
      <c r="K116" s="40">
        <v>114</v>
      </c>
      <c r="L116" s="105">
        <v>271.99999999999983</v>
      </c>
    </row>
    <row r="117" spans="11:12" x14ac:dyDescent="0.4">
      <c r="K117" s="40">
        <v>115</v>
      </c>
      <c r="L117" s="105">
        <v>262.69999999999982</v>
      </c>
    </row>
    <row r="118" spans="11:12" x14ac:dyDescent="0.4">
      <c r="K118" s="40">
        <v>116</v>
      </c>
      <c r="L118" s="105">
        <v>245.69999999999982</v>
      </c>
    </row>
    <row r="119" spans="11:12" x14ac:dyDescent="0.4">
      <c r="K119" s="40">
        <v>117</v>
      </c>
      <c r="L119" s="105">
        <v>267.39999999999981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017B-EFF0-4228-AE97-B773ADE6815D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138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33</v>
      </c>
      <c r="C2" s="150"/>
      <c r="E2" s="64" t="s">
        <v>71</v>
      </c>
      <c r="F2" s="61" t="s">
        <v>25</v>
      </c>
      <c r="G2" s="48">
        <v>43</v>
      </c>
      <c r="H2" s="137">
        <f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55">
        <v>270</v>
      </c>
      <c r="C3" s="156"/>
      <c r="E3" s="65" t="s">
        <v>67</v>
      </c>
      <c r="F3" s="62" t="s">
        <v>21</v>
      </c>
      <c r="G3" s="49">
        <v>30</v>
      </c>
      <c r="H3" s="138">
        <f>IF(B$27=0,0,G3/B$27)</f>
        <v>0.66666666666666663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57">
        <v>-9.3999999999999773</v>
      </c>
      <c r="C4" s="158"/>
      <c r="E4" s="65" t="s">
        <v>70</v>
      </c>
      <c r="F4" s="62" t="s">
        <v>24</v>
      </c>
      <c r="G4" s="49">
        <v>24</v>
      </c>
      <c r="H4" s="138">
        <f>IF(B$27=0,0,G4/B$27)</f>
        <v>0.53333333333333333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9">
        <f>IF(B$2=0,0,B$4/B$2)</f>
        <v>-0.28484848484848418</v>
      </c>
      <c r="C5" s="160"/>
      <c r="E5" s="65" t="s">
        <v>69</v>
      </c>
      <c r="F5" s="62" t="s">
        <v>23</v>
      </c>
      <c r="G5" s="49">
        <v>23</v>
      </c>
      <c r="H5" s="138">
        <f>IF(B$27=0,0,G5/B$27)</f>
        <v>0.51111111111111107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47">
        <f>IF(B$2=0,0,(B$7*1+B$8*2+B$9*3)/B$2)</f>
        <v>2.0606060606060606</v>
      </c>
      <c r="C6" s="148"/>
      <c r="E6" s="65" t="s">
        <v>76</v>
      </c>
      <c r="F6" s="62" t="s">
        <v>29</v>
      </c>
      <c r="G6" s="49">
        <v>21</v>
      </c>
      <c r="H6" s="138">
        <f>IF(B$27=0,0,G6/B$27)</f>
        <v>0.46666666666666667</v>
      </c>
      <c r="I6" s="100">
        <v>12</v>
      </c>
      <c r="K6" s="40">
        <v>4</v>
      </c>
      <c r="L6" s="105">
        <v>-44.3</v>
      </c>
      <c r="N6" s="121" t="s">
        <v>151</v>
      </c>
      <c r="O6" s="128">
        <f t="shared" si="0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38">
        <f>IF(B$27=0,0,G7/B$27)</f>
        <v>0.37777777777777777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38">
        <f>IF(B$27=0,0,G8/B$27)</f>
        <v>0.15555555555555556</v>
      </c>
      <c r="I8" s="100">
        <v>3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38">
        <f>IF(B$27=0,0,G9/B$27)</f>
        <v>0.15555555555555556</v>
      </c>
      <c r="I9" s="100">
        <v>7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38">
        <f>IF(B$27=0,0,G10/B$27)</f>
        <v>0.1111111111111111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38">
        <f>IF(B$27=0,0,G11/B$27)</f>
        <v>8.8888888888888892E-2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38">
        <f>IF(B$27=0,0,G12/B$27)</f>
        <v>4.4444444444444446E-2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38">
        <f>IF(B$27=0,0,G13/B$27)</f>
        <v>4.4444444444444446E-2</v>
      </c>
      <c r="I13" s="100">
        <v>3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38">
        <f>IF(B$27=0,0,G14/B$27)</f>
        <v>2.2222222222222223E-2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38">
        <f>IF(B$27=0,0,G15/B$27)</f>
        <v>2.2222222222222223E-2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38">
        <f>IF(B$27=0,0,G16/B$27)</f>
        <v>2.2222222222222223E-2</v>
      </c>
      <c r="I16" s="100">
        <v>10</v>
      </c>
      <c r="K16" s="40">
        <v>14</v>
      </c>
      <c r="L16" s="105">
        <v>147.10000000000002</v>
      </c>
      <c r="N16" s="121" t="s">
        <v>134</v>
      </c>
      <c r="O16" s="131">
        <f>IF(P16=0,0,Q16/P16)</f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38">
        <f>IF(B$27=0,0,G17/B$27)</f>
        <v>2.2222222222222223E-2</v>
      </c>
      <c r="I17" s="100">
        <v>13</v>
      </c>
      <c r="K17" s="40">
        <v>15</v>
      </c>
      <c r="L17" s="105">
        <v>148.80000000000001</v>
      </c>
      <c r="N17" s="121" t="s">
        <v>137</v>
      </c>
      <c r="O17" s="131">
        <f>IF(P17=0,0,Q17/P17)</f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38">
        <f>IF(B$27=0,0,G18/B$27)</f>
        <v>2.2222222222222223E-2</v>
      </c>
      <c r="I18" s="100">
        <v>4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38">
        <f>IF(B$27=0,0,G19/B$27)</f>
        <v>2.2222222222222223E-2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43">
        <v>109300</v>
      </c>
      <c r="C24" s="144"/>
      <c r="E24" s="65" t="s">
        <v>84</v>
      </c>
      <c r="F24" s="62" t="s">
        <v>37</v>
      </c>
      <c r="G24" s="49">
        <v>0</v>
      </c>
      <c r="H24" s="138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8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9">
        <v>188</v>
      </c>
      <c r="C26" s="150"/>
      <c r="E26" s="65" t="s">
        <v>86</v>
      </c>
      <c r="F26" s="62" t="s">
        <v>39</v>
      </c>
      <c r="G26" s="49">
        <v>0</v>
      </c>
      <c r="H26" s="138">
        <f>IF(B$27=0,0,G26/B$27)</f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1">
        <v>45</v>
      </c>
      <c r="C27" s="152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3F068-00D0-44CC-9B62-E1E5D1BDCBE0}">
  <sheetPr codeName="Sheet25"/>
  <dimension ref="A1:Q126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139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124</v>
      </c>
      <c r="C2" s="150"/>
      <c r="E2" s="64" t="s">
        <v>71</v>
      </c>
      <c r="F2" s="61" t="s">
        <v>25</v>
      </c>
      <c r="G2" s="48">
        <v>239</v>
      </c>
      <c r="H2" s="137">
        <f>IF(B$27=0,0,G2/B$27)</f>
        <v>0.90874524714828897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-1683.3333333333333</v>
      </c>
      <c r="P2" s="124">
        <v>120</v>
      </c>
      <c r="Q2" s="108">
        <v>-202000</v>
      </c>
    </row>
    <row r="3" spans="1:17" x14ac:dyDescent="0.4">
      <c r="A3" s="57" t="s">
        <v>8</v>
      </c>
      <c r="B3" s="155">
        <v>963</v>
      </c>
      <c r="C3" s="156"/>
      <c r="E3" s="65" t="s">
        <v>69</v>
      </c>
      <c r="F3" s="62" t="s">
        <v>23</v>
      </c>
      <c r="G3" s="49">
        <v>205</v>
      </c>
      <c r="H3" s="138">
        <f>IF(B$27=0,0,G3/B$27)</f>
        <v>0.77946768060836502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537.28813559322032</v>
      </c>
      <c r="P3" s="125">
        <v>118</v>
      </c>
      <c r="Q3" s="109">
        <v>63400</v>
      </c>
    </row>
    <row r="4" spans="1:17" x14ac:dyDescent="0.4">
      <c r="A4" s="57" t="s">
        <v>6</v>
      </c>
      <c r="B4" s="157">
        <v>-493.49999999999983</v>
      </c>
      <c r="C4" s="158"/>
      <c r="E4" s="65" t="s">
        <v>67</v>
      </c>
      <c r="F4" s="62" t="s">
        <v>21</v>
      </c>
      <c r="G4" s="49">
        <v>159</v>
      </c>
      <c r="H4" s="138">
        <f>IF(B$27=0,0,G4/B$27)</f>
        <v>0.6045627376425855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-37.5</v>
      </c>
      <c r="P4" s="125">
        <v>112</v>
      </c>
      <c r="Q4" s="109">
        <v>-4200</v>
      </c>
    </row>
    <row r="5" spans="1:17" x14ac:dyDescent="0.4">
      <c r="A5" s="57" t="s">
        <v>7</v>
      </c>
      <c r="B5" s="159">
        <f>IF(B$2=0,0,B$4/B$2)</f>
        <v>-3.9798387096774182</v>
      </c>
      <c r="C5" s="160"/>
      <c r="E5" s="65" t="s">
        <v>76</v>
      </c>
      <c r="F5" s="62" t="s">
        <v>29</v>
      </c>
      <c r="G5" s="49">
        <v>154</v>
      </c>
      <c r="H5" s="138">
        <f>IF(B$27=0,0,G5/B$27)</f>
        <v>0.5855513307984791</v>
      </c>
      <c r="I5" s="100">
        <v>6</v>
      </c>
      <c r="K5" s="40">
        <v>3</v>
      </c>
      <c r="L5" s="105">
        <v>-70.099999999999994</v>
      </c>
      <c r="N5" s="121" t="s">
        <v>150</v>
      </c>
      <c r="O5" s="128">
        <f t="shared" si="0"/>
        <v>-257.84313725490193</v>
      </c>
      <c r="P5" s="125">
        <v>102</v>
      </c>
      <c r="Q5" s="109">
        <v>-26300</v>
      </c>
    </row>
    <row r="6" spans="1:17" x14ac:dyDescent="0.4">
      <c r="A6" s="57" t="s">
        <v>1</v>
      </c>
      <c r="B6" s="147">
        <f>IF(B$2=0,0,(B$7*1+B$8*2+B$9*3)/B$2)</f>
        <v>2.1693548387096775</v>
      </c>
      <c r="C6" s="148"/>
      <c r="E6" s="65" t="s">
        <v>70</v>
      </c>
      <c r="F6" s="62" t="s">
        <v>24</v>
      </c>
      <c r="G6" s="49">
        <v>93</v>
      </c>
      <c r="H6" s="138">
        <f>IF(B$27=0,0,G6/B$27)</f>
        <v>0.35361216730038025</v>
      </c>
      <c r="I6" s="100">
        <v>5</v>
      </c>
      <c r="K6" s="40">
        <v>4</v>
      </c>
      <c r="L6" s="105">
        <v>-35.099999999999994</v>
      </c>
      <c r="N6" s="121" t="s">
        <v>151</v>
      </c>
      <c r="O6" s="128">
        <f t="shared" si="0"/>
        <v>-2727.3684210526317</v>
      </c>
      <c r="P6" s="125">
        <v>95</v>
      </c>
      <c r="Q6" s="109">
        <v>-259100</v>
      </c>
    </row>
    <row r="7" spans="1:17" x14ac:dyDescent="0.4">
      <c r="A7" s="57" t="s">
        <v>2</v>
      </c>
      <c r="B7" s="49">
        <v>30</v>
      </c>
      <c r="C7" s="41">
        <f>IF(B$2=0,0,B7/B$2)</f>
        <v>0.24193548387096775</v>
      </c>
      <c r="E7" s="65" t="s">
        <v>72</v>
      </c>
      <c r="F7" s="62" t="s">
        <v>12</v>
      </c>
      <c r="G7" s="49">
        <v>83</v>
      </c>
      <c r="H7" s="138">
        <f>IF(B$27=0,0,G7/B$27)</f>
        <v>0.31558935361216728</v>
      </c>
      <c r="I7" s="100">
        <v>5</v>
      </c>
      <c r="K7" s="40">
        <v>5</v>
      </c>
      <c r="L7" s="105">
        <v>-80.099999999999994</v>
      </c>
      <c r="N7" s="122" t="s">
        <v>152</v>
      </c>
      <c r="O7" s="129">
        <f t="shared" si="0"/>
        <v>610.38961038961043</v>
      </c>
      <c r="P7" s="126">
        <v>77</v>
      </c>
      <c r="Q7" s="110">
        <v>47000</v>
      </c>
    </row>
    <row r="8" spans="1:17" x14ac:dyDescent="0.4">
      <c r="A8" s="57" t="s">
        <v>3</v>
      </c>
      <c r="B8" s="49">
        <v>43</v>
      </c>
      <c r="C8" s="41">
        <f>IF(B$2=0,0,B8/B$2)</f>
        <v>0.34677419354838712</v>
      </c>
      <c r="E8" s="65" t="s">
        <v>73</v>
      </c>
      <c r="F8" s="62" t="s">
        <v>26</v>
      </c>
      <c r="G8" s="49">
        <v>41</v>
      </c>
      <c r="H8" s="138">
        <f>IF(B$27=0,0,G8/B$27)</f>
        <v>0.155893536121673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0.41129032258064518</v>
      </c>
      <c r="E9" s="65" t="s">
        <v>94</v>
      </c>
      <c r="F9" s="62" t="s">
        <v>47</v>
      </c>
      <c r="G9" s="49">
        <v>34</v>
      </c>
      <c r="H9" s="138">
        <f>IF(B$27=0,0,G9/B$27)</f>
        <v>0.12927756653992395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0.18548387096774194</v>
      </c>
      <c r="E10" s="65" t="s">
        <v>74</v>
      </c>
      <c r="F10" s="62" t="s">
        <v>27</v>
      </c>
      <c r="G10" s="49">
        <v>30</v>
      </c>
      <c r="H10" s="138">
        <f>IF(B$27=0,0,G10/B$27)</f>
        <v>0.11406844106463879</v>
      </c>
      <c r="I10" s="100">
        <v>5</v>
      </c>
      <c r="K10" s="40">
        <v>8</v>
      </c>
      <c r="L10" s="105">
        <v>-146</v>
      </c>
      <c r="N10" s="120" t="s">
        <v>253</v>
      </c>
      <c r="O10" s="130">
        <f>IF(P10=0,0,Q10/P10)</f>
        <v>-11.053488372093025</v>
      </c>
      <c r="P10" s="124">
        <v>43</v>
      </c>
      <c r="Q10" s="112">
        <v>-475.30000000000007</v>
      </c>
    </row>
    <row r="11" spans="1:17" x14ac:dyDescent="0.4">
      <c r="A11" s="58" t="s">
        <v>155</v>
      </c>
      <c r="B11" s="50">
        <v>17</v>
      </c>
      <c r="C11" s="42">
        <f>IF(B$2=0,0,B11/B$2)</f>
        <v>0.13709677419354838</v>
      </c>
      <c r="E11" s="65" t="s">
        <v>68</v>
      </c>
      <c r="F11" s="62" t="s">
        <v>22</v>
      </c>
      <c r="G11" s="49">
        <v>28</v>
      </c>
      <c r="H11" s="138">
        <f>IF(B$27=0,0,G11/B$27)</f>
        <v>0.10646387832699619</v>
      </c>
      <c r="I11" s="100">
        <v>9</v>
      </c>
      <c r="K11" s="40">
        <v>9</v>
      </c>
      <c r="L11" s="105">
        <v>-173</v>
      </c>
      <c r="N11" s="121" t="s">
        <v>254</v>
      </c>
      <c r="O11" s="131">
        <f>IF(P11=0,0,Q11/P11)</f>
        <v>1.4804347826086954</v>
      </c>
      <c r="P11" s="125">
        <v>46</v>
      </c>
      <c r="Q11" s="113">
        <v>68.099999999999994</v>
      </c>
    </row>
    <row r="12" spans="1:17" x14ac:dyDescent="0.4">
      <c r="A12" s="59" t="s">
        <v>239</v>
      </c>
      <c r="B12" s="51">
        <v>12</v>
      </c>
      <c r="C12" s="44">
        <f>IF(B$2=0,0,B12/B$2)</f>
        <v>9.6774193548387094E-2</v>
      </c>
      <c r="E12" s="65" t="s">
        <v>91</v>
      </c>
      <c r="F12" s="62" t="s">
        <v>44</v>
      </c>
      <c r="G12" s="49">
        <v>24</v>
      </c>
      <c r="H12" s="138">
        <f>IF(B$27=0,0,G12/B$27)</f>
        <v>9.125475285171103E-2</v>
      </c>
      <c r="I12" s="100">
        <v>5</v>
      </c>
      <c r="K12" s="40">
        <v>10</v>
      </c>
      <c r="L12" s="105">
        <v>-206.1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279</v>
      </c>
      <c r="C13" s="46">
        <f>IF(B$26=0,0,B13/B$26)</f>
        <v>0.30129589632829373</v>
      </c>
      <c r="E13" s="65" t="s">
        <v>82</v>
      </c>
      <c r="F13" s="62" t="s">
        <v>35</v>
      </c>
      <c r="G13" s="49">
        <v>10</v>
      </c>
      <c r="H13" s="138">
        <f>IF(B$27=0,0,G13/B$27)</f>
        <v>3.8022813688212927E-2</v>
      </c>
      <c r="I13" s="100">
        <v>4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176</v>
      </c>
      <c r="C14" s="41">
        <f>IF(B$26=0,0,B14/B$26)</f>
        <v>0.19006479481641469</v>
      </c>
      <c r="E14" s="65" t="s">
        <v>88</v>
      </c>
      <c r="F14" s="62" t="s">
        <v>41</v>
      </c>
      <c r="G14" s="49">
        <v>8</v>
      </c>
      <c r="H14" s="138">
        <f>IF(B$27=0,0,G14/B$27)</f>
        <v>3.0418250950570342E-2</v>
      </c>
      <c r="I14" s="100">
        <v>9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162</v>
      </c>
      <c r="C15" s="39">
        <f>IF(B$13=0,0,B15/B$13)</f>
        <v>0.58064516129032262</v>
      </c>
      <c r="E15" s="65" t="s">
        <v>75</v>
      </c>
      <c r="F15" s="62" t="s">
        <v>28</v>
      </c>
      <c r="G15" s="49">
        <v>7</v>
      </c>
      <c r="H15" s="138">
        <f>IF(B$27=0,0,G15/B$27)</f>
        <v>2.6615969581749048E-2</v>
      </c>
      <c r="I15" s="100">
        <v>10</v>
      </c>
      <c r="K15" s="40">
        <v>13</v>
      </c>
      <c r="L15" s="105">
        <v>-235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68</v>
      </c>
      <c r="C16" s="39">
        <f>IF(B$14=0,0,B16/B$14)</f>
        <v>0.38636363636363635</v>
      </c>
      <c r="E16" s="65" t="s">
        <v>86</v>
      </c>
      <c r="F16" s="62" t="s">
        <v>39</v>
      </c>
      <c r="G16" s="49">
        <v>6</v>
      </c>
      <c r="H16" s="138">
        <f>IF(B$27=0,0,G16/B$27)</f>
        <v>2.2813688212927757E-2</v>
      </c>
      <c r="I16" s="100">
        <v>7</v>
      </c>
      <c r="K16" s="40">
        <v>14</v>
      </c>
      <c r="L16" s="105">
        <v>-231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273</v>
      </c>
      <c r="C17" s="39">
        <f>IF(B$3=0,0,B17/B$3)</f>
        <v>0.2834890965732087</v>
      </c>
      <c r="E17" s="65" t="s">
        <v>96</v>
      </c>
      <c r="F17" s="62" t="s">
        <v>49</v>
      </c>
      <c r="G17" s="49">
        <v>5</v>
      </c>
      <c r="H17" s="138">
        <f>IF(B$27=0,0,G17/B$27)</f>
        <v>1.9011406844106463E-2</v>
      </c>
      <c r="I17" s="100">
        <v>8</v>
      </c>
      <c r="K17" s="40">
        <v>15</v>
      </c>
      <c r="L17" s="105">
        <v>-212.5</v>
      </c>
      <c r="N17" s="121" t="s">
        <v>138</v>
      </c>
      <c r="O17" s="131">
        <f>IF(P17=0,0,Q17/P17)</f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119</v>
      </c>
      <c r="C18" s="41">
        <f>IF(B$17=0,0,B18/B$17)</f>
        <v>0.4358974358974359</v>
      </c>
      <c r="E18" s="65" t="s">
        <v>77</v>
      </c>
      <c r="F18" s="62" t="s">
        <v>30</v>
      </c>
      <c r="G18" s="49">
        <v>4</v>
      </c>
      <c r="H18" s="138">
        <f>IF(B$27=0,0,G18/B$27)</f>
        <v>1.5209125475285171E-2</v>
      </c>
      <c r="I18" s="100">
        <v>3</v>
      </c>
      <c r="K18" s="40">
        <v>16</v>
      </c>
      <c r="L18" s="105">
        <v>-233.2</v>
      </c>
      <c r="N18" s="121" t="s">
        <v>157</v>
      </c>
      <c r="O18" s="131">
        <f>IF(P18=0,0,Q18/P18)</f>
        <v>10.761111111111113</v>
      </c>
      <c r="P18" s="125">
        <v>18</v>
      </c>
      <c r="Q18" s="113">
        <v>193.70000000000002</v>
      </c>
    </row>
    <row r="19" spans="1:17" x14ac:dyDescent="0.4">
      <c r="A19" s="57" t="s">
        <v>11</v>
      </c>
      <c r="B19" s="49">
        <v>154</v>
      </c>
      <c r="C19" s="41">
        <f>IF(B$17=0,0,B19/B$17)</f>
        <v>0.5641025641025641</v>
      </c>
      <c r="E19" s="65" t="s">
        <v>79</v>
      </c>
      <c r="F19" s="62" t="s">
        <v>32</v>
      </c>
      <c r="G19" s="49">
        <v>3</v>
      </c>
      <c r="H19" s="138">
        <f>IF(B$27=0,0,G19/B$27)</f>
        <v>1.1406844106463879E-2</v>
      </c>
      <c r="I19" s="100">
        <v>1</v>
      </c>
      <c r="K19" s="40">
        <v>17</v>
      </c>
      <c r="L19" s="105">
        <v>-268.7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191</v>
      </c>
      <c r="C20" s="41">
        <f>IF(B$3=0,0,B20/B$3)</f>
        <v>0.19833852544132918</v>
      </c>
      <c r="E20" s="65" t="s">
        <v>83</v>
      </c>
      <c r="F20" s="62" t="s">
        <v>36</v>
      </c>
      <c r="G20" s="49">
        <v>3</v>
      </c>
      <c r="H20" s="138">
        <f>IF(B$27=0,0,G20/B$27)</f>
        <v>1.1406844106463879E-2</v>
      </c>
      <c r="I20" s="100">
        <v>8</v>
      </c>
      <c r="K20" s="40">
        <v>18</v>
      </c>
      <c r="L20" s="105">
        <v>-295.8</v>
      </c>
      <c r="N20" s="121" t="s">
        <v>134</v>
      </c>
      <c r="O20" s="131">
        <f>IF(P20=0,0,Q20/P20)</f>
        <v>-3.4244444444444411</v>
      </c>
      <c r="P20" s="125">
        <v>45</v>
      </c>
      <c r="Q20" s="113">
        <v>-154.09999999999985</v>
      </c>
    </row>
    <row r="21" spans="1:17" x14ac:dyDescent="0.4">
      <c r="A21" s="57" t="s">
        <v>5</v>
      </c>
      <c r="B21" s="53">
        <f>IF(B$17=0,0,C21/B$17)</f>
        <v>10492.307692307691</v>
      </c>
      <c r="C21" s="43">
        <v>2864400</v>
      </c>
      <c r="E21" s="65" t="s">
        <v>98</v>
      </c>
      <c r="F21" s="62" t="s">
        <v>51</v>
      </c>
      <c r="G21" s="49">
        <v>2</v>
      </c>
      <c r="H21" s="138">
        <f>IF(B$27=0,0,G21/B$27)</f>
        <v>7.6045627376425855E-3</v>
      </c>
      <c r="I21" s="100">
        <v>3</v>
      </c>
      <c r="K21" s="40">
        <v>19</v>
      </c>
      <c r="L21" s="105">
        <v>-273.2</v>
      </c>
      <c r="N21" s="121" t="s">
        <v>167</v>
      </c>
      <c r="O21" s="131">
        <f>IF(P21=0,0,Q21/P21)</f>
        <v>-3.9666666666666663</v>
      </c>
      <c r="P21" s="125">
        <v>3</v>
      </c>
      <c r="Q21" s="113">
        <v>-11.899999999999999</v>
      </c>
    </row>
    <row r="22" spans="1:17" x14ac:dyDescent="0.4">
      <c r="A22" s="59" t="s">
        <v>14</v>
      </c>
      <c r="B22" s="54">
        <f>IF(B$20=0,0,C22/B$20)</f>
        <v>-9500.5235602094235</v>
      </c>
      <c r="C22" s="47">
        <v>-1814600</v>
      </c>
      <c r="E22" s="65" t="s">
        <v>78</v>
      </c>
      <c r="F22" s="62" t="s">
        <v>31</v>
      </c>
      <c r="G22" s="49">
        <v>1</v>
      </c>
      <c r="H22" s="138">
        <f>IF(B$27=0,0,G22/B$27)</f>
        <v>3.8022813688212928E-3</v>
      </c>
      <c r="I22" s="100">
        <v>4</v>
      </c>
      <c r="K22" s="40">
        <v>20</v>
      </c>
      <c r="L22" s="105">
        <v>-270</v>
      </c>
      <c r="N22" s="121" t="s">
        <v>136</v>
      </c>
      <c r="O22" s="131">
        <f>IF(P22=0,0,Q22/P22)</f>
        <v>-6.7058823529411784</v>
      </c>
      <c r="P22" s="125">
        <v>17</v>
      </c>
      <c r="Q22" s="113">
        <v>-114.00000000000003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1</v>
      </c>
      <c r="H23" s="138">
        <f>IF(B$27=0,0,G23/B$27)</f>
        <v>3.8022813688212928E-3</v>
      </c>
      <c r="I23" s="100">
        <v>6</v>
      </c>
      <c r="K23" s="40">
        <v>21</v>
      </c>
      <c r="L23" s="105">
        <v>-242</v>
      </c>
      <c r="N23" s="121" t="s">
        <v>133</v>
      </c>
      <c r="O23" s="131">
        <f>IF(P23=0,0,Q23/P23)</f>
        <v>-11.471717171717174</v>
      </c>
      <c r="P23" s="125">
        <v>99</v>
      </c>
      <c r="Q23" s="113">
        <v>-1135.7000000000003</v>
      </c>
    </row>
    <row r="24" spans="1:17" x14ac:dyDescent="0.4">
      <c r="A24" s="60" t="s">
        <v>199</v>
      </c>
      <c r="B24" s="143">
        <v>124700</v>
      </c>
      <c r="C24" s="144"/>
      <c r="E24" s="65" t="s">
        <v>89</v>
      </c>
      <c r="F24" s="62" t="s">
        <v>42</v>
      </c>
      <c r="G24" s="49">
        <v>1</v>
      </c>
      <c r="H24" s="138">
        <f>IF(B$27=0,0,G24/B$27)</f>
        <v>3.8022813688212928E-3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>IF(P24=0,0,Q24/P24)</f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7.2689511941848393E-3</v>
      </c>
      <c r="E25" s="65" t="s">
        <v>90</v>
      </c>
      <c r="F25" s="62" t="s">
        <v>43</v>
      </c>
      <c r="G25" s="49">
        <v>1</v>
      </c>
      <c r="H25" s="138">
        <f>IF(B$27=0,0,G25/B$27)</f>
        <v>3.8022813688212928E-3</v>
      </c>
      <c r="I25" s="100">
        <v>5</v>
      </c>
      <c r="K25" s="40">
        <v>23</v>
      </c>
      <c r="L25" s="105">
        <v>-200.9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9">
        <v>926</v>
      </c>
      <c r="C26" s="150"/>
      <c r="E26" s="65" t="s">
        <v>95</v>
      </c>
      <c r="F26" s="62" t="s">
        <v>48</v>
      </c>
      <c r="G26" s="49">
        <v>1</v>
      </c>
      <c r="H26" s="138">
        <f>IF(B$27=0,0,G26/B$27)</f>
        <v>3.8022813688212928E-3</v>
      </c>
      <c r="I26" s="100">
        <v>1</v>
      </c>
      <c r="K26" s="40">
        <v>24</v>
      </c>
      <c r="L26" s="105">
        <v>-168.2</v>
      </c>
    </row>
    <row r="27" spans="1:17" x14ac:dyDescent="0.4">
      <c r="A27" s="59" t="s">
        <v>127</v>
      </c>
      <c r="B27" s="151">
        <v>263</v>
      </c>
      <c r="C27" s="152"/>
      <c r="E27" s="65" t="s">
        <v>97</v>
      </c>
      <c r="F27" s="62" t="s">
        <v>50</v>
      </c>
      <c r="G27" s="49">
        <v>1</v>
      </c>
      <c r="H27" s="138">
        <f>IF(B$27=0,0,G27/B$27)</f>
        <v>3.8022813688212928E-3</v>
      </c>
      <c r="I27" s="100">
        <v>6</v>
      </c>
      <c r="K27" s="40">
        <v>25</v>
      </c>
      <c r="L27" s="105">
        <v>-216.89999999999998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-256.29999999999995</v>
      </c>
    </row>
    <row r="29" spans="1:17" x14ac:dyDescent="0.4">
      <c r="E29" s="65" t="s">
        <v>84</v>
      </c>
      <c r="F29" s="62" t="s">
        <v>37</v>
      </c>
      <c r="G29" s="49">
        <v>0</v>
      </c>
      <c r="H29" s="138">
        <f>IF(B$27=0,0,G29/B$27)</f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85</v>
      </c>
      <c r="F30" s="62" t="s">
        <v>38</v>
      </c>
      <c r="G30" s="49">
        <v>0</v>
      </c>
      <c r="H30" s="138">
        <f>IF(B$27=0,0,G30/B$27)</f>
        <v>0</v>
      </c>
      <c r="I30" s="100">
        <v>3</v>
      </c>
      <c r="K30" s="40">
        <v>28</v>
      </c>
      <c r="L30" s="105">
        <v>-290.19999999999993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-239.19999999999993</v>
      </c>
    </row>
    <row r="32" spans="1:17" x14ac:dyDescent="0.4">
      <c r="E32" s="65" t="s">
        <v>92</v>
      </c>
      <c r="F32" s="62" t="s">
        <v>45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38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  <row r="120" spans="11:12" x14ac:dyDescent="0.4">
      <c r="K120" s="40">
        <v>118</v>
      </c>
      <c r="L120" s="105">
        <v>-470.2999999999999</v>
      </c>
    </row>
    <row r="121" spans="11:12" x14ac:dyDescent="0.4">
      <c r="K121" s="40">
        <v>119</v>
      </c>
      <c r="L121" s="105">
        <v>-469.19999999999987</v>
      </c>
    </row>
    <row r="122" spans="11:12" x14ac:dyDescent="0.4">
      <c r="K122" s="40">
        <v>120</v>
      </c>
      <c r="L122" s="105">
        <v>-502.19999999999987</v>
      </c>
    </row>
    <row r="123" spans="11:12" x14ac:dyDescent="0.4">
      <c r="K123" s="40">
        <v>121</v>
      </c>
      <c r="L123" s="105">
        <v>-509.69999999999987</v>
      </c>
    </row>
    <row r="124" spans="11:12" x14ac:dyDescent="0.4">
      <c r="K124" s="40">
        <v>122</v>
      </c>
      <c r="L124" s="105">
        <v>-492.09999999999985</v>
      </c>
    </row>
    <row r="125" spans="11:12" x14ac:dyDescent="0.4">
      <c r="K125" s="40">
        <v>123</v>
      </c>
      <c r="L125" s="105">
        <v>-500.09999999999985</v>
      </c>
    </row>
    <row r="126" spans="11:12" x14ac:dyDescent="0.4">
      <c r="K126" s="40">
        <v>124</v>
      </c>
      <c r="L126" s="105">
        <v>-493.49999999999983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27208-4583-42DB-8726-779A094BDA69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194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</v>
      </c>
      <c r="C2" s="150"/>
      <c r="E2" s="64" t="s">
        <v>67</v>
      </c>
      <c r="F2" s="61" t="s">
        <v>21</v>
      </c>
      <c r="G2" s="48">
        <v>12</v>
      </c>
      <c r="H2" s="137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55">
        <v>50</v>
      </c>
      <c r="C3" s="156"/>
      <c r="E3" s="65" t="s">
        <v>69</v>
      </c>
      <c r="F3" s="62" t="s">
        <v>23</v>
      </c>
      <c r="G3" s="49">
        <v>12</v>
      </c>
      <c r="H3" s="138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57">
        <v>47</v>
      </c>
      <c r="C4" s="158"/>
      <c r="E4" s="65" t="s">
        <v>71</v>
      </c>
      <c r="F4" s="62" t="s">
        <v>25</v>
      </c>
      <c r="G4" s="49">
        <v>12</v>
      </c>
      <c r="H4" s="138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9">
        <f>IF(B$2=0,0,B$4/B$2)</f>
        <v>7.833333333333333</v>
      </c>
      <c r="C5" s="160"/>
      <c r="E5" s="65" t="s">
        <v>76</v>
      </c>
      <c r="F5" s="62" t="s">
        <v>29</v>
      </c>
      <c r="G5" s="49">
        <v>10</v>
      </c>
      <c r="H5" s="138">
        <f>IF(B$27=0,0,G5/B$27)</f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47">
        <f>IF(B$2=0,0,(B$7*1+B$8*2+B$9*3)/B$2)</f>
        <v>1.8333333333333333</v>
      </c>
      <c r="C6" s="148"/>
      <c r="E6" s="65" t="s">
        <v>70</v>
      </c>
      <c r="F6" s="62" t="s">
        <v>24</v>
      </c>
      <c r="G6" s="49">
        <v>7</v>
      </c>
      <c r="H6" s="138">
        <f>IF(B$27=0,0,G6/B$27)</f>
        <v>0.36842105263157893</v>
      </c>
      <c r="I6" s="100">
        <v>3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8">
        <f>IF(B$27=0,0,G7/B$27)</f>
        <v>0.21052631578947367</v>
      </c>
      <c r="I7" s="100">
        <v>11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8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8">
        <f>IF(B$27=0,0,G9/B$27)</f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8">
        <f>IF(B$27=0,0,G10/B$27)</f>
        <v>0.15789473684210525</v>
      </c>
      <c r="I10" s="100">
        <v>3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8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8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8">
        <f>IF(B$27=0,0,G13/B$27)</f>
        <v>5.2631578947368418E-2</v>
      </c>
      <c r="I13" s="100">
        <v>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8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5</v>
      </c>
      <c r="C23" s="146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78000</v>
      </c>
      <c r="C24" s="144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50</v>
      </c>
      <c r="C26" s="150"/>
      <c r="E26" s="65" t="s">
        <v>88</v>
      </c>
      <c r="F26" s="62" t="s">
        <v>41</v>
      </c>
      <c r="G26" s="49">
        <v>0</v>
      </c>
      <c r="H26" s="138">
        <f>IF(B$27=0,0,G26/B$27)</f>
        <v>0</v>
      </c>
      <c r="I26" s="100">
        <v>12</v>
      </c>
    </row>
    <row r="27" spans="1:17" x14ac:dyDescent="0.4">
      <c r="A27" s="59" t="s">
        <v>127</v>
      </c>
      <c r="B27" s="151">
        <v>19</v>
      </c>
      <c r="C27" s="152"/>
      <c r="E27" s="65" t="s">
        <v>89</v>
      </c>
      <c r="F27" s="62" t="s">
        <v>42</v>
      </c>
      <c r="G27" s="49">
        <v>0</v>
      </c>
      <c r="H27" s="138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8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8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8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C8A5-1D79-451D-BEED-0BC36BE1EED8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157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31</v>
      </c>
      <c r="C2" s="150"/>
      <c r="E2" s="64" t="s">
        <v>71</v>
      </c>
      <c r="F2" s="61" t="s">
        <v>25</v>
      </c>
      <c r="G2" s="48">
        <v>51</v>
      </c>
      <c r="H2" s="137">
        <f>IF(B$27=0,0,G2/B$27)</f>
        <v>1.02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-2948.3870967741937</v>
      </c>
      <c r="P2" s="124">
        <v>31</v>
      </c>
      <c r="Q2" s="108">
        <v>-91400</v>
      </c>
    </row>
    <row r="3" spans="1:17" x14ac:dyDescent="0.4">
      <c r="A3" s="57" t="s">
        <v>8</v>
      </c>
      <c r="B3" s="155">
        <v>238</v>
      </c>
      <c r="C3" s="156"/>
      <c r="E3" s="65" t="s">
        <v>76</v>
      </c>
      <c r="F3" s="62" t="s">
        <v>29</v>
      </c>
      <c r="G3" s="49">
        <v>38</v>
      </c>
      <c r="H3" s="138">
        <f>IF(B$27=0,0,G3/B$27)</f>
        <v>0.76</v>
      </c>
      <c r="I3" s="100">
        <v>2</v>
      </c>
      <c r="K3" s="40">
        <v>1</v>
      </c>
      <c r="L3" s="105">
        <v>15</v>
      </c>
      <c r="N3" s="121" t="s">
        <v>148</v>
      </c>
      <c r="O3" s="128">
        <f t="shared" si="0"/>
        <v>1164.516129032258</v>
      </c>
      <c r="P3" s="125">
        <v>31</v>
      </c>
      <c r="Q3" s="109">
        <v>36100</v>
      </c>
    </row>
    <row r="4" spans="1:17" x14ac:dyDescent="0.4">
      <c r="A4" s="57" t="s">
        <v>6</v>
      </c>
      <c r="B4" s="157">
        <v>-334.9</v>
      </c>
      <c r="C4" s="158"/>
      <c r="E4" s="65" t="s">
        <v>69</v>
      </c>
      <c r="F4" s="62" t="s">
        <v>23</v>
      </c>
      <c r="G4" s="49">
        <v>34</v>
      </c>
      <c r="H4" s="138">
        <f>IF(B$27=0,0,G4/B$27)</f>
        <v>0.68</v>
      </c>
      <c r="I4" s="100">
        <v>9</v>
      </c>
      <c r="K4" s="40">
        <v>2</v>
      </c>
      <c r="L4" s="105">
        <v>-24.299999999999997</v>
      </c>
      <c r="N4" s="121" t="s">
        <v>149</v>
      </c>
      <c r="O4" s="128">
        <f t="shared" si="0"/>
        <v>-4366.666666666667</v>
      </c>
      <c r="P4" s="125">
        <v>27</v>
      </c>
      <c r="Q4" s="109">
        <v>-117900</v>
      </c>
    </row>
    <row r="5" spans="1:17" x14ac:dyDescent="0.4">
      <c r="A5" s="57" t="s">
        <v>7</v>
      </c>
      <c r="B5" s="159">
        <f>IF(B$2=0,0,B$4/B$2)</f>
        <v>-10.803225806451612</v>
      </c>
      <c r="C5" s="160"/>
      <c r="E5" s="65" t="s">
        <v>67</v>
      </c>
      <c r="F5" s="62" t="s">
        <v>21</v>
      </c>
      <c r="G5" s="49">
        <v>14</v>
      </c>
      <c r="H5" s="138">
        <f>IF(B$27=0,0,G5/B$27)</f>
        <v>0.28000000000000003</v>
      </c>
      <c r="I5" s="100">
        <v>13</v>
      </c>
      <c r="K5" s="40">
        <v>3</v>
      </c>
      <c r="L5" s="105">
        <v>-15.599999999999998</v>
      </c>
      <c r="N5" s="121" t="s">
        <v>150</v>
      </c>
      <c r="O5" s="128">
        <f t="shared" si="0"/>
        <v>-2141.6666666666665</v>
      </c>
      <c r="P5" s="125">
        <v>24</v>
      </c>
      <c r="Q5" s="109">
        <v>-51400</v>
      </c>
    </row>
    <row r="6" spans="1:17" x14ac:dyDescent="0.4">
      <c r="A6" s="57" t="s">
        <v>1</v>
      </c>
      <c r="B6" s="147">
        <f>IF(B$2=0,0,(B$7*1+B$8*2+B$9*3)/B$2)</f>
        <v>2.3225806451612905</v>
      </c>
      <c r="C6" s="148"/>
      <c r="E6" s="65" t="s">
        <v>72</v>
      </c>
      <c r="F6" s="62" t="s">
        <v>12</v>
      </c>
      <c r="G6" s="49">
        <v>9</v>
      </c>
      <c r="H6" s="138">
        <f>IF(B$27=0,0,G6/B$27)</f>
        <v>0.18</v>
      </c>
      <c r="I6" s="100">
        <v>12</v>
      </c>
      <c r="K6" s="40">
        <v>4</v>
      </c>
      <c r="L6" s="105">
        <v>5.1000000000000014</v>
      </c>
      <c r="N6" s="121" t="s">
        <v>151</v>
      </c>
      <c r="O6" s="128">
        <f t="shared" si="0"/>
        <v>-3491.304347826087</v>
      </c>
      <c r="P6" s="125">
        <v>23</v>
      </c>
      <c r="Q6" s="109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8">
        <f>IF(B$27=0,0,G7/B$27)</f>
        <v>0.18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-1764.7058823529412</v>
      </c>
      <c r="P7" s="126">
        <v>17</v>
      </c>
      <c r="Q7" s="110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8">
        <f>IF(B$27=0,0,G8/B$27)</f>
        <v>0.18</v>
      </c>
      <c r="I8" s="100">
        <v>2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8">
        <f>IF(B$27=0,0,G9/B$27)</f>
        <v>0.12</v>
      </c>
      <c r="I9" s="100">
        <v>13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8">
        <f>IF(B$27=0,0,G10/B$27)</f>
        <v>0.12</v>
      </c>
      <c r="I10" s="100">
        <v>4</v>
      </c>
      <c r="K10" s="40">
        <v>8</v>
      </c>
      <c r="L10" s="105">
        <v>-4.4999999999999964</v>
      </c>
      <c r="N10" s="120" t="s">
        <v>253</v>
      </c>
      <c r="O10" s="130">
        <f>IF(P10=0,0,Q10/P10)</f>
        <v>-12.290000000000001</v>
      </c>
      <c r="P10" s="124">
        <v>10</v>
      </c>
      <c r="Q10" s="112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8">
        <f>IF(B$27=0,0,G11/B$27)</f>
        <v>0.1</v>
      </c>
      <c r="I11" s="100">
        <v>10</v>
      </c>
      <c r="K11" s="40">
        <v>9</v>
      </c>
      <c r="L11" s="105">
        <v>-9.3999999999999968</v>
      </c>
      <c r="N11" s="121" t="s">
        <v>254</v>
      </c>
      <c r="O11" s="131">
        <f>IF(P11=0,0,Q11/P11)</f>
        <v>-11.5625</v>
      </c>
      <c r="P11" s="125">
        <v>8</v>
      </c>
      <c r="Q11" s="113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8">
        <f>IF(B$27=0,0,G12/B$27)</f>
        <v>0.08</v>
      </c>
      <c r="I12" s="100">
        <v>6</v>
      </c>
      <c r="K12" s="40">
        <v>10</v>
      </c>
      <c r="L12" s="105">
        <v>-24.299999999999997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8">
        <f>IF(B$27=0,0,G13/B$27)</f>
        <v>0.06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8">
        <f>IF(B$27=0,0,G14/B$27)</f>
        <v>0.04</v>
      </c>
      <c r="I14" s="100">
        <v>12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8">
        <f>IF(B$27=0,0,G15/B$27)</f>
        <v>0.04</v>
      </c>
      <c r="I15" s="100">
        <v>8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8">
        <f>IF(B$27=0,0,G16/B$27)</f>
        <v>0.04</v>
      </c>
      <c r="I16" s="100">
        <v>3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8">
        <f>IF(B$27=0,0,G17/B$27)</f>
        <v>0.04</v>
      </c>
      <c r="I17" s="100">
        <v>4</v>
      </c>
      <c r="K17" s="40">
        <v>15</v>
      </c>
      <c r="L17" s="105">
        <v>-44.199999999999996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8">
        <f>IF(B$27=0,0,G18/B$27)</f>
        <v>0.02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-15.14</v>
      </c>
      <c r="P18" s="125">
        <v>10</v>
      </c>
      <c r="Q18" s="113">
        <v>-151.4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8">
        <f>IF(B$27=0,0,G19/B$27)</f>
        <v>0.02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8">
        <f>IF(B$27=0,0,G20/B$27)</f>
        <v>0.02</v>
      </c>
      <c r="I20" s="100">
        <v>6</v>
      </c>
      <c r="K20" s="40">
        <v>18</v>
      </c>
      <c r="L20" s="105">
        <v>-60.4</v>
      </c>
      <c r="N20" s="121" t="s">
        <v>136</v>
      </c>
      <c r="O20" s="131">
        <f>IF(P20=0,0,Q20/P20)</f>
        <v>-16.125</v>
      </c>
      <c r="P20" s="125">
        <v>4</v>
      </c>
      <c r="Q20" s="113">
        <v>-64.5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8">
        <f>IF(B$27=0,0,G21/B$27)</f>
        <v>0.02</v>
      </c>
      <c r="I21" s="100">
        <v>2</v>
      </c>
      <c r="K21" s="40">
        <v>19</v>
      </c>
      <c r="L21" s="105">
        <v>-60</v>
      </c>
      <c r="N21" s="121" t="s">
        <v>135</v>
      </c>
      <c r="O21" s="131">
        <f>IF(P21=0,0,Q21/P21)</f>
        <v>-24.85</v>
      </c>
      <c r="P21" s="125">
        <v>2</v>
      </c>
      <c r="Q21" s="113">
        <v>-49.7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8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-27.285714285714281</v>
      </c>
      <c r="P22" s="125">
        <v>21</v>
      </c>
      <c r="Q22" s="113">
        <v>-572.99999999999989</v>
      </c>
    </row>
    <row r="23" spans="1:17" x14ac:dyDescent="0.4">
      <c r="A23" s="96" t="s">
        <v>158</v>
      </c>
      <c r="B23" s="145">
        <v>5</v>
      </c>
      <c r="C23" s="146"/>
      <c r="E23" s="65" t="s">
        <v>78</v>
      </c>
      <c r="F23" s="62" t="s">
        <v>31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43">
        <v>67700</v>
      </c>
      <c r="C24" s="144"/>
      <c r="E24" s="65" t="s">
        <v>79</v>
      </c>
      <c r="F24" s="62" t="s">
        <v>32</v>
      </c>
      <c r="G24" s="49">
        <v>0</v>
      </c>
      <c r="H24" s="138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9">
        <v>238</v>
      </c>
      <c r="C26" s="150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1">
        <v>50</v>
      </c>
      <c r="C27" s="152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38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14C82-DC51-4134-BA49-27AB5B2B5C7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250</v>
      </c>
      <c r="C1" s="154"/>
      <c r="E1" s="135" t="s">
        <v>256</v>
      </c>
      <c r="F1" s="142" t="s">
        <v>120</v>
      </c>
      <c r="G1" s="141" t="s">
        <v>121</v>
      </c>
      <c r="H1" s="136" t="s">
        <v>122</v>
      </c>
      <c r="I1" s="142" t="s">
        <v>227</v>
      </c>
      <c r="K1" s="36" t="s">
        <v>20</v>
      </c>
      <c r="L1" s="37" t="s">
        <v>125</v>
      </c>
      <c r="M1" s="140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</v>
      </c>
      <c r="C2" s="150"/>
      <c r="E2" s="64" t="s">
        <v>71</v>
      </c>
      <c r="F2" s="61" t="s">
        <v>25</v>
      </c>
      <c r="G2" s="48">
        <v>19</v>
      </c>
      <c r="H2" s="137">
        <f>IF(B$27=0,0,G2/B$27)</f>
        <v>1.1176470588235294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-350</v>
      </c>
      <c r="P2" s="124">
        <v>12</v>
      </c>
      <c r="Q2" s="108">
        <v>-4200</v>
      </c>
    </row>
    <row r="3" spans="1:17" x14ac:dyDescent="0.4">
      <c r="A3" s="57" t="s">
        <v>8</v>
      </c>
      <c r="B3" s="155">
        <v>88</v>
      </c>
      <c r="C3" s="156"/>
      <c r="E3" s="65" t="s">
        <v>76</v>
      </c>
      <c r="F3" s="62" t="s">
        <v>29</v>
      </c>
      <c r="G3" s="49">
        <v>14</v>
      </c>
      <c r="H3" s="138">
        <f>IF(B$27=0,0,G3/B$27)</f>
        <v>0.82352941176470584</v>
      </c>
      <c r="I3" s="100">
        <v>1</v>
      </c>
      <c r="K3" s="40">
        <v>1</v>
      </c>
      <c r="L3" s="105">
        <v>4</v>
      </c>
      <c r="N3" s="121" t="s">
        <v>148</v>
      </c>
      <c r="O3" s="128">
        <f t="shared" si="0"/>
        <v>-3308.3333333333335</v>
      </c>
      <c r="P3" s="125">
        <v>12</v>
      </c>
      <c r="Q3" s="109">
        <v>-39700</v>
      </c>
    </row>
    <row r="4" spans="1:17" x14ac:dyDescent="0.4">
      <c r="A4" s="57" t="s">
        <v>6</v>
      </c>
      <c r="B4" s="157">
        <v>-155.1</v>
      </c>
      <c r="C4" s="158"/>
      <c r="E4" s="65" t="s">
        <v>69</v>
      </c>
      <c r="F4" s="62" t="s">
        <v>23</v>
      </c>
      <c r="G4" s="49">
        <v>11</v>
      </c>
      <c r="H4" s="138">
        <f>IF(B$27=0,0,G4/B$27)</f>
        <v>0.6470588235294118</v>
      </c>
      <c r="I4" s="100">
        <v>10</v>
      </c>
      <c r="K4" s="40">
        <v>2</v>
      </c>
      <c r="L4" s="105">
        <v>3.7</v>
      </c>
      <c r="N4" s="121" t="s">
        <v>149</v>
      </c>
      <c r="O4" s="128">
        <f t="shared" si="0"/>
        <v>-7000</v>
      </c>
      <c r="P4" s="125">
        <v>12</v>
      </c>
      <c r="Q4" s="109">
        <v>-84000</v>
      </c>
    </row>
    <row r="5" spans="1:17" x14ac:dyDescent="0.4">
      <c r="A5" s="57" t="s">
        <v>7</v>
      </c>
      <c r="B5" s="159">
        <f>IF(B$2=0,0,B$4/B$2)</f>
        <v>-12.924999999999999</v>
      </c>
      <c r="C5" s="160"/>
      <c r="E5" s="65" t="s">
        <v>67</v>
      </c>
      <c r="F5" s="62" t="s">
        <v>21</v>
      </c>
      <c r="G5" s="49">
        <v>5</v>
      </c>
      <c r="H5" s="138">
        <f>IF(B$27=0,0,G5/B$27)</f>
        <v>0.29411764705882354</v>
      </c>
      <c r="I5" s="100">
        <v>12</v>
      </c>
      <c r="K5" s="40">
        <v>3</v>
      </c>
      <c r="L5" s="105">
        <v>27.8</v>
      </c>
      <c r="N5" s="121" t="s">
        <v>150</v>
      </c>
      <c r="O5" s="128">
        <f t="shared" si="0"/>
        <v>-244.44444444444446</v>
      </c>
      <c r="P5" s="125">
        <v>9</v>
      </c>
      <c r="Q5" s="109">
        <v>-2200</v>
      </c>
    </row>
    <row r="6" spans="1:17" x14ac:dyDescent="0.4">
      <c r="A6" s="57" t="s">
        <v>1</v>
      </c>
      <c r="B6" s="147">
        <f>IF(B$2=0,0,(B$7*1+B$8*2+B$9*3)/B$2)</f>
        <v>2.4166666666666665</v>
      </c>
      <c r="C6" s="148"/>
      <c r="E6" s="65" t="s">
        <v>70</v>
      </c>
      <c r="F6" s="62" t="s">
        <v>24</v>
      </c>
      <c r="G6" s="49">
        <v>3</v>
      </c>
      <c r="H6" s="138">
        <f>IF(B$27=0,0,G6/B$27)</f>
        <v>0.17647058823529413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0"/>
        <v>-2737.5</v>
      </c>
      <c r="P6" s="125">
        <v>8</v>
      </c>
      <c r="Q6" s="109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38">
        <f>IF(B$27=0,0,G7/B$27)</f>
        <v>0.17647058823529413</v>
      </c>
      <c r="I7" s="100">
        <v>13</v>
      </c>
      <c r="K7" s="40">
        <v>5</v>
      </c>
      <c r="L7" s="105">
        <v>15</v>
      </c>
      <c r="N7" s="122" t="s">
        <v>152</v>
      </c>
      <c r="O7" s="129">
        <f t="shared" si="0"/>
        <v>-516.66666666666663</v>
      </c>
      <c r="P7" s="126">
        <v>6</v>
      </c>
      <c r="Q7" s="110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38">
        <f>IF(B$27=0,0,G8/B$27)</f>
        <v>0.17647058823529413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38">
        <f>IF(B$27=0,0,G9/B$27)</f>
        <v>0.17647058823529413</v>
      </c>
      <c r="I9" s="100">
        <v>4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38">
        <f>IF(B$27=0,0,G10/B$27)</f>
        <v>0.11764705882352941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-14.266666666666664</v>
      </c>
      <c r="P10" s="124">
        <v>9</v>
      </c>
      <c r="Q10" s="112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38">
        <f>IF(B$27=0,0,G11/B$27)</f>
        <v>5.8823529411764705E-2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38">
        <f>IF(B$27=0,0,G12/B$27)</f>
        <v>5.8823529411764705E-2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0.13636363636363635</v>
      </c>
      <c r="E13" s="65" t="s">
        <v>91</v>
      </c>
      <c r="F13" s="62" t="s">
        <v>44</v>
      </c>
      <c r="G13" s="49">
        <v>1</v>
      </c>
      <c r="H13" s="138">
        <f>IF(B$27=0,0,G13/B$27)</f>
        <v>5.8823529411764705E-2</v>
      </c>
      <c r="I13" s="100">
        <v>9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24</v>
      </c>
      <c r="C14" s="41">
        <f>IF(B$26=0,0,B14/B$26)</f>
        <v>0.27272727272727271</v>
      </c>
      <c r="E14" s="65" t="s">
        <v>68</v>
      </c>
      <c r="F14" s="62" t="s">
        <v>22</v>
      </c>
      <c r="G14" s="49">
        <v>0</v>
      </c>
      <c r="H14" s="138">
        <f>IF(B$27=0,0,G14/B$27)</f>
        <v>0</v>
      </c>
      <c r="I14" s="100">
        <v>12</v>
      </c>
      <c r="K14" s="40">
        <v>12</v>
      </c>
      <c r="L14" s="105">
        <v>-155.1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8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38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38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38">
        <f>IF(B$27=0,0,G18/B$27)</f>
        <v>0</v>
      </c>
      <c r="I18" s="100">
        <v>6</v>
      </c>
      <c r="N18" s="121" t="s">
        <v>133</v>
      </c>
      <c r="O18" s="131">
        <f>IF(P18=0,0,Q18/P18)</f>
        <v>-26.587499999999995</v>
      </c>
      <c r="P18" s="125">
        <v>8</v>
      </c>
      <c r="Q18" s="113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38">
        <f>IF(B$27=0,0,G19/B$27)</f>
        <v>0</v>
      </c>
      <c r="I19" s="100">
        <v>6</v>
      </c>
      <c r="N19" s="121" t="s">
        <v>139</v>
      </c>
      <c r="O19" s="131">
        <f>IF(P19=0,0,Q19/P19)</f>
        <v>-28.18</v>
      </c>
      <c r="P19" s="125">
        <v>5</v>
      </c>
      <c r="Q19" s="113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38">
        <f>IF(B$27=0,0,G20/B$27)</f>
        <v>0</v>
      </c>
      <c r="I20" s="100">
        <v>1</v>
      </c>
      <c r="N20" s="121" t="s">
        <v>137</v>
      </c>
      <c r="O20" s="131">
        <f>IF(P20=0,0,Q20/P20)</f>
        <v>-33.4</v>
      </c>
      <c r="P20" s="125">
        <v>1</v>
      </c>
      <c r="Q20" s="113">
        <v>-33.4</v>
      </c>
    </row>
    <row r="21" spans="1:17" x14ac:dyDescent="0.4">
      <c r="A21" s="57" t="s">
        <v>5</v>
      </c>
      <c r="B21" s="53">
        <f>IF(B$17=0,0,C21/B$17)</f>
        <v>8670.5882352941171</v>
      </c>
      <c r="C21" s="43">
        <v>147400</v>
      </c>
      <c r="E21" s="65" t="s">
        <v>81</v>
      </c>
      <c r="F21" s="62" t="s">
        <v>34</v>
      </c>
      <c r="G21" s="49">
        <v>0</v>
      </c>
      <c r="H21" s="138">
        <f>IF(B$27=0,0,G21/B$27)</f>
        <v>0</v>
      </c>
      <c r="I21" s="100">
        <v>7</v>
      </c>
      <c r="N21" s="121" t="s">
        <v>134</v>
      </c>
      <c r="O21" s="131">
        <f>IF(P21=0,0,Q21/P21)</f>
        <v>-53.3</v>
      </c>
      <c r="P21" s="125">
        <v>2</v>
      </c>
      <c r="Q21" s="113">
        <v>-106.6</v>
      </c>
    </row>
    <row r="22" spans="1:17" x14ac:dyDescent="0.4">
      <c r="A22" s="59" t="s">
        <v>14</v>
      </c>
      <c r="B22" s="54">
        <f>IF(B$20=0,0,C22/B$20)</f>
        <v>-9190.9090909090901</v>
      </c>
      <c r="C22" s="47">
        <v>-202200</v>
      </c>
      <c r="E22" s="65" t="s">
        <v>82</v>
      </c>
      <c r="F22" s="62" t="s">
        <v>35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5</v>
      </c>
      <c r="C23" s="146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59500</v>
      </c>
      <c r="C24" s="144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88</v>
      </c>
      <c r="C26" s="150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17</v>
      </c>
      <c r="C27" s="152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47512-3EFD-4515-AFF9-0C755860AFCA}">
  <sheetPr codeName="Sheet33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8.3333333333333329E-2</v>
      </c>
      <c r="M15" s="69">
        <v>0.13636363636363635</v>
      </c>
      <c r="N15" s="69">
        <v>0.27272727272727271</v>
      </c>
      <c r="O15" s="69">
        <v>0.41666666666666669</v>
      </c>
      <c r="P15" s="69">
        <v>0.33333333333333331</v>
      </c>
      <c r="Q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45239-8D92-4887-B138-633E451CB713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D576-2F21-4C9A-AC0C-43F643E0B67F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C2DD-D2C1-4258-B889-8D7C4394C515}">
  <sheetPr codeName="Sheet26"/>
  <dimension ref="A1:Q12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B5A00-CB36-48C9-B7EE-0BFDC3542ECB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BDCA3-AB09-437A-B0F2-A95B9F109337}">
  <sheetPr codeName="Sheet22"/>
  <dimension ref="A1:Q12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  <row r="117" spans="1:17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9.6491228070175433E-2</v>
      </c>
      <c r="M117" s="69">
        <v>0.30476190476190479</v>
      </c>
      <c r="N117" s="69">
        <v>0.21632653061224491</v>
      </c>
      <c r="O117" s="69">
        <v>0.5669642857142857</v>
      </c>
      <c r="P117" s="69">
        <v>0.38993710691823902</v>
      </c>
      <c r="Q117" s="69">
        <v>0.44486692015209123</v>
      </c>
    </row>
    <row r="118" spans="1:17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9.5652173913043481E-2</v>
      </c>
      <c r="M118" s="69">
        <v>0.30364372469635625</v>
      </c>
      <c r="N118" s="69">
        <v>0.21592442645074225</v>
      </c>
      <c r="O118" s="69">
        <v>0.56444444444444442</v>
      </c>
      <c r="P118" s="69">
        <v>0.38750000000000001</v>
      </c>
      <c r="Q118" s="69">
        <v>0.44486692015209123</v>
      </c>
    </row>
    <row r="119" spans="1:17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9.4827586206896547E-2</v>
      </c>
      <c r="M119" s="69">
        <v>0.30307076101468627</v>
      </c>
      <c r="N119" s="69">
        <v>0.21495327102803738</v>
      </c>
      <c r="O119" s="69">
        <v>0.55947136563876654</v>
      </c>
      <c r="P119" s="69">
        <v>0.38509316770186336</v>
      </c>
      <c r="Q119" s="69">
        <v>0.44486692015209123</v>
      </c>
    </row>
    <row r="120" spans="1:17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9.4017094017094016E-2</v>
      </c>
      <c r="M120" s="69">
        <v>0.30211081794195249</v>
      </c>
      <c r="N120" s="69">
        <v>0.21240105540897097</v>
      </c>
      <c r="O120" s="69">
        <v>0.55895196506550215</v>
      </c>
      <c r="P120" s="69">
        <v>0.38509316770186336</v>
      </c>
      <c r="Q120" s="69">
        <v>0.43984962406015038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366C7-3466-47BB-8040-2B6395E2C766}">
  <sheetPr codeName="Sheet20"/>
  <dimension ref="A1:Q8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  <row r="77" spans="1:17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5.4054054054054057E-2</v>
      </c>
      <c r="M77" s="69">
        <v>0.27295918367346939</v>
      </c>
      <c r="N77" s="69">
        <v>0.27551020408163263</v>
      </c>
      <c r="O77" s="69">
        <v>0.48598130841121495</v>
      </c>
      <c r="P77" s="69">
        <v>0.35185185185185186</v>
      </c>
      <c r="Q77" s="69">
        <v>0.47682119205298013</v>
      </c>
    </row>
    <row r="78" spans="1:17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5.3333333333333337E-2</v>
      </c>
      <c r="M78" s="69">
        <v>0.271356783919598</v>
      </c>
      <c r="N78" s="69">
        <v>0.27889447236180903</v>
      </c>
      <c r="O78" s="69">
        <v>0.49074074074074076</v>
      </c>
      <c r="P78" s="69">
        <v>0.36036036036036034</v>
      </c>
      <c r="Q78" s="69">
        <v>0.47741935483870968</v>
      </c>
    </row>
    <row r="79" spans="1:17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5.2631578947368418E-2</v>
      </c>
      <c r="M79" s="69">
        <v>0.27093596059113301</v>
      </c>
      <c r="N79" s="69">
        <v>0.27832512315270935</v>
      </c>
      <c r="O79" s="69">
        <v>0.5</v>
      </c>
      <c r="P79" s="69">
        <v>0.36283185840707965</v>
      </c>
      <c r="Q79" s="69">
        <v>0.4779874213836478</v>
      </c>
    </row>
    <row r="80" spans="1:17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5.1948051948051951E-2</v>
      </c>
      <c r="M80" s="69">
        <v>0.26746987951807227</v>
      </c>
      <c r="N80" s="69">
        <v>0.27710843373493976</v>
      </c>
      <c r="O80" s="69">
        <v>0.49549549549549549</v>
      </c>
      <c r="P80" s="69">
        <v>0.35652173913043478</v>
      </c>
      <c r="Q80" s="69">
        <v>0.48125000000000001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32D50-0457-4C12-9867-A44A67A5B6F1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5CAD1-B436-437B-BB74-71FCB175A5CB}">
  <sheetPr codeName="Sheet16"/>
  <dimension ref="A1:Q6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  <row r="65" spans="1:17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4.8387096774193547E-2</v>
      </c>
      <c r="M65" s="69">
        <v>0.23076923076923078</v>
      </c>
      <c r="N65" s="69">
        <v>0.3125</v>
      </c>
      <c r="O65" s="69">
        <v>0.58333333333333337</v>
      </c>
      <c r="P65" s="69">
        <v>0.4</v>
      </c>
      <c r="Q65" s="69">
        <v>0.44155844155844154</v>
      </c>
    </row>
    <row r="66" spans="1:17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4.7619047619047616E-2</v>
      </c>
      <c r="M66" s="69">
        <v>0.22580645161290322</v>
      </c>
      <c r="N66" s="69">
        <v>0.30875576036866359</v>
      </c>
      <c r="O66" s="69">
        <v>0.5714285714285714</v>
      </c>
      <c r="P66" s="69">
        <v>0.41791044776119401</v>
      </c>
      <c r="Q66" s="69">
        <v>0.43312101910828027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C1799-06E8-40A9-8B42-7D4F7395DF53}">
  <sheetPr codeName="Sheet14"/>
  <dimension ref="A1:Q1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  <row r="136" spans="1:17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7.5187969924812026E-2</v>
      </c>
      <c r="M136" s="69">
        <v>0.29571984435797666</v>
      </c>
      <c r="N136" s="69">
        <v>0.17769130998702984</v>
      </c>
      <c r="O136" s="69">
        <v>0.57894736842105265</v>
      </c>
      <c r="P136" s="69">
        <v>0.37956204379562042</v>
      </c>
      <c r="Q136" s="69">
        <v>0.44237918215613381</v>
      </c>
    </row>
    <row r="137" spans="1:17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7.4626865671641784E-2</v>
      </c>
      <c r="M137" s="69">
        <v>0.29487179487179488</v>
      </c>
      <c r="N137" s="69">
        <v>0.17692307692307693</v>
      </c>
      <c r="O137" s="69">
        <v>0.57826086956521738</v>
      </c>
      <c r="P137" s="69">
        <v>0.38405797101449274</v>
      </c>
      <c r="Q137" s="69">
        <v>0.4485294117647059</v>
      </c>
    </row>
    <row r="138" spans="1:17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7.407407407407407E-2</v>
      </c>
      <c r="M138" s="69">
        <v>0.29389312977099236</v>
      </c>
      <c r="N138" s="69">
        <v>0.17684478371501272</v>
      </c>
      <c r="O138" s="69">
        <v>0.58008658008658009</v>
      </c>
      <c r="P138" s="69">
        <v>0.38848920863309355</v>
      </c>
      <c r="Q138" s="69">
        <v>0.4489051094890511</v>
      </c>
    </row>
    <row r="139" spans="1:17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7.3529411764705885E-2</v>
      </c>
      <c r="M139" s="69">
        <v>0.29292929292929293</v>
      </c>
      <c r="N139" s="69">
        <v>0.17803030303030304</v>
      </c>
      <c r="O139" s="69">
        <v>0.5818965517241379</v>
      </c>
      <c r="P139" s="69">
        <v>0.39007092198581561</v>
      </c>
      <c r="Q139" s="69">
        <v>0.44927536231884058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FA6DD-7E52-436E-B5AD-775B44388AB8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3120F-2B8E-4F5D-822B-322163C03B51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A43E0-62D4-4BB1-958C-88CC5671DCA2}">
  <sheetPr codeName="Sheet8"/>
  <dimension ref="A1:Q24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  <row r="241" spans="1:17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0.10504201680672269</v>
      </c>
      <c r="M241" s="69">
        <v>0.3060312732688012</v>
      </c>
      <c r="N241" s="69">
        <v>0.20625465376023827</v>
      </c>
      <c r="O241" s="69">
        <v>0.63990267639902676</v>
      </c>
      <c r="P241" s="69">
        <v>0.49097472924187724</v>
      </c>
      <c r="Q241" s="69">
        <v>0.37402190923317685</v>
      </c>
    </row>
    <row r="242" spans="1:17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0.10460251046025104</v>
      </c>
      <c r="M242" s="69">
        <v>0.30473372781065089</v>
      </c>
      <c r="N242" s="69">
        <v>0.20784023668639054</v>
      </c>
      <c r="O242" s="69">
        <v>0.64077669902912626</v>
      </c>
      <c r="P242" s="69">
        <v>0.48754448398576511</v>
      </c>
      <c r="Q242" s="69">
        <v>0.37538940809968846</v>
      </c>
    </row>
    <row r="243" spans="1:17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0.10416666666666667</v>
      </c>
      <c r="M243" s="69">
        <v>0.30633284241531666</v>
      </c>
      <c r="N243" s="69">
        <v>0.20839469808541974</v>
      </c>
      <c r="O243" s="69">
        <v>0.64423076923076927</v>
      </c>
      <c r="P243" s="69">
        <v>0.48409893992932862</v>
      </c>
      <c r="Q243" s="69">
        <v>0.37770897832817335</v>
      </c>
    </row>
    <row r="244" spans="1:17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0.1037344398340249</v>
      </c>
      <c r="M244" s="69">
        <v>0.30498533724340177</v>
      </c>
      <c r="N244" s="69">
        <v>0.20821114369501467</v>
      </c>
      <c r="O244" s="69">
        <v>0.64423076923076927</v>
      </c>
      <c r="P244" s="69">
        <v>0.4859154929577465</v>
      </c>
      <c r="Q244" s="69">
        <v>0.37654320987654322</v>
      </c>
    </row>
    <row r="245" spans="1:17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0.10330578512396695</v>
      </c>
      <c r="M245" s="69">
        <v>0.30466472303206998</v>
      </c>
      <c r="N245" s="69">
        <v>0.2099125364431487</v>
      </c>
      <c r="O245" s="69">
        <v>0.64593301435406703</v>
      </c>
      <c r="P245" s="69">
        <v>0.4861111111111111</v>
      </c>
      <c r="Q245" s="69">
        <v>0.37576687116564417</v>
      </c>
    </row>
    <row r="246" spans="1:17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0.102880658436214</v>
      </c>
      <c r="M246" s="69">
        <v>0.30485155684286747</v>
      </c>
      <c r="N246" s="69">
        <v>0.20854453294713976</v>
      </c>
      <c r="O246" s="69">
        <v>0.64845605700712594</v>
      </c>
      <c r="P246" s="69">
        <v>0.4861111111111111</v>
      </c>
      <c r="Q246" s="69">
        <v>0.375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DE0C-C0C2-4D80-86BF-4763AF4B92B9}">
  <sheetPr codeName="Sheet6"/>
  <dimension ref="A1:Q28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  <row r="282" spans="1:17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8.3632019115890077E-2</v>
      </c>
      <c r="M282" s="69">
        <v>0.28847314423657211</v>
      </c>
      <c r="N282" s="69">
        <v>0.21967410983705493</v>
      </c>
      <c r="O282" s="69">
        <v>0.58019525801952576</v>
      </c>
      <c r="P282" s="69">
        <v>0.39377289377289376</v>
      </c>
      <c r="Q282" s="69">
        <v>0.41666666666666669</v>
      </c>
    </row>
    <row r="283" spans="1:17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8.3333333333333329E-2</v>
      </c>
      <c r="M283" s="69">
        <v>0.28771508603441376</v>
      </c>
      <c r="N283" s="69">
        <v>0.21988795518207283</v>
      </c>
      <c r="O283" s="69">
        <v>0.57997218358831715</v>
      </c>
      <c r="P283" s="69">
        <v>0.39490445859872614</v>
      </c>
      <c r="Q283" s="69">
        <v>0.41731467081389323</v>
      </c>
    </row>
    <row r="284" spans="1:17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8.3036773428232499E-2</v>
      </c>
      <c r="M284" s="69">
        <v>0.28807814992025521</v>
      </c>
      <c r="N284" s="69">
        <v>0.2196969696969697</v>
      </c>
      <c r="O284" s="69">
        <v>0.58062283737024223</v>
      </c>
      <c r="P284" s="69">
        <v>0.39473684210526316</v>
      </c>
      <c r="Q284" s="69">
        <v>0.41808785529715764</v>
      </c>
    </row>
    <row r="285" spans="1:17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8.2742316784869971E-2</v>
      </c>
      <c r="M285" s="69">
        <v>0.28744537147397697</v>
      </c>
      <c r="N285" s="69">
        <v>0.21970599920540326</v>
      </c>
      <c r="O285" s="69">
        <v>0.58120248790601248</v>
      </c>
      <c r="P285" s="69">
        <v>0.39692585895117538</v>
      </c>
      <c r="Q285" s="69">
        <v>0.41761071060762101</v>
      </c>
    </row>
    <row r="286" spans="1:17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8.2449941107184926E-2</v>
      </c>
      <c r="M286" s="69">
        <v>0.28701504354711005</v>
      </c>
      <c r="N286" s="69">
        <v>0.22011084718923199</v>
      </c>
      <c r="O286" s="69">
        <v>0.58137931034482759</v>
      </c>
      <c r="P286" s="69">
        <v>0.39748201438848924</v>
      </c>
      <c r="Q286" s="69">
        <v>0.41786447638603696</v>
      </c>
    </row>
    <row r="287" spans="1:17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8.2159624413145546E-2</v>
      </c>
      <c r="M287" s="69">
        <v>0.28684003152088261</v>
      </c>
      <c r="N287" s="69">
        <v>0.22044917257683216</v>
      </c>
      <c r="O287" s="69">
        <v>0.58173076923076927</v>
      </c>
      <c r="P287" s="69">
        <v>0.39767649687220735</v>
      </c>
      <c r="Q287" s="69">
        <v>0.41768916155419222</v>
      </c>
    </row>
    <row r="288" spans="1:17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8.1871345029239762E-2</v>
      </c>
      <c r="M288" s="69">
        <v>0.28649813834999022</v>
      </c>
      <c r="N288" s="69">
        <v>0.21967470115618265</v>
      </c>
      <c r="O288" s="69">
        <v>0.58207934336525313</v>
      </c>
      <c r="P288" s="69">
        <v>0.39696699375557537</v>
      </c>
      <c r="Q288" s="69">
        <v>0.41700610997963339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2019-02-21T17:05:16Z</dcterms:modified>
</cp:coreProperties>
</file>