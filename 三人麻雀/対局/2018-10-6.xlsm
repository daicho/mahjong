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対局\"/>
    </mc:Choice>
  </mc:AlternateContent>
  <xr:revisionPtr revIDLastSave="0" documentId="10_ncr:100000_{BA00BF43-5165-4275-A953-18CF98D80CA3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J5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A5" i="1" l="1"/>
  <c r="A6" i="1"/>
  <c r="A8" i="1"/>
  <c r="B9" i="1"/>
  <c r="A9" i="1" s="1"/>
  <c r="O4" i="1"/>
  <c r="O9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5" i="1"/>
  <c r="O6" i="1" s="1"/>
  <c r="O7" i="1" s="1"/>
  <c r="O8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6" i="1"/>
  <c r="J7" i="1" s="1"/>
  <c r="J8" i="1" s="1"/>
  <c r="B10" i="1" l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<sst xmlns="http://schemas.openxmlformats.org/spreadsheetml/2006/main" count="84" uniqueCount="29">
  <si>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</si>
  <si>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</si>
  <si>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</si>
  <si>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</si>
  <si>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</si>
  <si>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</si>
  <si>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</si>
  <si>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</si>
  <si>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</si>
  <si>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</si>
  <si>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</si>
  <si>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</si>
  <si>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</si>
  <si>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</si>
  <si>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</si>
  <si>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</si>
  <si>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</si>
  <si>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</si>
  <si>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</si>
  <si>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</si>
  <si>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</si>
  <si>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</si>
  <si>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</si>
  <si>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</si>
  <si>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</si>
  <si>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ツモ</t>
  </si>
  <si>
    <t>ロン</t>
  </si>
  <si>
    <t>放銃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</si>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</sst>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2" t="s">
        <v>0</v>
      </c>
      <c r="B1" s="44" t="s">
        <v>2</v>
      </c>
      <c r="C1" s="44" t="s">
        <v>1</v>
      </c>
      <c r="D1" s="44" t="s">
        <v>6</v>
      </c>
      <c r="E1" s="46" t="s">
        <v>3</v>
      </c>
      <c r="F1" s="38" t="s">
        <v>20</v>
      </c>
      <c r="G1" s="39"/>
      <c r="H1" s="39"/>
      <c r="I1" s="40"/>
      <c r="J1" s="41"/>
      <c r="K1" s="38" t="s">
        <v>22</v>
      </c>
      <c r="L1" s="39"/>
      <c r="M1" s="39"/>
      <c r="N1" s="40"/>
      <c r="O1" s="41"/>
      <c r="P1" s="38" t="s">
        <v>24</v>
      </c>
      <c r="Q1" s="39"/>
      <c r="R1" s="39"/>
      <c r="S1" s="40"/>
      <c r="T1" s="41"/>
      <c r="U1" s="38" t="s">
        <v>8</v>
      </c>
      <c r="V1" s="39"/>
      <c r="W1" s="41"/>
    </row>
    <row r="2" spans="1:23" x14ac:dyDescent="0.4">
      <c r="A2" s="43"/>
      <c r="B2" s="45"/>
      <c r="C2" s="45"/>
      <c r="D2" s="45"/>
      <c r="E2" s="47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4" t="str">
        <f>P1</f>
        <v>いっしー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21</v>
      </c>
      <c r="F4" s="17" t="s">
        <v>25</v>
      </c>
      <c r="G4" s="18">
        <v>2100</v>
      </c>
      <c r="H4" s="18"/>
      <c r="I4" s="19">
        <f>IF(OR(F4="ロン",F4="ツモ"),$C4*1000,IF(F4="放銃",$C4*-1000,IF(F4="ツモ支払",$C4*-500,"")))</f>
        <v>0</v>
      </c>
      <c r="J4" s="20">
        <f t="shared" ref="J4:J30" si="0">IF(COUNTA($F4,$K4,$P4)&gt;0,J3+SUM(G4:I4),"")</f>
        <v>37100</v>
      </c>
      <c r="K4" s="17" t="s">
        <v>28</v>
      </c>
      <c r="L4" s="18">
        <v>-1300</v>
      </c>
      <c r="M4" s="18"/>
      <c r="N4" s="19">
        <f>IF(OR(K4="ロン",K4="ツモ"),$C4*1000,IF(K4="放銃",$C4*-1000,IF(K4="ツモ支払",$C4*-500,"")))</f>
        <v>0</v>
      </c>
      <c r="O4" s="20">
        <f t="shared" ref="O4:O30" si="1">IF(COUNTA($F4,$K4,$P4)&gt;0,O3+SUM(L4:N4),"")</f>
        <v>33700</v>
      </c>
      <c r="P4" s="17" t="s">
        <v>28</v>
      </c>
      <c r="Q4" s="18">
        <v>-800</v>
      </c>
      <c r="R4" s="18"/>
      <c r="S4" s="19">
        <f>IF(OR(P4="ロン",P4="ツモ"),$C4*1000,IF(P4="放銃",$C4*-1000,IF(P4="ツモ支払",$C4*-500,"")))</f>
        <v>0</v>
      </c>
      <c r="T4" s="20">
        <f t="shared" ref="T4:T30" si="2">IF(COUNTA($F4,$K4,$P4)&gt;0,T3+SUM(Q4:S4),"")</f>
        <v>34200</v>
      </c>
      <c r="U4" s="21">
        <f>IF($J4="","",ROUND(($J4-35000)/1000,0))</f>
        <v>2</v>
      </c>
      <c r="V4" s="22">
        <f>IF($O4="","",ROUND(($O4-35000)/1000,0))</f>
        <v>-1</v>
      </c>
      <c r="W4" s="23">
        <f>IF($T4="","",ROUND(($T4-35000)/1000,0))</f>
        <v>-1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2</v>
      </c>
      <c r="C5" s="34">
        <f>IF($E5="","",IF($E4=$E5,C4+1,0))</f>
        <v>0</v>
      </c>
      <c r="D5" s="34">
        <f>IF($E5="","",IF(OR(F4="流局",K4="流局",P4="流局",F4="チョンボ",K4="チョンボ",P4="チョンボ"),D4+($H4+$M4+$R4)/-1000,0))</f>
        <v>0</v>
      </c>
      <c r="E5" s="6" t="s">
        <v>23</v>
      </c>
      <c r="F5" s="17"/>
      <c r="G5" s="18"/>
      <c r="H5" s="18">
        <v>-1000</v>
      </c>
      <c r="I5" s="19" t="str">
        <f>IF(OR(F5="ロン",F5="ツモ"),$C5*1000,IF(F5="放銃",$C5*-1000,IF(F5="ツモ支払",$C5*-500,"")))</f>
        <v/>
      </c>
      <c r="J5" s="20">
        <f t="shared" si="0"/>
        <v>36100</v>
      </c>
      <c r="K5" s="17" t="s">
        <v>27</v>
      </c>
      <c r="L5" s="18">
        <v>-24000</v>
      </c>
      <c r="M5" s="18"/>
      <c r="N5" s="19">
        <f t="shared" ref="N5:N30" si="3">IF(OR(K5="ロン",K5="ツモ"),$C5*1000,IF(K5="放銃",$C5*-1000,IF(K5="ツモ支払",$C5*-500,"")))</f>
        <v>0</v>
      </c>
      <c r="O5" s="20">
        <f t="shared" si="1"/>
        <v>9700</v>
      </c>
      <c r="P5" s="17" t="s">
        <v>26</v>
      </c>
      <c r="Q5" s="18">
        <v>24000</v>
      </c>
      <c r="R5" s="18">
        <v>1000</v>
      </c>
      <c r="S5" s="19">
        <f t="shared" ref="S5:S30" si="4">IF(OR(P5="ロン",P5="ツモ"),$C5*1000,IF(P5="放銃",$C5*-1000,IF(P5="ツモ支払",$C5*-500,"")))</f>
        <v>0</v>
      </c>
      <c r="T5" s="20">
        <f t="shared" si="2"/>
        <v>59200</v>
      </c>
      <c r="U5" s="21">
        <f>IF($J5="","",ROUND(($J5-35000)/1000,0))</f>
        <v>1</v>
      </c>
      <c r="V5" s="22">
        <f>IF($O5="","",ROUND(($O5-35000)/1000,0))</f>
        <v>-25</v>
      </c>
      <c r="W5" s="23">
        <f>IF($T5="","",ROUND(($T5-35000)/1000,0))</f>
        <v>24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2</v>
      </c>
      <c r="C6" s="34">
        <f t="shared" ref="C6:C30" si="7">IF($E6="","",IF($E5=$E6,C5+1,0))</f>
        <v>1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23</v>
      </c>
      <c r="F6" s="17" t="s">
        <v>26</v>
      </c>
      <c r="G6" s="18">
        <v>8000</v>
      </c>
      <c r="H6" s="18">
        <v>1000</v>
      </c>
      <c r="I6" s="19">
        <f t="shared" ref="I6:I30" si="9">IF(OR(F6="ロン",F6="ツモ"),$C6*1000,IF(F6="放銃",$C6*-1000,IF(F6="ツモ支払",$C6*-500,"")))</f>
        <v>1000</v>
      </c>
      <c r="J6" s="20">
        <f t="shared" si="0"/>
        <v>46100</v>
      </c>
      <c r="K6" s="17" t="s">
        <v>27</v>
      </c>
      <c r="L6" s="18">
        <v>-8000</v>
      </c>
      <c r="M6" s="18"/>
      <c r="N6" s="19">
        <f t="shared" si="3"/>
        <v>-1000</v>
      </c>
      <c r="O6" s="20">
        <f t="shared" si="1"/>
        <v>700</v>
      </c>
      <c r="P6" s="17"/>
      <c r="Q6" s="18"/>
      <c r="R6" s="18">
        <v>-1000</v>
      </c>
      <c r="S6" s="19" t="str">
        <f t="shared" si="4"/>
        <v/>
      </c>
      <c r="T6" s="20">
        <f t="shared" si="2"/>
        <v>58200</v>
      </c>
      <c r="U6" s="21">
        <f>IF($J6="","",ROUND(($J6-35000)/1000,0))</f>
        <v>11</v>
      </c>
      <c r="V6" s="22">
        <f>IF($O6="","",ROUND(($O6-35000)/1000,0))</f>
        <v>-34</v>
      </c>
      <c r="W6" s="23">
        <f>IF($T6="","",ROUND(($T6-35000)/1000,0))</f>
        <v>23</v>
      </c>
    </row>
    <row r="7" spans="1:23" x14ac:dyDescent="0.4">
      <c r="A7" s="33" t="str">
        <f t="shared" si="5"/>
        <v>東</v>
      </c>
      <c r="B7" s="34">
        <f t="shared" si="6"/>
        <v>3</v>
      </c>
      <c r="C7" s="34">
        <f t="shared" si="7"/>
        <v>0</v>
      </c>
      <c r="D7" s="34">
        <f t="shared" si="8"/>
        <v>0</v>
      </c>
      <c r="E7" s="6" t="s">
        <v>19</v>
      </c>
      <c r="F7" s="17" t="s">
        <v>27</v>
      </c>
      <c r="G7" s="18">
        <v>-8000</v>
      </c>
      <c r="H7" s="18"/>
      <c r="I7" s="19">
        <f t="shared" si="9"/>
        <v>0</v>
      </c>
      <c r="J7" s="20">
        <f t="shared" si="0"/>
        <v>38100</v>
      </c>
      <c r="K7" s="17"/>
      <c r="L7" s="18"/>
      <c r="M7" s="18"/>
      <c r="N7" s="19" t="str">
        <f t="shared" si="3"/>
        <v/>
      </c>
      <c r="O7" s="20">
        <f t="shared" si="1"/>
        <v>700</v>
      </c>
      <c r="P7" s="17" t="s">
        <v>26</v>
      </c>
      <c r="Q7" s="18">
        <v>8000</v>
      </c>
      <c r="R7" s="18"/>
      <c r="S7" s="19">
        <f t="shared" si="4"/>
        <v>0</v>
      </c>
      <c r="T7" s="20">
        <f t="shared" si="2"/>
        <v>66200</v>
      </c>
      <c r="U7" s="21">
        <f>IF($J7="","",ROUND(($J7-35000)/1000,0))</f>
        <v>3</v>
      </c>
      <c r="V7" s="22">
        <f>IF($O7="","",ROUND(($O7-35000)/1000,0))</f>
        <v>-34</v>
      </c>
      <c r="W7" s="23">
        <f>IF($T7="","",ROUND(($T7-35000)/1000,0))</f>
        <v>31</v>
      </c>
    </row>
    <row r="8" spans="1:23" x14ac:dyDescent="0.4">
      <c r="A8" s="33" t="str">
        <f t="shared" si="5"/>
        <v>南</v>
      </c>
      <c r="B8" s="34">
        <f t="shared" si="6"/>
        <v>1</v>
      </c>
      <c r="C8" s="34">
        <f t="shared" si="7"/>
        <v>0</v>
      </c>
      <c r="D8" s="34">
        <f t="shared" si="8"/>
        <v>0</v>
      </c>
      <c r="E8" s="6" t="s">
        <v>21</v>
      </c>
      <c r="F8" s="17" t="s">
        <v>25</v>
      </c>
      <c r="G8" s="18">
        <v>12000</v>
      </c>
      <c r="H8" s="18"/>
      <c r="I8" s="19">
        <f t="shared" si="9"/>
        <v>0</v>
      </c>
      <c r="J8" s="20">
        <f t="shared" si="0"/>
        <v>50100</v>
      </c>
      <c r="K8" s="17" t="s">
        <v>28</v>
      </c>
      <c r="L8" s="18">
        <v>-7500</v>
      </c>
      <c r="M8" s="18"/>
      <c r="N8" s="19">
        <f t="shared" si="3"/>
        <v>0</v>
      </c>
      <c r="O8" s="20">
        <f t="shared" si="1"/>
        <v>-6800</v>
      </c>
      <c r="P8" s="17" t="s">
        <v>28</v>
      </c>
      <c r="Q8" s="18">
        <v>-4500</v>
      </c>
      <c r="R8" s="18"/>
      <c r="S8" s="19">
        <f t="shared" si="4"/>
        <v>0</v>
      </c>
      <c r="T8" s="20">
        <f t="shared" si="2"/>
        <v>61700</v>
      </c>
      <c r="U8" s="21">
        <f>IF($J8="","",ROUND(($J8-35000)/1000,0))</f>
        <v>15</v>
      </c>
      <c r="V8" s="22">
        <f>IF($O8="","",ROUND(($O8-35000)/1000,0))</f>
        <v>-42</v>
      </c>
      <c r="W8" s="23">
        <f>IF($T8="","",ROUND(($T8-35000)/1000,0))</f>
        <v>27</v>
      </c>
    </row>
    <row r="9" spans="1:23" x14ac:dyDescent="0.4">
      <c r="A9" s="33" t="str">
        <f t="shared" si="5"/>
        <v/>
      </c>
      <c r="B9" s="34" t="str">
        <f t="shared" si="6"/>
        <v/>
      </c>
      <c r="C9" s="34" t="str">
        <f t="shared" si="7"/>
        <v/>
      </c>
      <c r="D9" s="34" t="str">
        <f t="shared" si="8"/>
        <v/>
      </c>
      <c r="E9" s="6"/>
      <c r="F9" s="17"/>
      <c r="G9" s="18"/>
      <c r="H9" s="18"/>
      <c r="I9" s="19" t="str">
        <f t="shared" si="9"/>
        <v/>
      </c>
      <c r="J9" s="20" t="str">
        <f t="shared" si="0"/>
        <v/>
      </c>
      <c r="K9" s="17"/>
      <c r="L9" s="18"/>
      <c r="M9" s="18"/>
      <c r="N9" s="19" t="str">
        <f t="shared" si="3"/>
        <v/>
      </c>
      <c r="O9" s="20" t="str">
        <f t="shared" si="1"/>
        <v/>
      </c>
      <c r="P9" s="17"/>
      <c r="Q9" s="18"/>
      <c r="R9" s="18"/>
      <c r="S9" s="19" t="str">
        <f t="shared" si="4"/>
        <v/>
      </c>
      <c r="T9" s="20" t="str">
        <f t="shared" si="2"/>
        <v/>
      </c>
      <c r="U9" s="21" t="str">
        <f>IF($J9="","",ROUND(($J9-35000)/1000,0))</f>
        <v/>
      </c>
      <c r="V9" s="22" t="str">
        <f>IF($O9="","",ROUND(($O9-35000)/1000,0))</f>
        <v/>
      </c>
      <c r="W9" s="23" t="str">
        <f>IF($T9="","",ROUND(($T9-35000)/1000,0))</f>
        <v/>
      </c>
    </row>
    <row r="10" spans="1:23" x14ac:dyDescent="0.4">
      <c r="A10" s="33" t="str">
        <f t="shared" si="5"/>
        <v/>
      </c>
      <c r="B10" s="34" t="str">
        <f t="shared" si="6"/>
        <v/>
      </c>
      <c r="C10" s="34" t="str">
        <f t="shared" si="7"/>
        <v/>
      </c>
      <c r="D10" s="34" t="str">
        <f t="shared" si="8"/>
        <v/>
      </c>
      <c r="E10" s="6"/>
      <c r="F10" s="17"/>
      <c r="G10" s="18"/>
      <c r="H10" s="18"/>
      <c r="I10" s="19" t="str">
        <f t="shared" si="9"/>
        <v/>
      </c>
      <c r="J10" s="20" t="str">
        <f t="shared" si="0"/>
        <v/>
      </c>
      <c r="K10" s="17"/>
      <c r="L10" s="18"/>
      <c r="M10" s="18"/>
      <c r="N10" s="19" t="str">
        <f t="shared" si="3"/>
        <v/>
      </c>
      <c r="O10" s="20" t="str">
        <f t="shared" si="1"/>
        <v/>
      </c>
      <c r="P10" s="17"/>
      <c r="Q10" s="18"/>
      <c r="R10" s="18"/>
      <c r="S10" s="19" t="str">
        <f t="shared" si="4"/>
        <v/>
      </c>
      <c r="T10" s="20" t="str">
        <f t="shared" si="2"/>
        <v/>
      </c>
      <c r="U10" s="21" t="str">
        <f>IF($J10="","",ROUND(($J10-35000)/1000,0))</f>
        <v/>
      </c>
      <c r="V10" s="22" t="str">
        <f>IF($O10="","",ROUND(($O10-35000)/1000,0))</f>
        <v/>
      </c>
      <c r="W10" s="23" t="str">
        <f>IF($T10="","",ROUND(($T10-35000)/1000,0))</f>
        <v/>
      </c>
    </row>
    <row r="11" spans="1:23" x14ac:dyDescent="0.4">
      <c r="A11" s="33" t="str">
        <f t="shared" si="5"/>
        <v/>
      </c>
      <c r="B11" s="34" t="str">
        <f t="shared" si="6"/>
        <v/>
      </c>
      <c r="C11" s="34" t="str">
        <f t="shared" si="7"/>
        <v/>
      </c>
      <c r="D11" s="34" t="str">
        <f t="shared" si="8"/>
        <v/>
      </c>
      <c r="E11" s="6"/>
      <c r="F11" s="17"/>
      <c r="G11" s="18"/>
      <c r="H11" s="18"/>
      <c r="I11" s="19" t="str">
        <f t="shared" si="9"/>
        <v/>
      </c>
      <c r="J11" s="20" t="str">
        <f t="shared" si="0"/>
        <v/>
      </c>
      <c r="K11" s="17"/>
      <c r="L11" s="18"/>
      <c r="M11" s="18"/>
      <c r="N11" s="19" t="str">
        <f t="shared" si="3"/>
        <v/>
      </c>
      <c r="O11" s="20" t="str">
        <f t="shared" si="1"/>
        <v/>
      </c>
      <c r="P11" s="17"/>
      <c r="Q11" s="18"/>
      <c r="R11" s="18"/>
      <c r="S11" s="19" t="str">
        <f t="shared" si="4"/>
        <v/>
      </c>
      <c r="T11" s="20" t="str">
        <f t="shared" si="2"/>
        <v/>
      </c>
      <c r="U11" s="21" t="str">
        <f>IF($J11="","",ROUND(($J11-35000)/1000,0))</f>
        <v/>
      </c>
      <c r="V11" s="22" t="str">
        <f>IF($O11="","",ROUND(($O11-35000)/1000,0))</f>
        <v/>
      </c>
      <c r="W11" s="23" t="str">
        <f>IF($T11="","",ROUND(($T11-35000)/1000,0))</f>
        <v/>
      </c>
    </row>
    <row r="12" spans="1:23" x14ac:dyDescent="0.4">
      <c r="A12" s="33" t="str">
        <f t="shared" si="5"/>
        <v/>
      </c>
      <c r="B12" s="34" t="str">
        <f t="shared" si="6"/>
        <v/>
      </c>
      <c r="C12" s="34" t="str">
        <f t="shared" si="7"/>
        <v/>
      </c>
      <c r="D12" s="34" t="str">
        <f t="shared" si="8"/>
        <v/>
      </c>
      <c r="E12" s="6"/>
      <c r="F12" s="17"/>
      <c r="G12" s="18"/>
      <c r="H12" s="18"/>
      <c r="I12" s="19" t="str">
        <f t="shared" si="9"/>
        <v/>
      </c>
      <c r="J12" s="20" t="str">
        <f t="shared" si="0"/>
        <v/>
      </c>
      <c r="K12" s="17"/>
      <c r="L12" s="18"/>
      <c r="M12" s="18"/>
      <c r="N12" s="19" t="str">
        <f t="shared" si="3"/>
        <v/>
      </c>
      <c r="O12" s="20" t="str">
        <f t="shared" si="1"/>
        <v/>
      </c>
      <c r="P12" s="17"/>
      <c r="Q12" s="18"/>
      <c r="R12" s="18"/>
      <c r="S12" s="19" t="str">
        <f t="shared" si="4"/>
        <v/>
      </c>
      <c r="T12" s="20" t="str">
        <f t="shared" si="2"/>
        <v/>
      </c>
      <c r="U12" s="21" t="str">
        <f>IF($J12="","",ROUND(($J12-35000)/1000,0))</f>
        <v/>
      </c>
      <c r="V12" s="22" t="str">
        <f>IF($O12="","",ROUND(($O12-35000)/1000,0))</f>
        <v/>
      </c>
      <c r="W12" s="23" t="str">
        <f>IF($T12="","",ROUND(($T12-35000)/1000,0))</f>
        <v/>
      </c>
    </row>
    <row r="13" spans="1:23" x14ac:dyDescent="0.4">
      <c r="A13" s="33" t="str">
        <f t="shared" si="5"/>
        <v/>
      </c>
      <c r="B13" s="34" t="str">
        <f t="shared" si="6"/>
        <v/>
      </c>
      <c r="C13" s="34" t="str">
        <f t="shared" si="7"/>
        <v/>
      </c>
      <c r="D13" s="34" t="str">
        <f t="shared" si="8"/>
        <v/>
      </c>
      <c r="E13" s="6"/>
      <c r="F13" s="17"/>
      <c r="G13" s="18"/>
      <c r="H13" s="18"/>
      <c r="I13" s="19" t="str">
        <f t="shared" si="9"/>
        <v/>
      </c>
      <c r="J13" s="20" t="str">
        <f t="shared" si="0"/>
        <v/>
      </c>
      <c r="K13" s="17"/>
      <c r="L13" s="18"/>
      <c r="M13" s="18"/>
      <c r="N13" s="19" t="str">
        <f t="shared" si="3"/>
        <v/>
      </c>
      <c r="O13" s="20" t="str">
        <f t="shared" si="1"/>
        <v/>
      </c>
      <c r="P13" s="17"/>
      <c r="Q13" s="18"/>
      <c r="R13" s="18"/>
      <c r="S13" s="19" t="str">
        <f t="shared" si="4"/>
        <v/>
      </c>
      <c r="T13" s="20" t="str">
        <f t="shared" si="2"/>
        <v/>
      </c>
      <c r="U13" s="21" t="str">
        <f>IF($J13="","",ROUND(($J13-35000)/1000,0))</f>
        <v/>
      </c>
      <c r="V13" s="22" t="str">
        <f>IF($O13="","",ROUND(($O13-35000)/1000,0))</f>
        <v/>
      </c>
      <c r="W13" s="23" t="str">
        <f>IF($T13="","",ROUND(($T13-35000)/1000,0))</f>
        <v/>
      </c>
    </row>
    <row r="14" spans="1:23" x14ac:dyDescent="0.4">
      <c r="A14" s="33" t="str">
        <f t="shared" si="5"/>
        <v/>
      </c>
      <c r="B14" s="34" t="str">
        <f t="shared" si="6"/>
        <v/>
      </c>
      <c r="C14" s="34" t="str">
        <f t="shared" si="7"/>
        <v/>
      </c>
      <c r="D14" s="34" t="str">
        <f t="shared" si="8"/>
        <v/>
      </c>
      <c r="E14" s="6"/>
      <c r="F14" s="17"/>
      <c r="G14" s="18"/>
      <c r="H14" s="18"/>
      <c r="I14" s="19" t="str">
        <f t="shared" si="9"/>
        <v/>
      </c>
      <c r="J14" s="20" t="str">
        <f t="shared" si="0"/>
        <v/>
      </c>
      <c r="K14" s="17"/>
      <c r="L14" s="18"/>
      <c r="M14" s="18"/>
      <c r="N14" s="19" t="str">
        <f t="shared" si="3"/>
        <v/>
      </c>
      <c r="O14" s="20" t="str">
        <f t="shared" si="1"/>
        <v/>
      </c>
      <c r="P14" s="17"/>
      <c r="Q14" s="18"/>
      <c r="R14" s="18"/>
      <c r="S14" s="19" t="str">
        <f t="shared" si="4"/>
        <v/>
      </c>
      <c r="T14" s="20" t="str">
        <f t="shared" si="2"/>
        <v/>
      </c>
      <c r="U14" s="21" t="str">
        <f>IF($J14="","",ROUND(($J14-35000)/1000,0))</f>
        <v/>
      </c>
      <c r="V14" s="22" t="str">
        <f>IF($O14="","",ROUND(($O14-35000)/1000,0))</f>
        <v/>
      </c>
      <c r="W14" s="23" t="str">
        <f>IF($T14="","",ROUND(($T14-35000)/1000,0))</f>
        <v/>
      </c>
    </row>
    <row r="15" spans="1:23" x14ac:dyDescent="0.4">
      <c r="A15" s="33" t="str">
        <f t="shared" si="5"/>
        <v/>
      </c>
      <c r="B15" s="34" t="str">
        <f t="shared" si="6"/>
        <v/>
      </c>
      <c r="C15" s="34" t="str">
        <f t="shared" si="7"/>
        <v/>
      </c>
      <c r="D15" s="34" t="str">
        <f t="shared" si="8"/>
        <v/>
      </c>
      <c r="E15" s="6"/>
      <c r="F15" s="17"/>
      <c r="G15" s="18"/>
      <c r="H15" s="18"/>
      <c r="I15" s="19" t="str">
        <f t="shared" si="9"/>
        <v/>
      </c>
      <c r="J15" s="20" t="str">
        <f t="shared" si="0"/>
        <v/>
      </c>
      <c r="K15" s="17"/>
      <c r="L15" s="18"/>
      <c r="M15" s="18"/>
      <c r="N15" s="19" t="str">
        <f t="shared" si="3"/>
        <v/>
      </c>
      <c r="O15" s="20" t="str">
        <f t="shared" si="1"/>
        <v/>
      </c>
      <c r="P15" s="17"/>
      <c r="Q15" s="18"/>
      <c r="R15" s="18"/>
      <c r="S15" s="19" t="str">
        <f t="shared" si="4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5"/>
        <v/>
      </c>
      <c r="B16" s="34" t="str">
        <f t="shared" si="6"/>
        <v/>
      </c>
      <c r="C16" s="34" t="str">
        <f t="shared" si="7"/>
        <v/>
      </c>
      <c r="D16" s="34" t="str">
        <f t="shared" si="8"/>
        <v/>
      </c>
      <c r="E16" s="6"/>
      <c r="F16" s="17"/>
      <c r="G16" s="18"/>
      <c r="H16" s="18"/>
      <c r="I16" s="19" t="str">
        <f t="shared" si="9"/>
        <v/>
      </c>
      <c r="J16" s="20" t="str">
        <f t="shared" si="0"/>
        <v/>
      </c>
      <c r="K16" s="17"/>
      <c r="L16" s="18"/>
      <c r="M16" s="18"/>
      <c r="N16" s="19" t="str">
        <f t="shared" si="3"/>
        <v/>
      </c>
      <c r="O16" s="20" t="str">
        <f t="shared" si="1"/>
        <v/>
      </c>
      <c r="P16" s="17"/>
      <c r="Q16" s="18"/>
      <c r="R16" s="18"/>
      <c r="S16" s="19" t="str">
        <f t="shared" si="4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3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3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3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3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3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3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3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3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3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3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3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3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3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3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3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3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3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3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3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3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3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3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3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3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3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3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3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3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3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3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3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3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3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3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3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3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3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3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3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3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3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3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3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3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3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3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3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3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3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3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3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3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3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3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3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3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3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3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3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3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3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3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3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3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3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3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3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3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3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3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2018-12-01T11:36:03Z</dcterms:modified>
</cp:coreProperties>
</file>