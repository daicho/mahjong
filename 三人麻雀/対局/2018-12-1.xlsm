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三人麻雀\対局\"/>
    </mc:Choice>
  </mc:AlternateContent>
  <xr:revisionPtr revIDLastSave="0" documentId="10_ncr:100000_{E7C55ED3-251C-44F2-B835-1A5725269C07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2" r:id="rId2"/>
    <sheet name="Sheet3" sheetId="14" r:id="rId3"/>
    <sheet name="Sheet4" sheetId="15" r:id="rId4"/>
    <sheet name="Sheet5" sheetId="16" r:id="rId5"/>
    <sheet name="Sheet6" sheetId="17" r:id="rId6"/>
    <sheet name="Sheet7" sheetId="18" r:id="rId7"/>
    <sheet name="Sheet8" sheetId="19" r:id="rId8"/>
    <sheet name="Sheet9" sheetId="20" r:id="rId9"/>
    <sheet name="Sheet10" sheetId="21" r:id="rId10"/>
    <sheet name="Sheet11" sheetId="22" r:id="rId11"/>
    <sheet name="Sheet12" sheetId="23" r:id="rId12"/>
    <sheet name="点数表(親ロン)" sheetId="4" state="hidden" r:id="rId13"/>
    <sheet name="点数表(親ツモ)" sheetId="9" state="hidden" r:id="rId14"/>
    <sheet name="点数表(子→親)" sheetId="7" state="hidden" r:id="rId15"/>
    <sheet name="点数表(子ロン)" sheetId="3" state="hidden" r:id="rId16"/>
    <sheet name="点数表(子ツモ)" sheetId="10" state="hidden" r:id="rId17"/>
    <sheet name="点数表(子→子)" sheetId="5" state="hidden" r:id="rId18"/>
    <sheet name="点数表(親→子)" sheetId="6" state="hidden" r:id="rId19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23" l="1"/>
  <c r="W30" i="23" s="1"/>
  <c r="S30" i="23"/>
  <c r="O30" i="23"/>
  <c r="V30" i="23" s="1"/>
  <c r="N30" i="23"/>
  <c r="J30" i="23"/>
  <c r="U30" i="23" s="1"/>
  <c r="I30" i="23"/>
  <c r="D30" i="23"/>
  <c r="C30" i="23"/>
  <c r="B30" i="23"/>
  <c r="A30" i="23"/>
  <c r="T29" i="23"/>
  <c r="W29" i="23" s="1"/>
  <c r="S29" i="23"/>
  <c r="O29" i="23"/>
  <c r="V29" i="23" s="1"/>
  <c r="N29" i="23"/>
  <c r="J29" i="23"/>
  <c r="U29" i="23" s="1"/>
  <c r="I29" i="23"/>
  <c r="D29" i="23"/>
  <c r="C29" i="23"/>
  <c r="B29" i="23"/>
  <c r="A29" i="23"/>
  <c r="T28" i="23"/>
  <c r="W28" i="23" s="1"/>
  <c r="S28" i="23"/>
  <c r="O28" i="23"/>
  <c r="V28" i="23" s="1"/>
  <c r="N28" i="23"/>
  <c r="J28" i="23"/>
  <c r="U28" i="23" s="1"/>
  <c r="I28" i="23"/>
  <c r="D28" i="23"/>
  <c r="C28" i="23"/>
  <c r="B28" i="23"/>
  <c r="A28" i="23"/>
  <c r="T27" i="23"/>
  <c r="W27" i="23" s="1"/>
  <c r="S27" i="23"/>
  <c r="O27" i="23"/>
  <c r="V27" i="23" s="1"/>
  <c r="N27" i="23"/>
  <c r="J27" i="23"/>
  <c r="U27" i="23" s="1"/>
  <c r="I27" i="23"/>
  <c r="D27" i="23"/>
  <c r="C27" i="23"/>
  <c r="B27" i="23"/>
  <c r="A27" i="23"/>
  <c r="T26" i="23"/>
  <c r="W26" i="23" s="1"/>
  <c r="S26" i="23"/>
  <c r="O26" i="23"/>
  <c r="V26" i="23" s="1"/>
  <c r="N26" i="23"/>
  <c r="J26" i="23"/>
  <c r="U26" i="23" s="1"/>
  <c r="I26" i="23"/>
  <c r="D26" i="23"/>
  <c r="C26" i="23"/>
  <c r="B26" i="23"/>
  <c r="A26" i="23"/>
  <c r="T25" i="23"/>
  <c r="W25" i="23" s="1"/>
  <c r="S25" i="23"/>
  <c r="O25" i="23"/>
  <c r="V25" i="23" s="1"/>
  <c r="N25" i="23"/>
  <c r="J25" i="23"/>
  <c r="U25" i="23" s="1"/>
  <c r="I25" i="23"/>
  <c r="D25" i="23"/>
  <c r="C25" i="23"/>
  <c r="B25" i="23"/>
  <c r="A25" i="23"/>
  <c r="T24" i="23"/>
  <c r="W24" i="23" s="1"/>
  <c r="S24" i="23"/>
  <c r="O24" i="23"/>
  <c r="V24" i="23" s="1"/>
  <c r="N24" i="23"/>
  <c r="J24" i="23"/>
  <c r="U24" i="23" s="1"/>
  <c r="I24" i="23"/>
  <c r="D24" i="23"/>
  <c r="C24" i="23"/>
  <c r="B24" i="23"/>
  <c r="A24" i="23"/>
  <c r="T23" i="23"/>
  <c r="W23" i="23" s="1"/>
  <c r="S23" i="23"/>
  <c r="O23" i="23"/>
  <c r="V23" i="23" s="1"/>
  <c r="N23" i="23"/>
  <c r="J23" i="23"/>
  <c r="U23" i="23" s="1"/>
  <c r="I23" i="23"/>
  <c r="D23" i="23"/>
  <c r="C23" i="23"/>
  <c r="B23" i="23"/>
  <c r="A23" i="23"/>
  <c r="T22" i="23"/>
  <c r="W22" i="23" s="1"/>
  <c r="S22" i="23"/>
  <c r="O22" i="23"/>
  <c r="V22" i="23" s="1"/>
  <c r="N22" i="23"/>
  <c r="J22" i="23"/>
  <c r="U22" i="23" s="1"/>
  <c r="I22" i="23"/>
  <c r="D22" i="23"/>
  <c r="C22" i="23"/>
  <c r="B22" i="23"/>
  <c r="A22" i="23"/>
  <c r="T21" i="23"/>
  <c r="W21" i="23" s="1"/>
  <c r="S21" i="23"/>
  <c r="O21" i="23"/>
  <c r="V21" i="23" s="1"/>
  <c r="N21" i="23"/>
  <c r="J21" i="23"/>
  <c r="U21" i="23" s="1"/>
  <c r="I21" i="23"/>
  <c r="D21" i="23"/>
  <c r="C21" i="23"/>
  <c r="B21" i="23"/>
  <c r="A21" i="23"/>
  <c r="T20" i="23"/>
  <c r="W20" i="23" s="1"/>
  <c r="S20" i="23"/>
  <c r="O20" i="23"/>
  <c r="V20" i="23" s="1"/>
  <c r="N20" i="23"/>
  <c r="J20" i="23"/>
  <c r="U20" i="23" s="1"/>
  <c r="I20" i="23"/>
  <c r="D20" i="23"/>
  <c r="C20" i="23"/>
  <c r="B20" i="23"/>
  <c r="A20" i="23"/>
  <c r="T19" i="23"/>
  <c r="W19" i="23" s="1"/>
  <c r="S19" i="23"/>
  <c r="O19" i="23"/>
  <c r="V19" i="23" s="1"/>
  <c r="N19" i="23"/>
  <c r="J19" i="23"/>
  <c r="U19" i="23" s="1"/>
  <c r="I19" i="23"/>
  <c r="D19" i="23"/>
  <c r="C19" i="23"/>
  <c r="B19" i="23"/>
  <c r="A19" i="23"/>
  <c r="T18" i="23"/>
  <c r="W18" i="23" s="1"/>
  <c r="S18" i="23"/>
  <c r="O18" i="23"/>
  <c r="V18" i="23" s="1"/>
  <c r="N18" i="23"/>
  <c r="J18" i="23"/>
  <c r="U18" i="23" s="1"/>
  <c r="I18" i="23"/>
  <c r="D18" i="23"/>
  <c r="C18" i="23"/>
  <c r="B18" i="23"/>
  <c r="A18" i="23"/>
  <c r="T17" i="23"/>
  <c r="W17" i="23" s="1"/>
  <c r="S17" i="23"/>
  <c r="O17" i="23"/>
  <c r="V17" i="23" s="1"/>
  <c r="N17" i="23"/>
  <c r="J17" i="23"/>
  <c r="U17" i="23" s="1"/>
  <c r="I17" i="23"/>
  <c r="D17" i="23"/>
  <c r="C17" i="23"/>
  <c r="B17" i="23"/>
  <c r="A17" i="23"/>
  <c r="T16" i="23"/>
  <c r="W16" i="23" s="1"/>
  <c r="S16" i="23"/>
  <c r="O16" i="23"/>
  <c r="V16" i="23" s="1"/>
  <c r="N16" i="23"/>
  <c r="J16" i="23"/>
  <c r="U16" i="23" s="1"/>
  <c r="I16" i="23"/>
  <c r="D16" i="23"/>
  <c r="C16" i="23"/>
  <c r="B16" i="23"/>
  <c r="A16" i="23"/>
  <c r="T15" i="23"/>
  <c r="W15" i="23" s="1"/>
  <c r="S15" i="23"/>
  <c r="O15" i="23"/>
  <c r="V15" i="23" s="1"/>
  <c r="N15" i="23"/>
  <c r="J15" i="23"/>
  <c r="U15" i="23" s="1"/>
  <c r="I15" i="23"/>
  <c r="D15" i="23"/>
  <c r="C15" i="23"/>
  <c r="B15" i="23"/>
  <c r="A15" i="23"/>
  <c r="T14" i="23"/>
  <c r="W14" i="23" s="1"/>
  <c r="S14" i="23"/>
  <c r="O14" i="23"/>
  <c r="V14" i="23" s="1"/>
  <c r="N14" i="23"/>
  <c r="J14" i="23"/>
  <c r="U14" i="23" s="1"/>
  <c r="I14" i="23"/>
  <c r="D14" i="23"/>
  <c r="C14" i="23"/>
  <c r="B14" i="23"/>
  <c r="A14" i="23"/>
  <c r="T13" i="23"/>
  <c r="W13" i="23" s="1"/>
  <c r="S13" i="23"/>
  <c r="N13" i="23"/>
  <c r="O13" i="23" s="1"/>
  <c r="V13" i="23" s="1"/>
  <c r="I13" i="23"/>
  <c r="J13" i="23" s="1"/>
  <c r="U13" i="23" s="1"/>
  <c r="D13" i="23"/>
  <c r="C13" i="23"/>
  <c r="B13" i="23"/>
  <c r="A13" i="23"/>
  <c r="T12" i="23"/>
  <c r="W12" i="23" s="1"/>
  <c r="S12" i="23"/>
  <c r="N12" i="23"/>
  <c r="O12" i="23" s="1"/>
  <c r="V12" i="23" s="1"/>
  <c r="J12" i="23"/>
  <c r="U12" i="23" s="1"/>
  <c r="I12" i="23"/>
  <c r="D12" i="23"/>
  <c r="C12" i="23"/>
  <c r="B12" i="23"/>
  <c r="A12" i="23" s="1"/>
  <c r="S11" i="23"/>
  <c r="T11" i="23" s="1"/>
  <c r="W11" i="23" s="1"/>
  <c r="N11" i="23"/>
  <c r="O11" i="23" s="1"/>
  <c r="V11" i="23" s="1"/>
  <c r="I11" i="23"/>
  <c r="J11" i="23" s="1"/>
  <c r="U11" i="23" s="1"/>
  <c r="D11" i="23"/>
  <c r="C11" i="23"/>
  <c r="B11" i="23"/>
  <c r="A11" i="23"/>
  <c r="S10" i="23"/>
  <c r="T10" i="23" s="1"/>
  <c r="W10" i="23" s="1"/>
  <c r="N10" i="23"/>
  <c r="O10" i="23" s="1"/>
  <c r="V10" i="23" s="1"/>
  <c r="I10" i="23"/>
  <c r="J10" i="23" s="1"/>
  <c r="U10" i="23" s="1"/>
  <c r="D10" i="23"/>
  <c r="C10" i="23"/>
  <c r="B10" i="23"/>
  <c r="A10" i="23"/>
  <c r="N9" i="23"/>
  <c r="I9" i="23"/>
  <c r="D9" i="23"/>
  <c r="C9" i="23"/>
  <c r="S9" i="23" s="1"/>
  <c r="S8" i="23"/>
  <c r="I8" i="23"/>
  <c r="D8" i="23"/>
  <c r="C8" i="23"/>
  <c r="N8" i="23" s="1"/>
  <c r="N7" i="23"/>
  <c r="I7" i="23"/>
  <c r="D7" i="23"/>
  <c r="C7" i="23"/>
  <c r="S7" i="23" s="1"/>
  <c r="N6" i="23"/>
  <c r="D6" i="23"/>
  <c r="C6" i="23"/>
  <c r="S6" i="23" s="1"/>
  <c r="B6" i="23"/>
  <c r="B7" i="23" s="1"/>
  <c r="D5" i="23"/>
  <c r="C5" i="23"/>
  <c r="S5" i="23" s="1"/>
  <c r="B5" i="23"/>
  <c r="A5" i="23"/>
  <c r="S4" i="23"/>
  <c r="T4" i="23" s="1"/>
  <c r="N4" i="23"/>
  <c r="O4" i="23" s="1"/>
  <c r="V4" i="23" s="1"/>
  <c r="I4" i="23"/>
  <c r="J4" i="23" s="1"/>
  <c r="W3" i="23"/>
  <c r="V3" i="23"/>
  <c r="U3" i="23"/>
  <c r="W2" i="23"/>
  <c r="V2" i="23"/>
  <c r="U2" i="23"/>
  <c r="A6" i="23" l="1"/>
  <c r="T5" i="23"/>
  <c r="W4" i="23"/>
  <c r="U4" i="23"/>
  <c r="B8" i="23"/>
  <c r="A8" i="23" s="1"/>
  <c r="A7" i="23"/>
  <c r="N5" i="23"/>
  <c r="O5" i="23" s="1"/>
  <c r="I5" i="23"/>
  <c r="J5" i="23" s="1"/>
  <c r="I6" i="23"/>
  <c r="O6" i="23" l="1"/>
  <c r="V5" i="23"/>
  <c r="U5" i="23"/>
  <c r="J6" i="23"/>
  <c r="B9" i="23"/>
  <c r="A9" i="23" s="1"/>
  <c r="W5" i="23"/>
  <c r="T6" i="23"/>
  <c r="W6" i="23" l="1"/>
  <c r="T7" i="23"/>
  <c r="J7" i="23"/>
  <c r="U6" i="23"/>
  <c r="O7" i="23"/>
  <c r="V6" i="23"/>
  <c r="J8" i="23" l="1"/>
  <c r="U7" i="23"/>
  <c r="T8" i="23"/>
  <c r="W7" i="23"/>
  <c r="V7" i="23"/>
  <c r="O8" i="23"/>
  <c r="V8" i="23" l="1"/>
  <c r="O9" i="23"/>
  <c r="V9" i="23" s="1"/>
  <c r="T9" i="23"/>
  <c r="W9" i="23" s="1"/>
  <c r="W8" i="23"/>
  <c r="J9" i="23"/>
  <c r="U9" i="23" s="1"/>
  <c r="U8" i="23"/>
  <c r="T30" i="22" l="1"/>
  <c r="W30" i="22" s="1"/>
  <c r="S30" i="22"/>
  <c r="O30" i="22"/>
  <c r="V30" i="22" s="1"/>
  <c r="N30" i="22"/>
  <c r="J30" i="22"/>
  <c r="U30" i="22" s="1"/>
  <c r="I30" i="22"/>
  <c r="D30" i="22"/>
  <c r="C30" i="22"/>
  <c r="B30" i="22"/>
  <c r="A30" i="22"/>
  <c r="T29" i="22"/>
  <c r="W29" i="22" s="1"/>
  <c r="S29" i="22"/>
  <c r="O29" i="22"/>
  <c r="V29" i="22" s="1"/>
  <c r="N29" i="22"/>
  <c r="J29" i="22"/>
  <c r="U29" i="22" s="1"/>
  <c r="I29" i="22"/>
  <c r="D29" i="22"/>
  <c r="C29" i="22"/>
  <c r="B29" i="22"/>
  <c r="A29" i="22"/>
  <c r="T28" i="22"/>
  <c r="W28" i="22" s="1"/>
  <c r="S28" i="22"/>
  <c r="O28" i="22"/>
  <c r="V28" i="22" s="1"/>
  <c r="N28" i="22"/>
  <c r="J28" i="22"/>
  <c r="U28" i="22" s="1"/>
  <c r="I28" i="22"/>
  <c r="D28" i="22"/>
  <c r="C28" i="22"/>
  <c r="B28" i="22"/>
  <c r="A28" i="22"/>
  <c r="T27" i="22"/>
  <c r="W27" i="22" s="1"/>
  <c r="S27" i="22"/>
  <c r="O27" i="22"/>
  <c r="V27" i="22" s="1"/>
  <c r="N27" i="22"/>
  <c r="J27" i="22"/>
  <c r="U27" i="22" s="1"/>
  <c r="I27" i="22"/>
  <c r="D27" i="22"/>
  <c r="C27" i="22"/>
  <c r="B27" i="22"/>
  <c r="A27" i="22"/>
  <c r="T26" i="22"/>
  <c r="W26" i="22" s="1"/>
  <c r="S26" i="22"/>
  <c r="O26" i="22"/>
  <c r="V26" i="22" s="1"/>
  <c r="N26" i="22"/>
  <c r="J26" i="22"/>
  <c r="U26" i="22" s="1"/>
  <c r="I26" i="22"/>
  <c r="D26" i="22"/>
  <c r="C26" i="22"/>
  <c r="B26" i="22"/>
  <c r="A26" i="22"/>
  <c r="T25" i="22"/>
  <c r="W25" i="22" s="1"/>
  <c r="S25" i="22"/>
  <c r="O25" i="22"/>
  <c r="V25" i="22" s="1"/>
  <c r="N25" i="22"/>
  <c r="J25" i="22"/>
  <c r="U25" i="22" s="1"/>
  <c r="I25" i="22"/>
  <c r="D25" i="22"/>
  <c r="C25" i="22"/>
  <c r="B25" i="22"/>
  <c r="A25" i="22"/>
  <c r="T24" i="22"/>
  <c r="W24" i="22" s="1"/>
  <c r="S24" i="22"/>
  <c r="O24" i="22"/>
  <c r="V24" i="22" s="1"/>
  <c r="N24" i="22"/>
  <c r="J24" i="22"/>
  <c r="U24" i="22" s="1"/>
  <c r="I24" i="22"/>
  <c r="D24" i="22"/>
  <c r="C24" i="22"/>
  <c r="B24" i="22"/>
  <c r="A24" i="22"/>
  <c r="T23" i="22"/>
  <c r="W23" i="22" s="1"/>
  <c r="S23" i="22"/>
  <c r="O23" i="22"/>
  <c r="V23" i="22" s="1"/>
  <c r="N23" i="22"/>
  <c r="J23" i="22"/>
  <c r="U23" i="22" s="1"/>
  <c r="I23" i="22"/>
  <c r="D23" i="22"/>
  <c r="C23" i="22"/>
  <c r="B23" i="22"/>
  <c r="A23" i="22"/>
  <c r="T22" i="22"/>
  <c r="W22" i="22" s="1"/>
  <c r="S22" i="22"/>
  <c r="O22" i="22"/>
  <c r="V22" i="22" s="1"/>
  <c r="N22" i="22"/>
  <c r="J22" i="22"/>
  <c r="U22" i="22" s="1"/>
  <c r="I22" i="22"/>
  <c r="D22" i="22"/>
  <c r="C22" i="22"/>
  <c r="B22" i="22"/>
  <c r="A22" i="22"/>
  <c r="T21" i="22"/>
  <c r="W21" i="22" s="1"/>
  <c r="S21" i="22"/>
  <c r="O21" i="22"/>
  <c r="V21" i="22" s="1"/>
  <c r="N21" i="22"/>
  <c r="J21" i="22"/>
  <c r="U21" i="22" s="1"/>
  <c r="I21" i="22"/>
  <c r="D21" i="22"/>
  <c r="C21" i="22"/>
  <c r="B21" i="22"/>
  <c r="A21" i="22"/>
  <c r="T20" i="22"/>
  <c r="W20" i="22" s="1"/>
  <c r="S20" i="22"/>
  <c r="O20" i="22"/>
  <c r="V20" i="22" s="1"/>
  <c r="N20" i="22"/>
  <c r="J20" i="22"/>
  <c r="U20" i="22" s="1"/>
  <c r="I20" i="22"/>
  <c r="D20" i="22"/>
  <c r="C20" i="22"/>
  <c r="B20" i="22"/>
  <c r="A20" i="22"/>
  <c r="T19" i="22"/>
  <c r="W19" i="22" s="1"/>
  <c r="S19" i="22"/>
  <c r="O19" i="22"/>
  <c r="V19" i="22" s="1"/>
  <c r="N19" i="22"/>
  <c r="J19" i="22"/>
  <c r="U19" i="22" s="1"/>
  <c r="I19" i="22"/>
  <c r="D19" i="22"/>
  <c r="C19" i="22"/>
  <c r="B19" i="22"/>
  <c r="A19" i="22"/>
  <c r="T18" i="22"/>
  <c r="W18" i="22" s="1"/>
  <c r="S18" i="22"/>
  <c r="O18" i="22"/>
  <c r="V18" i="22" s="1"/>
  <c r="N18" i="22"/>
  <c r="J18" i="22"/>
  <c r="U18" i="22" s="1"/>
  <c r="I18" i="22"/>
  <c r="D18" i="22"/>
  <c r="C18" i="22"/>
  <c r="B18" i="22"/>
  <c r="A18" i="22"/>
  <c r="T17" i="22"/>
  <c r="W17" i="22" s="1"/>
  <c r="S17" i="22"/>
  <c r="O17" i="22"/>
  <c r="V17" i="22" s="1"/>
  <c r="N17" i="22"/>
  <c r="J17" i="22"/>
  <c r="U17" i="22" s="1"/>
  <c r="I17" i="22"/>
  <c r="D17" i="22"/>
  <c r="C17" i="22"/>
  <c r="B17" i="22"/>
  <c r="A17" i="22"/>
  <c r="T16" i="22"/>
  <c r="W16" i="22" s="1"/>
  <c r="S16" i="22"/>
  <c r="O16" i="22"/>
  <c r="V16" i="22" s="1"/>
  <c r="N16" i="22"/>
  <c r="J16" i="22"/>
  <c r="U16" i="22" s="1"/>
  <c r="I16" i="22"/>
  <c r="D16" i="22"/>
  <c r="C16" i="22"/>
  <c r="B16" i="22"/>
  <c r="A16" i="22"/>
  <c r="T15" i="22"/>
  <c r="W15" i="22" s="1"/>
  <c r="S15" i="22"/>
  <c r="O15" i="22"/>
  <c r="V15" i="22" s="1"/>
  <c r="N15" i="22"/>
  <c r="J15" i="22"/>
  <c r="U15" i="22" s="1"/>
  <c r="I15" i="22"/>
  <c r="D15" i="22"/>
  <c r="C15" i="22"/>
  <c r="B15" i="22"/>
  <c r="A15" i="22"/>
  <c r="T14" i="22"/>
  <c r="W14" i="22" s="1"/>
  <c r="S14" i="22"/>
  <c r="O14" i="22"/>
  <c r="V14" i="22" s="1"/>
  <c r="N14" i="22"/>
  <c r="J14" i="22"/>
  <c r="U14" i="22" s="1"/>
  <c r="I14" i="22"/>
  <c r="D14" i="22"/>
  <c r="C14" i="22"/>
  <c r="B14" i="22"/>
  <c r="A14" i="22"/>
  <c r="T13" i="22"/>
  <c r="W13" i="22" s="1"/>
  <c r="S13" i="22"/>
  <c r="O13" i="22"/>
  <c r="V13" i="22" s="1"/>
  <c r="N13" i="22"/>
  <c r="J13" i="22"/>
  <c r="U13" i="22" s="1"/>
  <c r="I13" i="22"/>
  <c r="D13" i="22"/>
  <c r="C13" i="22"/>
  <c r="B13" i="22"/>
  <c r="A13" i="22"/>
  <c r="T12" i="22"/>
  <c r="W12" i="22" s="1"/>
  <c r="S12" i="22"/>
  <c r="O12" i="22"/>
  <c r="V12" i="22" s="1"/>
  <c r="N12" i="22"/>
  <c r="J12" i="22"/>
  <c r="U12" i="22" s="1"/>
  <c r="I12" i="22"/>
  <c r="D12" i="22"/>
  <c r="C12" i="22"/>
  <c r="B12" i="22"/>
  <c r="A12" i="22"/>
  <c r="T11" i="22"/>
  <c r="W11" i="22" s="1"/>
  <c r="S11" i="22"/>
  <c r="O11" i="22"/>
  <c r="V11" i="22" s="1"/>
  <c r="N11" i="22"/>
  <c r="J11" i="22"/>
  <c r="U11" i="22" s="1"/>
  <c r="I11" i="22"/>
  <c r="D11" i="22"/>
  <c r="C11" i="22"/>
  <c r="B11" i="22"/>
  <c r="A11" i="22"/>
  <c r="T10" i="22"/>
  <c r="W10" i="22" s="1"/>
  <c r="S10" i="22"/>
  <c r="O10" i="22"/>
  <c r="V10" i="22" s="1"/>
  <c r="N10" i="22"/>
  <c r="J10" i="22"/>
  <c r="U10" i="22" s="1"/>
  <c r="I10" i="22"/>
  <c r="D10" i="22"/>
  <c r="C10" i="22"/>
  <c r="B10" i="22"/>
  <c r="A10" i="22"/>
  <c r="S9" i="22"/>
  <c r="T9" i="22" s="1"/>
  <c r="W9" i="22" s="1"/>
  <c r="O9" i="22"/>
  <c r="V9" i="22" s="1"/>
  <c r="N9" i="22"/>
  <c r="J9" i="22"/>
  <c r="U9" i="22" s="1"/>
  <c r="I9" i="22"/>
  <c r="D9" i="22"/>
  <c r="C9" i="22"/>
  <c r="B9" i="22"/>
  <c r="A9" i="22"/>
  <c r="D8" i="22"/>
  <c r="N7" i="22"/>
  <c r="D7" i="22"/>
  <c r="I6" i="22"/>
  <c r="D6" i="22"/>
  <c r="B6" i="22"/>
  <c r="N5" i="22"/>
  <c r="I5" i="22"/>
  <c r="D5" i="22"/>
  <c r="C5" i="22"/>
  <c r="C6" i="22" s="1"/>
  <c r="B5" i="22"/>
  <c r="S4" i="22"/>
  <c r="T4" i="22" s="1"/>
  <c r="N4" i="22"/>
  <c r="O4" i="22" s="1"/>
  <c r="I4" i="22"/>
  <c r="J4" i="22" s="1"/>
  <c r="W3" i="22"/>
  <c r="V3" i="22"/>
  <c r="U3" i="22"/>
  <c r="W2" i="22"/>
  <c r="V2" i="22"/>
  <c r="U2" i="22"/>
  <c r="O5" i="22" l="1"/>
  <c r="V5" i="22" s="1"/>
  <c r="W4" i="22"/>
  <c r="J5" i="22"/>
  <c r="U4" i="22"/>
  <c r="S6" i="22"/>
  <c r="C7" i="22"/>
  <c r="N6" i="22"/>
  <c r="O6" i="22" s="1"/>
  <c r="B7" i="22"/>
  <c r="A5" i="22"/>
  <c r="A6" i="22" s="1"/>
  <c r="S5" i="22"/>
  <c r="T5" i="22" s="1"/>
  <c r="V4" i="22"/>
  <c r="W5" i="22" l="1"/>
  <c r="T6" i="22"/>
  <c r="O7" i="22"/>
  <c r="V6" i="22"/>
  <c r="C8" i="22"/>
  <c r="I7" i="22"/>
  <c r="S7" i="22"/>
  <c r="B8" i="22"/>
  <c r="A8" i="22" s="1"/>
  <c r="A7" i="22"/>
  <c r="J6" i="22"/>
  <c r="U5" i="22"/>
  <c r="J7" i="22" l="1"/>
  <c r="U6" i="22"/>
  <c r="V7" i="22"/>
  <c r="W6" i="22"/>
  <c r="T7" i="22"/>
  <c r="N8" i="22"/>
  <c r="O8" i="22" s="1"/>
  <c r="V8" i="22" s="1"/>
  <c r="S8" i="22"/>
  <c r="I8" i="22"/>
  <c r="T8" i="22" l="1"/>
  <c r="W8" i="22" s="1"/>
  <c r="W7" i="22"/>
  <c r="J8" i="22"/>
  <c r="U8" i="22" s="1"/>
  <c r="U7" i="22"/>
  <c r="T30" i="21" l="1"/>
  <c r="W30" i="21" s="1"/>
  <c r="S30" i="21"/>
  <c r="O30" i="21"/>
  <c r="V30" i="21" s="1"/>
  <c r="N30" i="21"/>
  <c r="J30" i="21"/>
  <c r="U30" i="21" s="1"/>
  <c r="I30" i="21"/>
  <c r="D30" i="21"/>
  <c r="C30" i="21"/>
  <c r="B30" i="21"/>
  <c r="A30" i="21"/>
  <c r="T29" i="21"/>
  <c r="W29" i="21" s="1"/>
  <c r="S29" i="21"/>
  <c r="O29" i="21"/>
  <c r="V29" i="21" s="1"/>
  <c r="N29" i="21"/>
  <c r="J29" i="21"/>
  <c r="U29" i="21" s="1"/>
  <c r="I29" i="21"/>
  <c r="D29" i="21"/>
  <c r="C29" i="21"/>
  <c r="B29" i="21"/>
  <c r="A29" i="21"/>
  <c r="T28" i="21"/>
  <c r="W28" i="21" s="1"/>
  <c r="S28" i="21"/>
  <c r="O28" i="21"/>
  <c r="V28" i="21" s="1"/>
  <c r="N28" i="21"/>
  <c r="J28" i="21"/>
  <c r="U28" i="21" s="1"/>
  <c r="I28" i="21"/>
  <c r="D28" i="21"/>
  <c r="C28" i="21"/>
  <c r="B28" i="21"/>
  <c r="A28" i="21"/>
  <c r="T27" i="21"/>
  <c r="W27" i="21" s="1"/>
  <c r="S27" i="21"/>
  <c r="O27" i="21"/>
  <c r="V27" i="21" s="1"/>
  <c r="N27" i="21"/>
  <c r="J27" i="21"/>
  <c r="U27" i="21" s="1"/>
  <c r="I27" i="21"/>
  <c r="D27" i="21"/>
  <c r="C27" i="21"/>
  <c r="B27" i="21"/>
  <c r="A27" i="21"/>
  <c r="T26" i="21"/>
  <c r="W26" i="21" s="1"/>
  <c r="S26" i="21"/>
  <c r="O26" i="21"/>
  <c r="V26" i="21" s="1"/>
  <c r="N26" i="21"/>
  <c r="J26" i="21"/>
  <c r="U26" i="21" s="1"/>
  <c r="I26" i="21"/>
  <c r="D26" i="21"/>
  <c r="C26" i="21"/>
  <c r="B26" i="21"/>
  <c r="A26" i="21"/>
  <c r="T25" i="21"/>
  <c r="W25" i="21" s="1"/>
  <c r="S25" i="21"/>
  <c r="O25" i="21"/>
  <c r="V25" i="21" s="1"/>
  <c r="N25" i="21"/>
  <c r="J25" i="21"/>
  <c r="U25" i="21" s="1"/>
  <c r="I25" i="21"/>
  <c r="D25" i="21"/>
  <c r="C25" i="21"/>
  <c r="B25" i="21"/>
  <c r="A25" i="21"/>
  <c r="T24" i="21"/>
  <c r="W24" i="21" s="1"/>
  <c r="S24" i="21"/>
  <c r="O24" i="21"/>
  <c r="V24" i="21" s="1"/>
  <c r="N24" i="21"/>
  <c r="J24" i="21"/>
  <c r="U24" i="21" s="1"/>
  <c r="I24" i="21"/>
  <c r="D24" i="21"/>
  <c r="C24" i="21"/>
  <c r="B24" i="21"/>
  <c r="A24" i="21"/>
  <c r="T23" i="21"/>
  <c r="W23" i="21" s="1"/>
  <c r="S23" i="21"/>
  <c r="O23" i="21"/>
  <c r="V23" i="21" s="1"/>
  <c r="N23" i="21"/>
  <c r="J23" i="21"/>
  <c r="U23" i="21" s="1"/>
  <c r="I23" i="21"/>
  <c r="D23" i="21"/>
  <c r="C23" i="21"/>
  <c r="B23" i="21"/>
  <c r="A23" i="21"/>
  <c r="T22" i="21"/>
  <c r="W22" i="21" s="1"/>
  <c r="S22" i="21"/>
  <c r="O22" i="21"/>
  <c r="V22" i="21" s="1"/>
  <c r="N22" i="21"/>
  <c r="J22" i="21"/>
  <c r="U22" i="21" s="1"/>
  <c r="I22" i="21"/>
  <c r="D22" i="21"/>
  <c r="C22" i="21"/>
  <c r="B22" i="21"/>
  <c r="A22" i="21"/>
  <c r="T21" i="21"/>
  <c r="W21" i="21" s="1"/>
  <c r="S21" i="21"/>
  <c r="O21" i="21"/>
  <c r="V21" i="21" s="1"/>
  <c r="N21" i="21"/>
  <c r="J21" i="21"/>
  <c r="U21" i="21" s="1"/>
  <c r="I21" i="21"/>
  <c r="D21" i="21"/>
  <c r="C21" i="21"/>
  <c r="B21" i="21"/>
  <c r="A21" i="21"/>
  <c r="T20" i="21"/>
  <c r="W20" i="21" s="1"/>
  <c r="S20" i="21"/>
  <c r="O20" i="21"/>
  <c r="V20" i="21" s="1"/>
  <c r="N20" i="21"/>
  <c r="J20" i="21"/>
  <c r="U20" i="21" s="1"/>
  <c r="I20" i="21"/>
  <c r="D20" i="21"/>
  <c r="C20" i="21"/>
  <c r="B20" i="21"/>
  <c r="A20" i="21"/>
  <c r="T19" i="21"/>
  <c r="W19" i="21" s="1"/>
  <c r="S19" i="21"/>
  <c r="O19" i="21"/>
  <c r="V19" i="21" s="1"/>
  <c r="N19" i="21"/>
  <c r="J19" i="21"/>
  <c r="U19" i="21" s="1"/>
  <c r="I19" i="21"/>
  <c r="D19" i="21"/>
  <c r="C19" i="21"/>
  <c r="B19" i="21"/>
  <c r="A19" i="21"/>
  <c r="T18" i="21"/>
  <c r="W18" i="21" s="1"/>
  <c r="S18" i="21"/>
  <c r="O18" i="21"/>
  <c r="V18" i="21" s="1"/>
  <c r="N18" i="21"/>
  <c r="J18" i="21"/>
  <c r="U18" i="21" s="1"/>
  <c r="I18" i="21"/>
  <c r="D18" i="21"/>
  <c r="C18" i="21"/>
  <c r="B18" i="21"/>
  <c r="A18" i="21"/>
  <c r="T17" i="21"/>
  <c r="W17" i="21" s="1"/>
  <c r="S17" i="21"/>
  <c r="O17" i="21"/>
  <c r="V17" i="21" s="1"/>
  <c r="N17" i="21"/>
  <c r="J17" i="21"/>
  <c r="U17" i="21" s="1"/>
  <c r="I17" i="21"/>
  <c r="D17" i="21"/>
  <c r="C17" i="21"/>
  <c r="B17" i="21"/>
  <c r="A17" i="21"/>
  <c r="T16" i="21"/>
  <c r="W16" i="21" s="1"/>
  <c r="S16" i="21"/>
  <c r="O16" i="21"/>
  <c r="V16" i="21" s="1"/>
  <c r="N16" i="21"/>
  <c r="J16" i="21"/>
  <c r="U16" i="21" s="1"/>
  <c r="I16" i="21"/>
  <c r="D16" i="21"/>
  <c r="C16" i="21"/>
  <c r="B16" i="21"/>
  <c r="A16" i="21"/>
  <c r="T15" i="21"/>
  <c r="W15" i="21" s="1"/>
  <c r="S15" i="21"/>
  <c r="O15" i="21"/>
  <c r="V15" i="21" s="1"/>
  <c r="N15" i="21"/>
  <c r="J15" i="21"/>
  <c r="U15" i="21" s="1"/>
  <c r="I15" i="21"/>
  <c r="D15" i="21"/>
  <c r="C15" i="21"/>
  <c r="B15" i="21"/>
  <c r="A15" i="21"/>
  <c r="T14" i="21"/>
  <c r="W14" i="21" s="1"/>
  <c r="S14" i="21"/>
  <c r="O14" i="21"/>
  <c r="V14" i="21" s="1"/>
  <c r="N14" i="21"/>
  <c r="J14" i="21"/>
  <c r="U14" i="21" s="1"/>
  <c r="I14" i="21"/>
  <c r="D14" i="21"/>
  <c r="C14" i="21"/>
  <c r="B14" i="21"/>
  <c r="A14" i="21"/>
  <c r="T13" i="21"/>
  <c r="W13" i="21" s="1"/>
  <c r="S13" i="21"/>
  <c r="O13" i="21"/>
  <c r="V13" i="21" s="1"/>
  <c r="N13" i="21"/>
  <c r="J13" i="21"/>
  <c r="U13" i="21" s="1"/>
  <c r="I13" i="21"/>
  <c r="D13" i="21"/>
  <c r="C13" i="21"/>
  <c r="B13" i="21"/>
  <c r="A13" i="21"/>
  <c r="T12" i="21"/>
  <c r="W12" i="21" s="1"/>
  <c r="S12" i="21"/>
  <c r="O12" i="21"/>
  <c r="V12" i="21" s="1"/>
  <c r="N12" i="21"/>
  <c r="J12" i="21"/>
  <c r="U12" i="21" s="1"/>
  <c r="I12" i="21"/>
  <c r="D12" i="21"/>
  <c r="C12" i="21"/>
  <c r="B12" i="21"/>
  <c r="A12" i="21"/>
  <c r="T11" i="21"/>
  <c r="W11" i="21" s="1"/>
  <c r="S11" i="21"/>
  <c r="O11" i="21"/>
  <c r="V11" i="21" s="1"/>
  <c r="N11" i="21"/>
  <c r="J11" i="21"/>
  <c r="U11" i="21" s="1"/>
  <c r="I11" i="21"/>
  <c r="D11" i="21"/>
  <c r="C11" i="21"/>
  <c r="B11" i="21"/>
  <c r="A11" i="21"/>
  <c r="T10" i="21"/>
  <c r="W10" i="21" s="1"/>
  <c r="S10" i="21"/>
  <c r="O10" i="21"/>
  <c r="V10" i="21" s="1"/>
  <c r="N10" i="21"/>
  <c r="J10" i="21"/>
  <c r="U10" i="21" s="1"/>
  <c r="I10" i="21"/>
  <c r="D10" i="21"/>
  <c r="C10" i="21"/>
  <c r="B10" i="21"/>
  <c r="A10" i="21"/>
  <c r="T9" i="21"/>
  <c r="W9" i="21" s="1"/>
  <c r="S9" i="21"/>
  <c r="O9" i="21"/>
  <c r="V9" i="21" s="1"/>
  <c r="N9" i="21"/>
  <c r="J9" i="21"/>
  <c r="U9" i="21" s="1"/>
  <c r="I9" i="21"/>
  <c r="D9" i="21"/>
  <c r="C9" i="21"/>
  <c r="B9" i="21"/>
  <c r="A9" i="21"/>
  <c r="T8" i="21"/>
  <c r="W8" i="21" s="1"/>
  <c r="S8" i="21"/>
  <c r="N8" i="21"/>
  <c r="O8" i="21" s="1"/>
  <c r="V8" i="21" s="1"/>
  <c r="I8" i="21"/>
  <c r="J8" i="21" s="1"/>
  <c r="U8" i="21" s="1"/>
  <c r="D8" i="21"/>
  <c r="C8" i="21"/>
  <c r="B8" i="21"/>
  <c r="A8" i="21"/>
  <c r="S7" i="21"/>
  <c r="T7" i="21" s="1"/>
  <c r="W7" i="21" s="1"/>
  <c r="O7" i="21"/>
  <c r="V7" i="21" s="1"/>
  <c r="N7" i="21"/>
  <c r="I7" i="21"/>
  <c r="J7" i="21" s="1"/>
  <c r="U7" i="21" s="1"/>
  <c r="D7" i="21"/>
  <c r="C7" i="21"/>
  <c r="B7" i="21"/>
  <c r="A7" i="21"/>
  <c r="T6" i="21"/>
  <c r="W6" i="21" s="1"/>
  <c r="S6" i="21"/>
  <c r="N6" i="21"/>
  <c r="O6" i="21" s="1"/>
  <c r="V6" i="21" s="1"/>
  <c r="J6" i="21"/>
  <c r="U6" i="21" s="1"/>
  <c r="I6" i="21"/>
  <c r="D6" i="21"/>
  <c r="C6" i="21"/>
  <c r="B6" i="21"/>
  <c r="A6" i="21" s="1"/>
  <c r="S5" i="21"/>
  <c r="T5" i="21" s="1"/>
  <c r="W5" i="21" s="1"/>
  <c r="O5" i="21"/>
  <c r="V5" i="21" s="1"/>
  <c r="N5" i="21"/>
  <c r="J5" i="21"/>
  <c r="U5" i="21" s="1"/>
  <c r="I5" i="21"/>
  <c r="D5" i="21"/>
  <c r="C5" i="21"/>
  <c r="B5" i="21"/>
  <c r="A5" i="21"/>
  <c r="S4" i="21"/>
  <c r="T4" i="21" s="1"/>
  <c r="W4" i="21" s="1"/>
  <c r="N4" i="21"/>
  <c r="O4" i="21" s="1"/>
  <c r="V4" i="21" s="1"/>
  <c r="I4" i="21"/>
  <c r="J4" i="21" s="1"/>
  <c r="U4" i="21" s="1"/>
  <c r="W3" i="21"/>
  <c r="V3" i="21"/>
  <c r="U3" i="21"/>
  <c r="W2" i="21"/>
  <c r="V2" i="21"/>
  <c r="U2" i="21"/>
  <c r="T30" i="20" l="1"/>
  <c r="W30" i="20" s="1"/>
  <c r="S30" i="20"/>
  <c r="O30" i="20"/>
  <c r="V30" i="20" s="1"/>
  <c r="N30" i="20"/>
  <c r="J30" i="20"/>
  <c r="U30" i="20" s="1"/>
  <c r="I30" i="20"/>
  <c r="D30" i="20"/>
  <c r="C30" i="20"/>
  <c r="B30" i="20"/>
  <c r="A30" i="20"/>
  <c r="T29" i="20"/>
  <c r="W29" i="20" s="1"/>
  <c r="S29" i="20"/>
  <c r="O29" i="20"/>
  <c r="V29" i="20" s="1"/>
  <c r="N29" i="20"/>
  <c r="J29" i="20"/>
  <c r="U29" i="20" s="1"/>
  <c r="I29" i="20"/>
  <c r="D29" i="20"/>
  <c r="C29" i="20"/>
  <c r="B29" i="20"/>
  <c r="A29" i="20"/>
  <c r="T28" i="20"/>
  <c r="W28" i="20" s="1"/>
  <c r="S28" i="20"/>
  <c r="O28" i="20"/>
  <c r="V28" i="20" s="1"/>
  <c r="N28" i="20"/>
  <c r="J28" i="20"/>
  <c r="U28" i="20" s="1"/>
  <c r="I28" i="20"/>
  <c r="D28" i="20"/>
  <c r="C28" i="20"/>
  <c r="B28" i="20"/>
  <c r="A28" i="20"/>
  <c r="T27" i="20"/>
  <c r="W27" i="20" s="1"/>
  <c r="S27" i="20"/>
  <c r="O27" i="20"/>
  <c r="V27" i="20" s="1"/>
  <c r="N27" i="20"/>
  <c r="J27" i="20"/>
  <c r="U27" i="20" s="1"/>
  <c r="I27" i="20"/>
  <c r="D27" i="20"/>
  <c r="C27" i="20"/>
  <c r="B27" i="20"/>
  <c r="A27" i="20"/>
  <c r="T26" i="20"/>
  <c r="W26" i="20" s="1"/>
  <c r="S26" i="20"/>
  <c r="O26" i="20"/>
  <c r="V26" i="20" s="1"/>
  <c r="N26" i="20"/>
  <c r="J26" i="20"/>
  <c r="U26" i="20" s="1"/>
  <c r="I26" i="20"/>
  <c r="D26" i="20"/>
  <c r="C26" i="20"/>
  <c r="B26" i="20"/>
  <c r="A26" i="20"/>
  <c r="T25" i="20"/>
  <c r="W25" i="20" s="1"/>
  <c r="S25" i="20"/>
  <c r="O25" i="20"/>
  <c r="V25" i="20" s="1"/>
  <c r="N25" i="20"/>
  <c r="J25" i="20"/>
  <c r="U25" i="20" s="1"/>
  <c r="I25" i="20"/>
  <c r="D25" i="20"/>
  <c r="C25" i="20"/>
  <c r="B25" i="20"/>
  <c r="A25" i="20"/>
  <c r="T24" i="20"/>
  <c r="W24" i="20" s="1"/>
  <c r="S24" i="20"/>
  <c r="O24" i="20"/>
  <c r="V24" i="20" s="1"/>
  <c r="N24" i="20"/>
  <c r="J24" i="20"/>
  <c r="U24" i="20" s="1"/>
  <c r="I24" i="20"/>
  <c r="D24" i="20"/>
  <c r="C24" i="20"/>
  <c r="B24" i="20"/>
  <c r="A24" i="20"/>
  <c r="T23" i="20"/>
  <c r="W23" i="20" s="1"/>
  <c r="S23" i="20"/>
  <c r="O23" i="20"/>
  <c r="V23" i="20" s="1"/>
  <c r="N23" i="20"/>
  <c r="J23" i="20"/>
  <c r="U23" i="20" s="1"/>
  <c r="I23" i="20"/>
  <c r="D23" i="20"/>
  <c r="C23" i="20"/>
  <c r="B23" i="20"/>
  <c r="A23" i="20"/>
  <c r="T22" i="20"/>
  <c r="W22" i="20" s="1"/>
  <c r="S22" i="20"/>
  <c r="O22" i="20"/>
  <c r="V22" i="20" s="1"/>
  <c r="N22" i="20"/>
  <c r="J22" i="20"/>
  <c r="U22" i="20" s="1"/>
  <c r="I22" i="20"/>
  <c r="D22" i="20"/>
  <c r="C22" i="20"/>
  <c r="B22" i="20"/>
  <c r="A22" i="20"/>
  <c r="T21" i="20"/>
  <c r="W21" i="20" s="1"/>
  <c r="S21" i="20"/>
  <c r="O21" i="20"/>
  <c r="V21" i="20" s="1"/>
  <c r="N21" i="20"/>
  <c r="J21" i="20"/>
  <c r="U21" i="20" s="1"/>
  <c r="I21" i="20"/>
  <c r="D21" i="20"/>
  <c r="C21" i="20"/>
  <c r="B21" i="20"/>
  <c r="A21" i="20"/>
  <c r="T20" i="20"/>
  <c r="W20" i="20" s="1"/>
  <c r="S20" i="20"/>
  <c r="O20" i="20"/>
  <c r="V20" i="20" s="1"/>
  <c r="N20" i="20"/>
  <c r="J20" i="20"/>
  <c r="U20" i="20" s="1"/>
  <c r="I20" i="20"/>
  <c r="D20" i="20"/>
  <c r="C20" i="20"/>
  <c r="B20" i="20"/>
  <c r="A20" i="20"/>
  <c r="T19" i="20"/>
  <c r="W19" i="20" s="1"/>
  <c r="S19" i="20"/>
  <c r="O19" i="20"/>
  <c r="V19" i="20" s="1"/>
  <c r="N19" i="20"/>
  <c r="J19" i="20"/>
  <c r="U19" i="20" s="1"/>
  <c r="I19" i="20"/>
  <c r="D19" i="20"/>
  <c r="C19" i="20"/>
  <c r="B19" i="20"/>
  <c r="A19" i="20"/>
  <c r="T18" i="20"/>
  <c r="W18" i="20" s="1"/>
  <c r="S18" i="20"/>
  <c r="O18" i="20"/>
  <c r="V18" i="20" s="1"/>
  <c r="N18" i="20"/>
  <c r="J18" i="20"/>
  <c r="U18" i="20" s="1"/>
  <c r="I18" i="20"/>
  <c r="D18" i="20"/>
  <c r="C18" i="20"/>
  <c r="B18" i="20"/>
  <c r="A18" i="20"/>
  <c r="T17" i="20"/>
  <c r="W17" i="20" s="1"/>
  <c r="S17" i="20"/>
  <c r="O17" i="20"/>
  <c r="V17" i="20" s="1"/>
  <c r="N17" i="20"/>
  <c r="J17" i="20"/>
  <c r="U17" i="20" s="1"/>
  <c r="I17" i="20"/>
  <c r="D17" i="20"/>
  <c r="C17" i="20"/>
  <c r="B17" i="20"/>
  <c r="A17" i="20"/>
  <c r="T16" i="20"/>
  <c r="W16" i="20" s="1"/>
  <c r="S16" i="20"/>
  <c r="O16" i="20"/>
  <c r="V16" i="20" s="1"/>
  <c r="N16" i="20"/>
  <c r="J16" i="20"/>
  <c r="U16" i="20" s="1"/>
  <c r="I16" i="20"/>
  <c r="D16" i="20"/>
  <c r="C16" i="20"/>
  <c r="B16" i="20"/>
  <c r="A16" i="20"/>
  <c r="T15" i="20"/>
  <c r="W15" i="20" s="1"/>
  <c r="S15" i="20"/>
  <c r="O15" i="20"/>
  <c r="V15" i="20" s="1"/>
  <c r="N15" i="20"/>
  <c r="J15" i="20"/>
  <c r="U15" i="20" s="1"/>
  <c r="I15" i="20"/>
  <c r="D15" i="20"/>
  <c r="C15" i="20"/>
  <c r="B15" i="20"/>
  <c r="A15" i="20"/>
  <c r="T14" i="20"/>
  <c r="W14" i="20" s="1"/>
  <c r="S14" i="20"/>
  <c r="O14" i="20"/>
  <c r="V14" i="20" s="1"/>
  <c r="N14" i="20"/>
  <c r="J14" i="20"/>
  <c r="U14" i="20" s="1"/>
  <c r="I14" i="20"/>
  <c r="D14" i="20"/>
  <c r="C14" i="20"/>
  <c r="B14" i="20"/>
  <c r="A14" i="20"/>
  <c r="N13" i="20"/>
  <c r="D13" i="20"/>
  <c r="C13" i="20"/>
  <c r="S13" i="20" s="1"/>
  <c r="S12" i="20"/>
  <c r="I12" i="20"/>
  <c r="D12" i="20"/>
  <c r="C12" i="20"/>
  <c r="N12" i="20" s="1"/>
  <c r="D11" i="20"/>
  <c r="N10" i="20"/>
  <c r="D10" i="20"/>
  <c r="C10" i="20"/>
  <c r="S10" i="20" s="1"/>
  <c r="D9" i="20"/>
  <c r="S8" i="20"/>
  <c r="D8" i="20"/>
  <c r="D7" i="20"/>
  <c r="D6" i="20"/>
  <c r="C6" i="20"/>
  <c r="S6" i="20" s="1"/>
  <c r="B6" i="20"/>
  <c r="B7" i="20" s="1"/>
  <c r="I5" i="20"/>
  <c r="D5" i="20"/>
  <c r="C5" i="20"/>
  <c r="S5" i="20" s="1"/>
  <c r="B5" i="20"/>
  <c r="A6" i="20" s="1"/>
  <c r="A5" i="20"/>
  <c r="S4" i="20"/>
  <c r="T4" i="20" s="1"/>
  <c r="N4" i="20"/>
  <c r="O4" i="20" s="1"/>
  <c r="I4" i="20"/>
  <c r="J4" i="20" s="1"/>
  <c r="W3" i="20"/>
  <c r="V3" i="20"/>
  <c r="U3" i="20"/>
  <c r="W2" i="20"/>
  <c r="V2" i="20"/>
  <c r="U2" i="20"/>
  <c r="B8" i="20" l="1"/>
  <c r="A8" i="20" s="1"/>
  <c r="T5" i="20"/>
  <c r="W4" i="20"/>
  <c r="J5" i="20"/>
  <c r="U4" i="20"/>
  <c r="N5" i="20"/>
  <c r="O5" i="20" s="1"/>
  <c r="N6" i="20"/>
  <c r="C11" i="20"/>
  <c r="I13" i="20"/>
  <c r="V4" i="20"/>
  <c r="A7" i="20"/>
  <c r="C7" i="20"/>
  <c r="I6" i="20"/>
  <c r="I10" i="20"/>
  <c r="V5" i="20" l="1"/>
  <c r="O6" i="20"/>
  <c r="C8" i="20"/>
  <c r="N7" i="20"/>
  <c r="S7" i="20"/>
  <c r="I7" i="20"/>
  <c r="N11" i="20"/>
  <c r="S11" i="20"/>
  <c r="I11" i="20"/>
  <c r="J6" i="20"/>
  <c r="U5" i="20"/>
  <c r="T6" i="20"/>
  <c r="W5" i="20"/>
  <c r="B9" i="20"/>
  <c r="A9" i="20"/>
  <c r="N8" i="20" l="1"/>
  <c r="I8" i="20"/>
  <c r="C9" i="20"/>
  <c r="A10" i="20"/>
  <c r="B10" i="20"/>
  <c r="O7" i="20"/>
  <c r="V6" i="20"/>
  <c r="W6" i="20"/>
  <c r="T7" i="20"/>
  <c r="J7" i="20"/>
  <c r="U6" i="20"/>
  <c r="S9" i="20" l="1"/>
  <c r="I9" i="20"/>
  <c r="N9" i="20"/>
  <c r="J8" i="20"/>
  <c r="U7" i="20"/>
  <c r="V7" i="20"/>
  <c r="O8" i="20"/>
  <c r="T8" i="20"/>
  <c r="W7" i="20"/>
  <c r="B11" i="20"/>
  <c r="A11" i="20"/>
  <c r="J9" i="20" l="1"/>
  <c r="U8" i="20"/>
  <c r="B12" i="20"/>
  <c r="T9" i="20"/>
  <c r="W8" i="20"/>
  <c r="V8" i="20"/>
  <c r="O9" i="20"/>
  <c r="B13" i="20" l="1"/>
  <c r="A13" i="20" s="1"/>
  <c r="O10" i="20"/>
  <c r="V9" i="20"/>
  <c r="A12" i="20"/>
  <c r="W9" i="20"/>
  <c r="T10" i="20"/>
  <c r="J10" i="20"/>
  <c r="U9" i="20"/>
  <c r="O11" i="20" l="1"/>
  <c r="V10" i="20"/>
  <c r="J11" i="20"/>
  <c r="U10" i="20"/>
  <c r="W10" i="20"/>
  <c r="T11" i="20"/>
  <c r="J12" i="20" l="1"/>
  <c r="U11" i="20"/>
  <c r="T12" i="20"/>
  <c r="W11" i="20"/>
  <c r="V11" i="20"/>
  <c r="O12" i="20"/>
  <c r="T13" i="20" l="1"/>
  <c r="W13" i="20" s="1"/>
  <c r="W12" i="20"/>
  <c r="O13" i="20"/>
  <c r="V13" i="20" s="1"/>
  <c r="V12" i="20"/>
  <c r="J13" i="20"/>
  <c r="U13" i="20" s="1"/>
  <c r="U12" i="20"/>
  <c r="T30" i="19"/>
  <c r="W30" i="19" s="1"/>
  <c r="S30" i="19"/>
  <c r="O30" i="19"/>
  <c r="V30" i="19" s="1"/>
  <c r="N30" i="19"/>
  <c r="J30" i="19"/>
  <c r="U30" i="19" s="1"/>
  <c r="I30" i="19"/>
  <c r="D30" i="19"/>
  <c r="C30" i="19"/>
  <c r="B30" i="19"/>
  <c r="A30" i="19"/>
  <c r="T29" i="19"/>
  <c r="W29" i="19" s="1"/>
  <c r="S29" i="19"/>
  <c r="O29" i="19"/>
  <c r="V29" i="19" s="1"/>
  <c r="N29" i="19"/>
  <c r="J29" i="19"/>
  <c r="U29" i="19" s="1"/>
  <c r="I29" i="19"/>
  <c r="D29" i="19"/>
  <c r="C29" i="19"/>
  <c r="B29" i="19"/>
  <c r="A29" i="19"/>
  <c r="T28" i="19"/>
  <c r="W28" i="19" s="1"/>
  <c r="S28" i="19"/>
  <c r="O28" i="19"/>
  <c r="V28" i="19" s="1"/>
  <c r="N28" i="19"/>
  <c r="J28" i="19"/>
  <c r="U28" i="19" s="1"/>
  <c r="I28" i="19"/>
  <c r="D28" i="19"/>
  <c r="C28" i="19"/>
  <c r="B28" i="19"/>
  <c r="A28" i="19"/>
  <c r="T27" i="19"/>
  <c r="W27" i="19" s="1"/>
  <c r="S27" i="19"/>
  <c r="O27" i="19"/>
  <c r="V27" i="19" s="1"/>
  <c r="N27" i="19"/>
  <c r="J27" i="19"/>
  <c r="U27" i="19" s="1"/>
  <c r="I27" i="19"/>
  <c r="D27" i="19"/>
  <c r="C27" i="19"/>
  <c r="B27" i="19"/>
  <c r="A27" i="19"/>
  <c r="T26" i="19"/>
  <c r="W26" i="19" s="1"/>
  <c r="S26" i="19"/>
  <c r="O26" i="19"/>
  <c r="V26" i="19" s="1"/>
  <c r="N26" i="19"/>
  <c r="J26" i="19"/>
  <c r="U26" i="19" s="1"/>
  <c r="I26" i="19"/>
  <c r="D26" i="19"/>
  <c r="C26" i="19"/>
  <c r="B26" i="19"/>
  <c r="A26" i="19"/>
  <c r="T25" i="19"/>
  <c r="W25" i="19" s="1"/>
  <c r="S25" i="19"/>
  <c r="O25" i="19"/>
  <c r="V25" i="19" s="1"/>
  <c r="N25" i="19"/>
  <c r="J25" i="19"/>
  <c r="U25" i="19" s="1"/>
  <c r="I25" i="19"/>
  <c r="D25" i="19"/>
  <c r="C25" i="19"/>
  <c r="B25" i="19"/>
  <c r="A25" i="19"/>
  <c r="T24" i="19"/>
  <c r="W24" i="19" s="1"/>
  <c r="S24" i="19"/>
  <c r="O24" i="19"/>
  <c r="V24" i="19" s="1"/>
  <c r="N24" i="19"/>
  <c r="J24" i="19"/>
  <c r="U24" i="19" s="1"/>
  <c r="I24" i="19"/>
  <c r="D24" i="19"/>
  <c r="C24" i="19"/>
  <c r="B24" i="19"/>
  <c r="A24" i="19"/>
  <c r="T23" i="19"/>
  <c r="W23" i="19" s="1"/>
  <c r="S23" i="19"/>
  <c r="O23" i="19"/>
  <c r="V23" i="19" s="1"/>
  <c r="N23" i="19"/>
  <c r="J23" i="19"/>
  <c r="U23" i="19" s="1"/>
  <c r="I23" i="19"/>
  <c r="D23" i="19"/>
  <c r="C23" i="19"/>
  <c r="B23" i="19"/>
  <c r="A23" i="19"/>
  <c r="T22" i="19"/>
  <c r="W22" i="19" s="1"/>
  <c r="S22" i="19"/>
  <c r="O22" i="19"/>
  <c r="V22" i="19" s="1"/>
  <c r="N22" i="19"/>
  <c r="J22" i="19"/>
  <c r="U22" i="19" s="1"/>
  <c r="I22" i="19"/>
  <c r="D22" i="19"/>
  <c r="C22" i="19"/>
  <c r="B22" i="19"/>
  <c r="A22" i="19"/>
  <c r="T21" i="19"/>
  <c r="W21" i="19" s="1"/>
  <c r="S21" i="19"/>
  <c r="O21" i="19"/>
  <c r="V21" i="19" s="1"/>
  <c r="N21" i="19"/>
  <c r="J21" i="19"/>
  <c r="U21" i="19" s="1"/>
  <c r="I21" i="19"/>
  <c r="D21" i="19"/>
  <c r="C21" i="19"/>
  <c r="B21" i="19"/>
  <c r="A21" i="19"/>
  <c r="T20" i="19"/>
  <c r="W20" i="19" s="1"/>
  <c r="S20" i="19"/>
  <c r="O20" i="19"/>
  <c r="V20" i="19" s="1"/>
  <c r="N20" i="19"/>
  <c r="J20" i="19"/>
  <c r="U20" i="19" s="1"/>
  <c r="I20" i="19"/>
  <c r="D20" i="19"/>
  <c r="C20" i="19"/>
  <c r="B20" i="19"/>
  <c r="A20" i="19"/>
  <c r="T19" i="19"/>
  <c r="W19" i="19" s="1"/>
  <c r="S19" i="19"/>
  <c r="O19" i="19"/>
  <c r="V19" i="19" s="1"/>
  <c r="N19" i="19"/>
  <c r="J19" i="19"/>
  <c r="U19" i="19" s="1"/>
  <c r="I19" i="19"/>
  <c r="D19" i="19"/>
  <c r="C19" i="19"/>
  <c r="B19" i="19"/>
  <c r="A19" i="19"/>
  <c r="T18" i="19"/>
  <c r="W18" i="19" s="1"/>
  <c r="S18" i="19"/>
  <c r="O18" i="19"/>
  <c r="V18" i="19" s="1"/>
  <c r="N18" i="19"/>
  <c r="J18" i="19"/>
  <c r="U18" i="19" s="1"/>
  <c r="I18" i="19"/>
  <c r="D18" i="19"/>
  <c r="C18" i="19"/>
  <c r="B18" i="19"/>
  <c r="A18" i="19"/>
  <c r="T17" i="19"/>
  <c r="W17" i="19" s="1"/>
  <c r="S17" i="19"/>
  <c r="O17" i="19"/>
  <c r="V17" i="19" s="1"/>
  <c r="N17" i="19"/>
  <c r="J17" i="19"/>
  <c r="U17" i="19" s="1"/>
  <c r="I17" i="19"/>
  <c r="D17" i="19"/>
  <c r="C17" i="19"/>
  <c r="B17" i="19"/>
  <c r="A17" i="19"/>
  <c r="T16" i="19"/>
  <c r="W16" i="19" s="1"/>
  <c r="S16" i="19"/>
  <c r="O16" i="19"/>
  <c r="V16" i="19" s="1"/>
  <c r="N16" i="19"/>
  <c r="J16" i="19"/>
  <c r="U16" i="19" s="1"/>
  <c r="I16" i="19"/>
  <c r="D16" i="19"/>
  <c r="C16" i="19"/>
  <c r="B16" i="19"/>
  <c r="A16" i="19"/>
  <c r="T15" i="19"/>
  <c r="W15" i="19" s="1"/>
  <c r="S15" i="19"/>
  <c r="O15" i="19"/>
  <c r="V15" i="19" s="1"/>
  <c r="N15" i="19"/>
  <c r="J15" i="19"/>
  <c r="U15" i="19" s="1"/>
  <c r="I15" i="19"/>
  <c r="D15" i="19"/>
  <c r="C15" i="19"/>
  <c r="B15" i="19"/>
  <c r="A15" i="19"/>
  <c r="T14" i="19"/>
  <c r="W14" i="19" s="1"/>
  <c r="S14" i="19"/>
  <c r="O14" i="19"/>
  <c r="V14" i="19" s="1"/>
  <c r="N14" i="19"/>
  <c r="J14" i="19"/>
  <c r="U14" i="19" s="1"/>
  <c r="I14" i="19"/>
  <c r="D14" i="19"/>
  <c r="C14" i="19"/>
  <c r="B14" i="19"/>
  <c r="A14" i="19"/>
  <c r="S13" i="19"/>
  <c r="T13" i="19" s="1"/>
  <c r="W13" i="19" s="1"/>
  <c r="O13" i="19"/>
  <c r="V13" i="19" s="1"/>
  <c r="N13" i="19"/>
  <c r="I13" i="19"/>
  <c r="J13" i="19" s="1"/>
  <c r="U13" i="19" s="1"/>
  <c r="D13" i="19"/>
  <c r="C13" i="19"/>
  <c r="B13" i="19"/>
  <c r="A13" i="19"/>
  <c r="S12" i="19"/>
  <c r="T12" i="19" s="1"/>
  <c r="W12" i="19" s="1"/>
  <c r="N12" i="19"/>
  <c r="O12" i="19" s="1"/>
  <c r="V12" i="19" s="1"/>
  <c r="J12" i="19"/>
  <c r="U12" i="19" s="1"/>
  <c r="I12" i="19"/>
  <c r="D12" i="19"/>
  <c r="C12" i="19"/>
  <c r="B12" i="19"/>
  <c r="A12" i="19" s="1"/>
  <c r="I11" i="19"/>
  <c r="D11" i="19"/>
  <c r="C11" i="19"/>
  <c r="N11" i="19" s="1"/>
  <c r="S10" i="19"/>
  <c r="S9" i="19"/>
  <c r="N9" i="19"/>
  <c r="I9" i="19"/>
  <c r="D9" i="19"/>
  <c r="D10" i="19" s="1"/>
  <c r="C9" i="19"/>
  <c r="C10" i="19" s="1"/>
  <c r="S8" i="19"/>
  <c r="I8" i="19"/>
  <c r="D8" i="19"/>
  <c r="C8" i="19"/>
  <c r="N8" i="19" s="1"/>
  <c r="S7" i="19"/>
  <c r="I7" i="19"/>
  <c r="D7" i="19"/>
  <c r="C7" i="19"/>
  <c r="N7" i="19" s="1"/>
  <c r="S6" i="19"/>
  <c r="D6" i="19"/>
  <c r="C6" i="19"/>
  <c r="I6" i="19" s="1"/>
  <c r="B6" i="19"/>
  <c r="N5" i="19"/>
  <c r="D5" i="19"/>
  <c r="C5" i="19"/>
  <c r="S5" i="19" s="1"/>
  <c r="B5" i="19"/>
  <c r="A5" i="19"/>
  <c r="S4" i="19"/>
  <c r="T4" i="19" s="1"/>
  <c r="N4" i="19"/>
  <c r="O4" i="19" s="1"/>
  <c r="I4" i="19"/>
  <c r="J4" i="19" s="1"/>
  <c r="W3" i="19"/>
  <c r="V3" i="19"/>
  <c r="U3" i="19"/>
  <c r="W2" i="19"/>
  <c r="V2" i="19"/>
  <c r="U2" i="19"/>
  <c r="A6" i="19" l="1"/>
  <c r="O5" i="19"/>
  <c r="V5" i="19" s="1"/>
  <c r="S11" i="19"/>
  <c r="I10" i="19"/>
  <c r="N10" i="19"/>
  <c r="T5" i="19"/>
  <c r="W4" i="19"/>
  <c r="U4" i="19"/>
  <c r="V4" i="19"/>
  <c r="B7" i="19"/>
  <c r="N6" i="19"/>
  <c r="O6" i="19" s="1"/>
  <c r="I5" i="19"/>
  <c r="J5" i="19" s="1"/>
  <c r="J6" i="19" l="1"/>
  <c r="U5" i="19"/>
  <c r="O7" i="19"/>
  <c r="V6" i="19"/>
  <c r="B8" i="19"/>
  <c r="W5" i="19"/>
  <c r="T6" i="19"/>
  <c r="A7" i="19"/>
  <c r="A8" i="19" l="1"/>
  <c r="W6" i="19"/>
  <c r="T7" i="19"/>
  <c r="B9" i="19"/>
  <c r="A9" i="19" s="1"/>
  <c r="J7" i="19"/>
  <c r="U6" i="19"/>
  <c r="V7" i="19"/>
  <c r="O8" i="19"/>
  <c r="J8" i="19" l="1"/>
  <c r="U7" i="19"/>
  <c r="O9" i="19"/>
  <c r="V8" i="19"/>
  <c r="B10" i="19"/>
  <c r="T8" i="19"/>
  <c r="W7" i="19"/>
  <c r="B11" i="19" l="1"/>
  <c r="A11" i="19" s="1"/>
  <c r="A10" i="19"/>
  <c r="J9" i="19"/>
  <c r="U8" i="19"/>
  <c r="T9" i="19"/>
  <c r="W8" i="19"/>
  <c r="V9" i="19"/>
  <c r="O10" i="19"/>
  <c r="J10" i="19" l="1"/>
  <c r="U9" i="19"/>
  <c r="O11" i="19"/>
  <c r="V11" i="19" s="1"/>
  <c r="V10" i="19"/>
  <c r="W9" i="19"/>
  <c r="T10" i="19"/>
  <c r="W10" i="19" l="1"/>
  <c r="T11" i="19"/>
  <c r="W11" i="19" s="1"/>
  <c r="J11" i="19"/>
  <c r="U11" i="19" s="1"/>
  <c r="U10" i="19"/>
  <c r="T30" i="18" l="1"/>
  <c r="W30" i="18" s="1"/>
  <c r="S30" i="18"/>
  <c r="O30" i="18"/>
  <c r="V30" i="18" s="1"/>
  <c r="N30" i="18"/>
  <c r="J30" i="18"/>
  <c r="U30" i="18" s="1"/>
  <c r="I30" i="18"/>
  <c r="D30" i="18"/>
  <c r="C30" i="18"/>
  <c r="B30" i="18"/>
  <c r="A30" i="18"/>
  <c r="T29" i="18"/>
  <c r="W29" i="18" s="1"/>
  <c r="S29" i="18"/>
  <c r="O29" i="18"/>
  <c r="V29" i="18" s="1"/>
  <c r="N29" i="18"/>
  <c r="J29" i="18"/>
  <c r="U29" i="18" s="1"/>
  <c r="I29" i="18"/>
  <c r="D29" i="18"/>
  <c r="C29" i="18"/>
  <c r="B29" i="18"/>
  <c r="A29" i="18"/>
  <c r="T28" i="18"/>
  <c r="W28" i="18" s="1"/>
  <c r="S28" i="18"/>
  <c r="O28" i="18"/>
  <c r="V28" i="18" s="1"/>
  <c r="N28" i="18"/>
  <c r="J28" i="18"/>
  <c r="U28" i="18" s="1"/>
  <c r="I28" i="18"/>
  <c r="D28" i="18"/>
  <c r="C28" i="18"/>
  <c r="B28" i="18"/>
  <c r="A28" i="18"/>
  <c r="T27" i="18"/>
  <c r="W27" i="18" s="1"/>
  <c r="S27" i="18"/>
  <c r="O27" i="18"/>
  <c r="V27" i="18" s="1"/>
  <c r="N27" i="18"/>
  <c r="J27" i="18"/>
  <c r="U27" i="18" s="1"/>
  <c r="I27" i="18"/>
  <c r="D27" i="18"/>
  <c r="C27" i="18"/>
  <c r="B27" i="18"/>
  <c r="A27" i="18"/>
  <c r="T26" i="18"/>
  <c r="W26" i="18" s="1"/>
  <c r="S26" i="18"/>
  <c r="O26" i="18"/>
  <c r="V26" i="18" s="1"/>
  <c r="N26" i="18"/>
  <c r="J26" i="18"/>
  <c r="U26" i="18" s="1"/>
  <c r="I26" i="18"/>
  <c r="D26" i="18"/>
  <c r="C26" i="18"/>
  <c r="B26" i="18"/>
  <c r="A26" i="18"/>
  <c r="T25" i="18"/>
  <c r="W25" i="18" s="1"/>
  <c r="S25" i="18"/>
  <c r="O25" i="18"/>
  <c r="V25" i="18" s="1"/>
  <c r="N25" i="18"/>
  <c r="J25" i="18"/>
  <c r="U25" i="18" s="1"/>
  <c r="I25" i="18"/>
  <c r="D25" i="18"/>
  <c r="C25" i="18"/>
  <c r="B25" i="18"/>
  <c r="A25" i="18"/>
  <c r="T24" i="18"/>
  <c r="W24" i="18" s="1"/>
  <c r="S24" i="18"/>
  <c r="O24" i="18"/>
  <c r="V24" i="18" s="1"/>
  <c r="N24" i="18"/>
  <c r="J24" i="18"/>
  <c r="U24" i="18" s="1"/>
  <c r="I24" i="18"/>
  <c r="D24" i="18"/>
  <c r="C24" i="18"/>
  <c r="B24" i="18"/>
  <c r="A24" i="18"/>
  <c r="T23" i="18"/>
  <c r="W23" i="18" s="1"/>
  <c r="S23" i="18"/>
  <c r="O23" i="18"/>
  <c r="V23" i="18" s="1"/>
  <c r="N23" i="18"/>
  <c r="J23" i="18"/>
  <c r="U23" i="18" s="1"/>
  <c r="I23" i="18"/>
  <c r="D23" i="18"/>
  <c r="C23" i="18"/>
  <c r="B23" i="18"/>
  <c r="A23" i="18"/>
  <c r="T22" i="18"/>
  <c r="W22" i="18" s="1"/>
  <c r="S22" i="18"/>
  <c r="O22" i="18"/>
  <c r="V22" i="18" s="1"/>
  <c r="N22" i="18"/>
  <c r="J22" i="18"/>
  <c r="U22" i="18" s="1"/>
  <c r="I22" i="18"/>
  <c r="D22" i="18"/>
  <c r="C22" i="18"/>
  <c r="B22" i="18"/>
  <c r="A22" i="18"/>
  <c r="T21" i="18"/>
  <c r="W21" i="18" s="1"/>
  <c r="S21" i="18"/>
  <c r="O21" i="18"/>
  <c r="V21" i="18" s="1"/>
  <c r="N21" i="18"/>
  <c r="J21" i="18"/>
  <c r="U21" i="18" s="1"/>
  <c r="I21" i="18"/>
  <c r="D21" i="18"/>
  <c r="C21" i="18"/>
  <c r="B21" i="18"/>
  <c r="A21" i="18"/>
  <c r="T20" i="18"/>
  <c r="W20" i="18" s="1"/>
  <c r="S20" i="18"/>
  <c r="O20" i="18"/>
  <c r="V20" i="18" s="1"/>
  <c r="N20" i="18"/>
  <c r="J20" i="18"/>
  <c r="U20" i="18" s="1"/>
  <c r="I20" i="18"/>
  <c r="D20" i="18"/>
  <c r="C20" i="18"/>
  <c r="B20" i="18"/>
  <c r="A20" i="18"/>
  <c r="T19" i="18"/>
  <c r="W19" i="18" s="1"/>
  <c r="S19" i="18"/>
  <c r="O19" i="18"/>
  <c r="V19" i="18" s="1"/>
  <c r="N19" i="18"/>
  <c r="J19" i="18"/>
  <c r="U19" i="18" s="1"/>
  <c r="I19" i="18"/>
  <c r="D19" i="18"/>
  <c r="C19" i="18"/>
  <c r="B19" i="18"/>
  <c r="A19" i="18"/>
  <c r="T18" i="18"/>
  <c r="W18" i="18" s="1"/>
  <c r="S18" i="18"/>
  <c r="O18" i="18"/>
  <c r="V18" i="18" s="1"/>
  <c r="N18" i="18"/>
  <c r="J18" i="18"/>
  <c r="U18" i="18" s="1"/>
  <c r="I18" i="18"/>
  <c r="D18" i="18"/>
  <c r="C18" i="18"/>
  <c r="B18" i="18"/>
  <c r="A18" i="18"/>
  <c r="T17" i="18"/>
  <c r="W17" i="18" s="1"/>
  <c r="S17" i="18"/>
  <c r="O17" i="18"/>
  <c r="V17" i="18" s="1"/>
  <c r="N17" i="18"/>
  <c r="J17" i="18"/>
  <c r="U17" i="18" s="1"/>
  <c r="I17" i="18"/>
  <c r="D17" i="18"/>
  <c r="C17" i="18"/>
  <c r="B17" i="18"/>
  <c r="A17" i="18"/>
  <c r="T16" i="18"/>
  <c r="W16" i="18" s="1"/>
  <c r="S16" i="18"/>
  <c r="O16" i="18"/>
  <c r="V16" i="18" s="1"/>
  <c r="N16" i="18"/>
  <c r="J16" i="18"/>
  <c r="U16" i="18" s="1"/>
  <c r="I16" i="18"/>
  <c r="D16" i="18"/>
  <c r="C16" i="18"/>
  <c r="B16" i="18"/>
  <c r="A16" i="18"/>
  <c r="T15" i="18"/>
  <c r="W15" i="18" s="1"/>
  <c r="S15" i="18"/>
  <c r="O15" i="18"/>
  <c r="V15" i="18" s="1"/>
  <c r="N15" i="18"/>
  <c r="J15" i="18"/>
  <c r="U15" i="18" s="1"/>
  <c r="I15" i="18"/>
  <c r="D15" i="18"/>
  <c r="C15" i="18"/>
  <c r="B15" i="18"/>
  <c r="A15" i="18"/>
  <c r="T14" i="18"/>
  <c r="W14" i="18" s="1"/>
  <c r="S14" i="18"/>
  <c r="O14" i="18"/>
  <c r="V14" i="18" s="1"/>
  <c r="N14" i="18"/>
  <c r="J14" i="18"/>
  <c r="U14" i="18" s="1"/>
  <c r="I14" i="18"/>
  <c r="D14" i="18"/>
  <c r="C14" i="18"/>
  <c r="B14" i="18"/>
  <c r="A14" i="18"/>
  <c r="T13" i="18"/>
  <c r="W13" i="18" s="1"/>
  <c r="S13" i="18"/>
  <c r="O13" i="18"/>
  <c r="V13" i="18" s="1"/>
  <c r="N13" i="18"/>
  <c r="J13" i="18"/>
  <c r="U13" i="18" s="1"/>
  <c r="I13" i="18"/>
  <c r="D13" i="18"/>
  <c r="C13" i="18"/>
  <c r="B13" i="18"/>
  <c r="A13" i="18"/>
  <c r="T12" i="18"/>
  <c r="W12" i="18" s="1"/>
  <c r="S12" i="18"/>
  <c r="O12" i="18"/>
  <c r="V12" i="18" s="1"/>
  <c r="N12" i="18"/>
  <c r="J12" i="18"/>
  <c r="U12" i="18" s="1"/>
  <c r="I12" i="18"/>
  <c r="D12" i="18"/>
  <c r="C12" i="18"/>
  <c r="B12" i="18"/>
  <c r="A12" i="18"/>
  <c r="S11" i="18"/>
  <c r="T11" i="18" s="1"/>
  <c r="W11" i="18" s="1"/>
  <c r="O11" i="18"/>
  <c r="V11" i="18" s="1"/>
  <c r="N11" i="18"/>
  <c r="J11" i="18"/>
  <c r="U11" i="18" s="1"/>
  <c r="I11" i="18"/>
  <c r="D11" i="18"/>
  <c r="C11" i="18"/>
  <c r="B11" i="18"/>
  <c r="A11" i="18"/>
  <c r="I10" i="18"/>
  <c r="D10" i="18"/>
  <c r="C10" i="18"/>
  <c r="S10" i="18" s="1"/>
  <c r="D9" i="18"/>
  <c r="C9" i="18"/>
  <c r="S9" i="18" s="1"/>
  <c r="D8" i="18"/>
  <c r="S7" i="18"/>
  <c r="I7" i="18"/>
  <c r="D7" i="18"/>
  <c r="C7" i="18"/>
  <c r="C8" i="18" s="1"/>
  <c r="N6" i="18"/>
  <c r="D6" i="18"/>
  <c r="C6" i="18"/>
  <c r="S6" i="18" s="1"/>
  <c r="B6" i="18"/>
  <c r="B7" i="18" s="1"/>
  <c r="D5" i="18"/>
  <c r="C5" i="18"/>
  <c r="S5" i="18" s="1"/>
  <c r="B5" i="18"/>
  <c r="A6" i="18" s="1"/>
  <c r="S4" i="18"/>
  <c r="T4" i="18" s="1"/>
  <c r="O4" i="18"/>
  <c r="V4" i="18" s="1"/>
  <c r="N4" i="18"/>
  <c r="I4" i="18"/>
  <c r="J4" i="18" s="1"/>
  <c r="W3" i="18"/>
  <c r="V3" i="18"/>
  <c r="U3" i="18"/>
  <c r="W2" i="18"/>
  <c r="V2" i="18"/>
  <c r="U2" i="18"/>
  <c r="A5" i="18" l="1"/>
  <c r="N5" i="18"/>
  <c r="O5" i="18" s="1"/>
  <c r="B8" i="18"/>
  <c r="A8" i="18"/>
  <c r="T5" i="18"/>
  <c r="W4" i="18"/>
  <c r="N8" i="18"/>
  <c r="I8" i="18"/>
  <c r="S8" i="18"/>
  <c r="U4" i="18"/>
  <c r="A7" i="18"/>
  <c r="N9" i="18"/>
  <c r="N10" i="18"/>
  <c r="I5" i="18"/>
  <c r="J5" i="18" s="1"/>
  <c r="N7" i="18"/>
  <c r="I9" i="18"/>
  <c r="I6" i="18"/>
  <c r="J6" i="18" l="1"/>
  <c r="U5" i="18"/>
  <c r="O6" i="18"/>
  <c r="V5" i="18"/>
  <c r="T6" i="18"/>
  <c r="W5" i="18"/>
  <c r="B9" i="18"/>
  <c r="A9" i="18" s="1"/>
  <c r="W6" i="18" l="1"/>
  <c r="T7" i="18"/>
  <c r="J7" i="18"/>
  <c r="U6" i="18"/>
  <c r="B10" i="18"/>
  <c r="A10" i="18" s="1"/>
  <c r="O7" i="18"/>
  <c r="V6" i="18"/>
  <c r="T8" i="18" l="1"/>
  <c r="W7" i="18"/>
  <c r="V7" i="18"/>
  <c r="O8" i="18"/>
  <c r="J8" i="18"/>
  <c r="U7" i="18"/>
  <c r="O9" i="18" l="1"/>
  <c r="V8" i="18"/>
  <c r="J9" i="18"/>
  <c r="U8" i="18"/>
  <c r="T9" i="18"/>
  <c r="W8" i="18"/>
  <c r="V9" i="18" l="1"/>
  <c r="O10" i="18"/>
  <c r="V10" i="18" s="1"/>
  <c r="W9" i="18"/>
  <c r="T10" i="18"/>
  <c r="W10" i="18" s="1"/>
  <c r="J10" i="18"/>
  <c r="U10" i="18" s="1"/>
  <c r="U9" i="18"/>
  <c r="T30" i="17" l="1"/>
  <c r="W30" i="17" s="1"/>
  <c r="S30" i="17"/>
  <c r="O30" i="17"/>
  <c r="V30" i="17" s="1"/>
  <c r="N30" i="17"/>
  <c r="J30" i="17"/>
  <c r="U30" i="17" s="1"/>
  <c r="I30" i="17"/>
  <c r="D30" i="17"/>
  <c r="C30" i="17"/>
  <c r="B30" i="17"/>
  <c r="A30" i="17"/>
  <c r="T29" i="17"/>
  <c r="W29" i="17" s="1"/>
  <c r="S29" i="17"/>
  <c r="O29" i="17"/>
  <c r="V29" i="17" s="1"/>
  <c r="N29" i="17"/>
  <c r="J29" i="17"/>
  <c r="U29" i="17" s="1"/>
  <c r="I29" i="17"/>
  <c r="D29" i="17"/>
  <c r="C29" i="17"/>
  <c r="B29" i="17"/>
  <c r="A29" i="17"/>
  <c r="T28" i="17"/>
  <c r="W28" i="17" s="1"/>
  <c r="S28" i="17"/>
  <c r="O28" i="17"/>
  <c r="V28" i="17" s="1"/>
  <c r="N28" i="17"/>
  <c r="J28" i="17"/>
  <c r="U28" i="17" s="1"/>
  <c r="I28" i="17"/>
  <c r="D28" i="17"/>
  <c r="C28" i="17"/>
  <c r="B28" i="17"/>
  <c r="A28" i="17"/>
  <c r="T27" i="17"/>
  <c r="W27" i="17" s="1"/>
  <c r="S27" i="17"/>
  <c r="O27" i="17"/>
  <c r="V27" i="17" s="1"/>
  <c r="N27" i="17"/>
  <c r="J27" i="17"/>
  <c r="U27" i="17" s="1"/>
  <c r="I27" i="17"/>
  <c r="D27" i="17"/>
  <c r="C27" i="17"/>
  <c r="B27" i="17"/>
  <c r="A27" i="17"/>
  <c r="T26" i="17"/>
  <c r="W26" i="17" s="1"/>
  <c r="S26" i="17"/>
  <c r="O26" i="17"/>
  <c r="V26" i="17" s="1"/>
  <c r="N26" i="17"/>
  <c r="J26" i="17"/>
  <c r="U26" i="17" s="1"/>
  <c r="I26" i="17"/>
  <c r="D26" i="17"/>
  <c r="C26" i="17"/>
  <c r="B26" i="17"/>
  <c r="A26" i="17"/>
  <c r="T25" i="17"/>
  <c r="W25" i="17" s="1"/>
  <c r="S25" i="17"/>
  <c r="O25" i="17"/>
  <c r="V25" i="17" s="1"/>
  <c r="N25" i="17"/>
  <c r="J25" i="17"/>
  <c r="U25" i="17" s="1"/>
  <c r="I25" i="17"/>
  <c r="D25" i="17"/>
  <c r="C25" i="17"/>
  <c r="B25" i="17"/>
  <c r="A25" i="17"/>
  <c r="T24" i="17"/>
  <c r="W24" i="17" s="1"/>
  <c r="S24" i="17"/>
  <c r="O24" i="17"/>
  <c r="V24" i="17" s="1"/>
  <c r="N24" i="17"/>
  <c r="J24" i="17"/>
  <c r="U24" i="17" s="1"/>
  <c r="I24" i="17"/>
  <c r="D24" i="17"/>
  <c r="C24" i="17"/>
  <c r="B24" i="17"/>
  <c r="A24" i="17"/>
  <c r="T23" i="17"/>
  <c r="W23" i="17" s="1"/>
  <c r="S23" i="17"/>
  <c r="O23" i="17"/>
  <c r="V23" i="17" s="1"/>
  <c r="N23" i="17"/>
  <c r="J23" i="17"/>
  <c r="U23" i="17" s="1"/>
  <c r="I23" i="17"/>
  <c r="D23" i="17"/>
  <c r="C23" i="17"/>
  <c r="B23" i="17"/>
  <c r="A23" i="17"/>
  <c r="T22" i="17"/>
  <c r="W22" i="17" s="1"/>
  <c r="S22" i="17"/>
  <c r="O22" i="17"/>
  <c r="V22" i="17" s="1"/>
  <c r="N22" i="17"/>
  <c r="J22" i="17"/>
  <c r="U22" i="17" s="1"/>
  <c r="I22" i="17"/>
  <c r="D22" i="17"/>
  <c r="C22" i="17"/>
  <c r="B22" i="17"/>
  <c r="A22" i="17"/>
  <c r="T21" i="17"/>
  <c r="W21" i="17" s="1"/>
  <c r="S21" i="17"/>
  <c r="O21" i="17"/>
  <c r="V21" i="17" s="1"/>
  <c r="N21" i="17"/>
  <c r="J21" i="17"/>
  <c r="U21" i="17" s="1"/>
  <c r="I21" i="17"/>
  <c r="D21" i="17"/>
  <c r="C21" i="17"/>
  <c r="B21" i="17"/>
  <c r="A21" i="17"/>
  <c r="T20" i="17"/>
  <c r="W20" i="17" s="1"/>
  <c r="S20" i="17"/>
  <c r="O20" i="17"/>
  <c r="V20" i="17" s="1"/>
  <c r="N20" i="17"/>
  <c r="J20" i="17"/>
  <c r="U20" i="17" s="1"/>
  <c r="I20" i="17"/>
  <c r="D20" i="17"/>
  <c r="C20" i="17"/>
  <c r="B20" i="17"/>
  <c r="A20" i="17"/>
  <c r="T19" i="17"/>
  <c r="W19" i="17" s="1"/>
  <c r="S19" i="17"/>
  <c r="O19" i="17"/>
  <c r="V19" i="17" s="1"/>
  <c r="N19" i="17"/>
  <c r="J19" i="17"/>
  <c r="U19" i="17" s="1"/>
  <c r="I19" i="17"/>
  <c r="D19" i="17"/>
  <c r="C19" i="17"/>
  <c r="B19" i="17"/>
  <c r="A19" i="17"/>
  <c r="T18" i="17"/>
  <c r="W18" i="17" s="1"/>
  <c r="S18" i="17"/>
  <c r="O18" i="17"/>
  <c r="V18" i="17" s="1"/>
  <c r="N18" i="17"/>
  <c r="J18" i="17"/>
  <c r="U18" i="17" s="1"/>
  <c r="I18" i="17"/>
  <c r="D18" i="17"/>
  <c r="C18" i="17"/>
  <c r="B18" i="17"/>
  <c r="A18" i="17"/>
  <c r="T17" i="17"/>
  <c r="W17" i="17" s="1"/>
  <c r="S17" i="17"/>
  <c r="O17" i="17"/>
  <c r="V17" i="17" s="1"/>
  <c r="N17" i="17"/>
  <c r="J17" i="17"/>
  <c r="U17" i="17" s="1"/>
  <c r="I17" i="17"/>
  <c r="D17" i="17"/>
  <c r="C17" i="17"/>
  <c r="B17" i="17"/>
  <c r="A17" i="17"/>
  <c r="T16" i="17"/>
  <c r="W16" i="17" s="1"/>
  <c r="S16" i="17"/>
  <c r="O16" i="17"/>
  <c r="V16" i="17" s="1"/>
  <c r="N16" i="17"/>
  <c r="J16" i="17"/>
  <c r="U16" i="17" s="1"/>
  <c r="I16" i="17"/>
  <c r="D16" i="17"/>
  <c r="C16" i="17"/>
  <c r="B16" i="17"/>
  <c r="A16" i="17"/>
  <c r="T15" i="17"/>
  <c r="W15" i="17" s="1"/>
  <c r="S15" i="17"/>
  <c r="O15" i="17"/>
  <c r="V15" i="17" s="1"/>
  <c r="N15" i="17"/>
  <c r="J15" i="17"/>
  <c r="U15" i="17" s="1"/>
  <c r="I15" i="17"/>
  <c r="D15" i="17"/>
  <c r="C15" i="17"/>
  <c r="B15" i="17"/>
  <c r="A15" i="17"/>
  <c r="T14" i="17"/>
  <c r="W14" i="17" s="1"/>
  <c r="S14" i="17"/>
  <c r="O14" i="17"/>
  <c r="V14" i="17" s="1"/>
  <c r="N14" i="17"/>
  <c r="J14" i="17"/>
  <c r="U14" i="17" s="1"/>
  <c r="I14" i="17"/>
  <c r="D14" i="17"/>
  <c r="C14" i="17"/>
  <c r="B14" i="17"/>
  <c r="A14" i="17"/>
  <c r="T13" i="17"/>
  <c r="W13" i="17" s="1"/>
  <c r="S13" i="17"/>
  <c r="O13" i="17"/>
  <c r="V13" i="17" s="1"/>
  <c r="N13" i="17"/>
  <c r="J13" i="17"/>
  <c r="U13" i="17" s="1"/>
  <c r="I13" i="17"/>
  <c r="D13" i="17"/>
  <c r="C13" i="17"/>
  <c r="B13" i="17"/>
  <c r="A13" i="17"/>
  <c r="T12" i="17"/>
  <c r="W12" i="17" s="1"/>
  <c r="S12" i="17"/>
  <c r="O12" i="17"/>
  <c r="V12" i="17" s="1"/>
  <c r="N12" i="17"/>
  <c r="J12" i="17"/>
  <c r="U12" i="17" s="1"/>
  <c r="I12" i="17"/>
  <c r="D12" i="17"/>
  <c r="C12" i="17"/>
  <c r="B12" i="17"/>
  <c r="A12" i="17"/>
  <c r="D11" i="17"/>
  <c r="N10" i="17"/>
  <c r="D10" i="17"/>
  <c r="C10" i="17"/>
  <c r="S10" i="17" s="1"/>
  <c r="D9" i="17"/>
  <c r="C9" i="17"/>
  <c r="S9" i="17" s="1"/>
  <c r="D8" i="17"/>
  <c r="N7" i="17"/>
  <c r="I7" i="17"/>
  <c r="D7" i="17"/>
  <c r="C7" i="17"/>
  <c r="C8" i="17" s="1"/>
  <c r="S6" i="17"/>
  <c r="D6" i="17"/>
  <c r="B6" i="17"/>
  <c r="B7" i="17" s="1"/>
  <c r="I5" i="17"/>
  <c r="D5" i="17"/>
  <c r="C5" i="17"/>
  <c r="S5" i="17" s="1"/>
  <c r="B5" i="17"/>
  <c r="S4" i="17"/>
  <c r="T4" i="17" s="1"/>
  <c r="N4" i="17"/>
  <c r="O4" i="17" s="1"/>
  <c r="I4" i="17"/>
  <c r="J4" i="17" s="1"/>
  <c r="W3" i="17"/>
  <c r="V3" i="17"/>
  <c r="U3" i="17"/>
  <c r="W2" i="17"/>
  <c r="V2" i="17"/>
  <c r="U2" i="17"/>
  <c r="A6" i="17" l="1"/>
  <c r="A5" i="17"/>
  <c r="N9" i="17"/>
  <c r="S7" i="17"/>
  <c r="J5" i="17"/>
  <c r="U4" i="17"/>
  <c r="N8" i="17"/>
  <c r="S8" i="17"/>
  <c r="I8" i="17"/>
  <c r="T5" i="17"/>
  <c r="W4" i="17"/>
  <c r="B8" i="17"/>
  <c r="A7" i="17"/>
  <c r="I9" i="17"/>
  <c r="C11" i="17"/>
  <c r="V4" i="17"/>
  <c r="N5" i="17"/>
  <c r="O5" i="17" s="1"/>
  <c r="C6" i="17"/>
  <c r="I10" i="17"/>
  <c r="A8" i="17" l="1"/>
  <c r="V5" i="17"/>
  <c r="I6" i="17"/>
  <c r="J6" i="17" s="1"/>
  <c r="N6" i="17"/>
  <c r="O6" i="17" s="1"/>
  <c r="W5" i="17"/>
  <c r="T6" i="17"/>
  <c r="N11" i="17"/>
  <c r="S11" i="17"/>
  <c r="I11" i="17"/>
  <c r="B9" i="17"/>
  <c r="A9" i="17" s="1"/>
  <c r="U5" i="17"/>
  <c r="O7" i="17" l="1"/>
  <c r="V6" i="17"/>
  <c r="U6" i="17"/>
  <c r="J7" i="17"/>
  <c r="B10" i="17"/>
  <c r="W6" i="17"/>
  <c r="T7" i="17"/>
  <c r="J8" i="17" l="1"/>
  <c r="U7" i="17"/>
  <c r="T8" i="17"/>
  <c r="W7" i="17"/>
  <c r="B11" i="17"/>
  <c r="A10" i="17"/>
  <c r="A11" i="17" s="1"/>
  <c r="V7" i="17"/>
  <c r="O8" i="17"/>
  <c r="T9" i="17" l="1"/>
  <c r="W8" i="17"/>
  <c r="O9" i="17"/>
  <c r="V8" i="17"/>
  <c r="J9" i="17"/>
  <c r="U8" i="17"/>
  <c r="O10" i="17" l="1"/>
  <c r="V9" i="17"/>
  <c r="U9" i="17"/>
  <c r="J10" i="17"/>
  <c r="T10" i="17"/>
  <c r="W9" i="17"/>
  <c r="J11" i="17" l="1"/>
  <c r="U11" i="17" s="1"/>
  <c r="U10" i="17"/>
  <c r="W10" i="17"/>
  <c r="T11" i="17"/>
  <c r="W11" i="17" s="1"/>
  <c r="O11" i="17"/>
  <c r="V11" i="17" s="1"/>
  <c r="V10" i="17"/>
  <c r="T30" i="16" l="1"/>
  <c r="W30" i="16" s="1"/>
  <c r="S30" i="16"/>
  <c r="O30" i="16"/>
  <c r="V30" i="16" s="1"/>
  <c r="N30" i="16"/>
  <c r="J30" i="16"/>
  <c r="U30" i="16" s="1"/>
  <c r="I30" i="16"/>
  <c r="D30" i="16"/>
  <c r="C30" i="16"/>
  <c r="B30" i="16"/>
  <c r="A30" i="16"/>
  <c r="T29" i="16"/>
  <c r="W29" i="16" s="1"/>
  <c r="S29" i="16"/>
  <c r="O29" i="16"/>
  <c r="V29" i="16" s="1"/>
  <c r="N29" i="16"/>
  <c r="J29" i="16"/>
  <c r="U29" i="16" s="1"/>
  <c r="I29" i="16"/>
  <c r="D29" i="16"/>
  <c r="C29" i="16"/>
  <c r="B29" i="16"/>
  <c r="A29" i="16"/>
  <c r="T28" i="16"/>
  <c r="W28" i="16" s="1"/>
  <c r="S28" i="16"/>
  <c r="O28" i="16"/>
  <c r="V28" i="16" s="1"/>
  <c r="N28" i="16"/>
  <c r="J28" i="16"/>
  <c r="U28" i="16" s="1"/>
  <c r="I28" i="16"/>
  <c r="D28" i="16"/>
  <c r="C28" i="16"/>
  <c r="B28" i="16"/>
  <c r="A28" i="16"/>
  <c r="T27" i="16"/>
  <c r="W27" i="16" s="1"/>
  <c r="S27" i="16"/>
  <c r="O27" i="16"/>
  <c r="V27" i="16" s="1"/>
  <c r="N27" i="16"/>
  <c r="J27" i="16"/>
  <c r="U27" i="16" s="1"/>
  <c r="I27" i="16"/>
  <c r="D27" i="16"/>
  <c r="C27" i="16"/>
  <c r="B27" i="16"/>
  <c r="A27" i="16"/>
  <c r="T26" i="16"/>
  <c r="W26" i="16" s="1"/>
  <c r="S26" i="16"/>
  <c r="O26" i="16"/>
  <c r="V26" i="16" s="1"/>
  <c r="N26" i="16"/>
  <c r="J26" i="16"/>
  <c r="U26" i="16" s="1"/>
  <c r="I26" i="16"/>
  <c r="D26" i="16"/>
  <c r="C26" i="16"/>
  <c r="B26" i="16"/>
  <c r="A26" i="16"/>
  <c r="T25" i="16"/>
  <c r="W25" i="16" s="1"/>
  <c r="S25" i="16"/>
  <c r="O25" i="16"/>
  <c r="V25" i="16" s="1"/>
  <c r="N25" i="16"/>
  <c r="J25" i="16"/>
  <c r="U25" i="16" s="1"/>
  <c r="I25" i="16"/>
  <c r="D25" i="16"/>
  <c r="C25" i="16"/>
  <c r="B25" i="16"/>
  <c r="A25" i="16"/>
  <c r="T24" i="16"/>
  <c r="W24" i="16" s="1"/>
  <c r="S24" i="16"/>
  <c r="O24" i="16"/>
  <c r="V24" i="16" s="1"/>
  <c r="N24" i="16"/>
  <c r="J24" i="16"/>
  <c r="U24" i="16" s="1"/>
  <c r="I24" i="16"/>
  <c r="D24" i="16"/>
  <c r="C24" i="16"/>
  <c r="B24" i="16"/>
  <c r="A24" i="16"/>
  <c r="T23" i="16"/>
  <c r="W23" i="16" s="1"/>
  <c r="S23" i="16"/>
  <c r="O23" i="16"/>
  <c r="V23" i="16" s="1"/>
  <c r="N23" i="16"/>
  <c r="J23" i="16"/>
  <c r="U23" i="16" s="1"/>
  <c r="I23" i="16"/>
  <c r="D23" i="16"/>
  <c r="C23" i="16"/>
  <c r="B23" i="16"/>
  <c r="A23" i="16"/>
  <c r="T22" i="16"/>
  <c r="W22" i="16" s="1"/>
  <c r="S22" i="16"/>
  <c r="O22" i="16"/>
  <c r="V22" i="16" s="1"/>
  <c r="N22" i="16"/>
  <c r="J22" i="16"/>
  <c r="U22" i="16" s="1"/>
  <c r="I22" i="16"/>
  <c r="D22" i="16"/>
  <c r="C22" i="16"/>
  <c r="B22" i="16"/>
  <c r="A22" i="16"/>
  <c r="T21" i="16"/>
  <c r="W21" i="16" s="1"/>
  <c r="S21" i="16"/>
  <c r="O21" i="16"/>
  <c r="V21" i="16" s="1"/>
  <c r="N21" i="16"/>
  <c r="J21" i="16"/>
  <c r="U21" i="16" s="1"/>
  <c r="I21" i="16"/>
  <c r="D21" i="16"/>
  <c r="C21" i="16"/>
  <c r="B21" i="16"/>
  <c r="A21" i="16"/>
  <c r="T20" i="16"/>
  <c r="W20" i="16" s="1"/>
  <c r="S20" i="16"/>
  <c r="O20" i="16"/>
  <c r="V20" i="16" s="1"/>
  <c r="N20" i="16"/>
  <c r="J20" i="16"/>
  <c r="U20" i="16" s="1"/>
  <c r="I20" i="16"/>
  <c r="D20" i="16"/>
  <c r="C20" i="16"/>
  <c r="B20" i="16"/>
  <c r="A20" i="16"/>
  <c r="T19" i="16"/>
  <c r="W19" i="16" s="1"/>
  <c r="S19" i="16"/>
  <c r="O19" i="16"/>
  <c r="V19" i="16" s="1"/>
  <c r="N19" i="16"/>
  <c r="J19" i="16"/>
  <c r="U19" i="16" s="1"/>
  <c r="I19" i="16"/>
  <c r="D19" i="16"/>
  <c r="C19" i="16"/>
  <c r="B19" i="16"/>
  <c r="A19" i="16"/>
  <c r="T18" i="16"/>
  <c r="W18" i="16" s="1"/>
  <c r="S18" i="16"/>
  <c r="O18" i="16"/>
  <c r="V18" i="16" s="1"/>
  <c r="N18" i="16"/>
  <c r="J18" i="16"/>
  <c r="U18" i="16" s="1"/>
  <c r="I18" i="16"/>
  <c r="D18" i="16"/>
  <c r="C18" i="16"/>
  <c r="B18" i="16"/>
  <c r="A18" i="16"/>
  <c r="T17" i="16"/>
  <c r="W17" i="16" s="1"/>
  <c r="S17" i="16"/>
  <c r="O17" i="16"/>
  <c r="V17" i="16" s="1"/>
  <c r="N17" i="16"/>
  <c r="J17" i="16"/>
  <c r="U17" i="16" s="1"/>
  <c r="I17" i="16"/>
  <c r="D17" i="16"/>
  <c r="C17" i="16"/>
  <c r="B17" i="16"/>
  <c r="A17" i="16"/>
  <c r="T16" i="16"/>
  <c r="W16" i="16" s="1"/>
  <c r="S16" i="16"/>
  <c r="O16" i="16"/>
  <c r="V16" i="16" s="1"/>
  <c r="N16" i="16"/>
  <c r="J16" i="16"/>
  <c r="U16" i="16" s="1"/>
  <c r="I16" i="16"/>
  <c r="D16" i="16"/>
  <c r="C16" i="16"/>
  <c r="B16" i="16"/>
  <c r="A16" i="16"/>
  <c r="T15" i="16"/>
  <c r="W15" i="16" s="1"/>
  <c r="S15" i="16"/>
  <c r="O15" i="16"/>
  <c r="V15" i="16" s="1"/>
  <c r="N15" i="16"/>
  <c r="J15" i="16"/>
  <c r="U15" i="16" s="1"/>
  <c r="I15" i="16"/>
  <c r="D15" i="16"/>
  <c r="C15" i="16"/>
  <c r="B15" i="16"/>
  <c r="A15" i="16"/>
  <c r="T14" i="16"/>
  <c r="W14" i="16" s="1"/>
  <c r="S14" i="16"/>
  <c r="O14" i="16"/>
  <c r="V14" i="16" s="1"/>
  <c r="N14" i="16"/>
  <c r="J14" i="16"/>
  <c r="U14" i="16" s="1"/>
  <c r="I14" i="16"/>
  <c r="D14" i="16"/>
  <c r="C14" i="16"/>
  <c r="B14" i="16"/>
  <c r="A14" i="16"/>
  <c r="T13" i="16"/>
  <c r="W13" i="16" s="1"/>
  <c r="S13" i="16"/>
  <c r="O13" i="16"/>
  <c r="V13" i="16" s="1"/>
  <c r="N13" i="16"/>
  <c r="J13" i="16"/>
  <c r="U13" i="16" s="1"/>
  <c r="I13" i="16"/>
  <c r="D13" i="16"/>
  <c r="C13" i="16"/>
  <c r="B13" i="16"/>
  <c r="A13" i="16"/>
  <c r="T12" i="16"/>
  <c r="W12" i="16" s="1"/>
  <c r="S12" i="16"/>
  <c r="O12" i="16"/>
  <c r="V12" i="16" s="1"/>
  <c r="N12" i="16"/>
  <c r="J12" i="16"/>
  <c r="U12" i="16" s="1"/>
  <c r="I12" i="16"/>
  <c r="D12" i="16"/>
  <c r="C12" i="16"/>
  <c r="B12" i="16"/>
  <c r="A12" i="16"/>
  <c r="S11" i="16"/>
  <c r="T11" i="16" s="1"/>
  <c r="W11" i="16" s="1"/>
  <c r="N11" i="16"/>
  <c r="O11" i="16" s="1"/>
  <c r="V11" i="16" s="1"/>
  <c r="I11" i="16"/>
  <c r="J11" i="16" s="1"/>
  <c r="U11" i="16" s="1"/>
  <c r="D11" i="16"/>
  <c r="C11" i="16"/>
  <c r="B11" i="16"/>
  <c r="A11" i="16"/>
  <c r="S10" i="16"/>
  <c r="T10" i="16" s="1"/>
  <c r="W10" i="16" s="1"/>
  <c r="N10" i="16"/>
  <c r="O10" i="16" s="1"/>
  <c r="V10" i="16" s="1"/>
  <c r="I10" i="16"/>
  <c r="J10" i="16" s="1"/>
  <c r="U10" i="16" s="1"/>
  <c r="D10" i="16"/>
  <c r="C10" i="16"/>
  <c r="B10" i="16"/>
  <c r="A10" i="16"/>
  <c r="S9" i="16"/>
  <c r="T9" i="16" s="1"/>
  <c r="W9" i="16" s="1"/>
  <c r="O9" i="16"/>
  <c r="V9" i="16" s="1"/>
  <c r="N9" i="16"/>
  <c r="I9" i="16"/>
  <c r="J9" i="16" s="1"/>
  <c r="U9" i="16" s="1"/>
  <c r="D9" i="16"/>
  <c r="C9" i="16"/>
  <c r="B9" i="16"/>
  <c r="A9" i="16"/>
  <c r="T8" i="16"/>
  <c r="W8" i="16" s="1"/>
  <c r="S8" i="16"/>
  <c r="N8" i="16"/>
  <c r="O8" i="16" s="1"/>
  <c r="V8" i="16" s="1"/>
  <c r="J8" i="16"/>
  <c r="U8" i="16" s="1"/>
  <c r="I8" i="16"/>
  <c r="D8" i="16"/>
  <c r="C8" i="16"/>
  <c r="B8" i="16"/>
  <c r="A8" i="16" s="1"/>
  <c r="N7" i="16"/>
  <c r="S6" i="16"/>
  <c r="N6" i="16"/>
  <c r="I6" i="16"/>
  <c r="D6" i="16"/>
  <c r="D7" i="16" s="1"/>
  <c r="B6" i="16"/>
  <c r="B7" i="16" s="1"/>
  <c r="D5" i="16"/>
  <c r="C5" i="16"/>
  <c r="C6" i="16" s="1"/>
  <c r="C7" i="16" s="1"/>
  <c r="B5" i="16"/>
  <c r="S4" i="16"/>
  <c r="T4" i="16" s="1"/>
  <c r="N4" i="16"/>
  <c r="O4" i="16" s="1"/>
  <c r="V4" i="16" s="1"/>
  <c r="I4" i="16"/>
  <c r="J4" i="16" s="1"/>
  <c r="W3" i="16"/>
  <c r="V3" i="16"/>
  <c r="U3" i="16"/>
  <c r="W2" i="16"/>
  <c r="V2" i="16"/>
  <c r="U2" i="16"/>
  <c r="N5" i="16" l="1"/>
  <c r="O5" i="16" s="1"/>
  <c r="S7" i="16"/>
  <c r="I7" i="16"/>
  <c r="W4" i="16"/>
  <c r="U4" i="16"/>
  <c r="A6" i="16"/>
  <c r="A7" i="16"/>
  <c r="A5" i="16"/>
  <c r="I5" i="16"/>
  <c r="J5" i="16" s="1"/>
  <c r="S5" i="16"/>
  <c r="T5" i="16" s="1"/>
  <c r="W5" i="16" l="1"/>
  <c r="T6" i="16"/>
  <c r="J6" i="16"/>
  <c r="U5" i="16"/>
  <c r="O6" i="16"/>
  <c r="V5" i="16"/>
  <c r="J7" i="16" l="1"/>
  <c r="U7" i="16" s="1"/>
  <c r="U6" i="16"/>
  <c r="O7" i="16"/>
  <c r="V7" i="16" s="1"/>
  <c r="V6" i="16"/>
  <c r="W6" i="16"/>
  <c r="T7" i="16"/>
  <c r="W7" i="16" s="1"/>
  <c r="T30" i="15" l="1"/>
  <c r="W30" i="15" s="1"/>
  <c r="S30" i="15"/>
  <c r="O30" i="15"/>
  <c r="V30" i="15" s="1"/>
  <c r="N30" i="15"/>
  <c r="J30" i="15"/>
  <c r="U30" i="15" s="1"/>
  <c r="I30" i="15"/>
  <c r="D30" i="15"/>
  <c r="C30" i="15"/>
  <c r="B30" i="15"/>
  <c r="A30" i="15"/>
  <c r="T29" i="15"/>
  <c r="W29" i="15" s="1"/>
  <c r="S29" i="15"/>
  <c r="O29" i="15"/>
  <c r="V29" i="15" s="1"/>
  <c r="N29" i="15"/>
  <c r="J29" i="15"/>
  <c r="U29" i="15" s="1"/>
  <c r="I29" i="15"/>
  <c r="D29" i="15"/>
  <c r="C29" i="15"/>
  <c r="B29" i="15"/>
  <c r="A29" i="15"/>
  <c r="T28" i="15"/>
  <c r="W28" i="15" s="1"/>
  <c r="S28" i="15"/>
  <c r="O28" i="15"/>
  <c r="V28" i="15" s="1"/>
  <c r="N28" i="15"/>
  <c r="J28" i="15"/>
  <c r="U28" i="15" s="1"/>
  <c r="I28" i="15"/>
  <c r="D28" i="15"/>
  <c r="C28" i="15"/>
  <c r="B28" i="15"/>
  <c r="A28" i="15"/>
  <c r="T27" i="15"/>
  <c r="W27" i="15" s="1"/>
  <c r="S27" i="15"/>
  <c r="O27" i="15"/>
  <c r="V27" i="15" s="1"/>
  <c r="N27" i="15"/>
  <c r="J27" i="15"/>
  <c r="U27" i="15" s="1"/>
  <c r="I27" i="15"/>
  <c r="D27" i="15"/>
  <c r="C27" i="15"/>
  <c r="B27" i="15"/>
  <c r="A27" i="15"/>
  <c r="T26" i="15"/>
  <c r="W26" i="15" s="1"/>
  <c r="S26" i="15"/>
  <c r="O26" i="15"/>
  <c r="V26" i="15" s="1"/>
  <c r="N26" i="15"/>
  <c r="J26" i="15"/>
  <c r="U26" i="15" s="1"/>
  <c r="I26" i="15"/>
  <c r="D26" i="15"/>
  <c r="C26" i="15"/>
  <c r="B26" i="15"/>
  <c r="A26" i="15"/>
  <c r="T25" i="15"/>
  <c r="W25" i="15" s="1"/>
  <c r="S25" i="15"/>
  <c r="O25" i="15"/>
  <c r="V25" i="15" s="1"/>
  <c r="N25" i="15"/>
  <c r="J25" i="15"/>
  <c r="U25" i="15" s="1"/>
  <c r="I25" i="15"/>
  <c r="D25" i="15"/>
  <c r="C25" i="15"/>
  <c r="B25" i="15"/>
  <c r="A25" i="15"/>
  <c r="T24" i="15"/>
  <c r="W24" i="15" s="1"/>
  <c r="S24" i="15"/>
  <c r="O24" i="15"/>
  <c r="V24" i="15" s="1"/>
  <c r="N24" i="15"/>
  <c r="J24" i="15"/>
  <c r="U24" i="15" s="1"/>
  <c r="I24" i="15"/>
  <c r="D24" i="15"/>
  <c r="C24" i="15"/>
  <c r="B24" i="15"/>
  <c r="A24" i="15"/>
  <c r="T23" i="15"/>
  <c r="W23" i="15" s="1"/>
  <c r="S23" i="15"/>
  <c r="O23" i="15"/>
  <c r="V23" i="15" s="1"/>
  <c r="N23" i="15"/>
  <c r="J23" i="15"/>
  <c r="U23" i="15" s="1"/>
  <c r="I23" i="15"/>
  <c r="D23" i="15"/>
  <c r="C23" i="15"/>
  <c r="B23" i="15"/>
  <c r="A23" i="15"/>
  <c r="T22" i="15"/>
  <c r="W22" i="15" s="1"/>
  <c r="S22" i="15"/>
  <c r="O22" i="15"/>
  <c r="V22" i="15" s="1"/>
  <c r="N22" i="15"/>
  <c r="J22" i="15"/>
  <c r="U22" i="15" s="1"/>
  <c r="I22" i="15"/>
  <c r="D22" i="15"/>
  <c r="C22" i="15"/>
  <c r="B22" i="15"/>
  <c r="A22" i="15"/>
  <c r="T21" i="15"/>
  <c r="W21" i="15" s="1"/>
  <c r="S21" i="15"/>
  <c r="O21" i="15"/>
  <c r="V21" i="15" s="1"/>
  <c r="N21" i="15"/>
  <c r="J21" i="15"/>
  <c r="U21" i="15" s="1"/>
  <c r="I21" i="15"/>
  <c r="D21" i="15"/>
  <c r="C21" i="15"/>
  <c r="B21" i="15"/>
  <c r="A21" i="15"/>
  <c r="T20" i="15"/>
  <c r="W20" i="15" s="1"/>
  <c r="S20" i="15"/>
  <c r="O20" i="15"/>
  <c r="V20" i="15" s="1"/>
  <c r="N20" i="15"/>
  <c r="J20" i="15"/>
  <c r="U20" i="15" s="1"/>
  <c r="I20" i="15"/>
  <c r="D20" i="15"/>
  <c r="C20" i="15"/>
  <c r="B20" i="15"/>
  <c r="A20" i="15"/>
  <c r="T19" i="15"/>
  <c r="W19" i="15" s="1"/>
  <c r="S19" i="15"/>
  <c r="O19" i="15"/>
  <c r="V19" i="15" s="1"/>
  <c r="N19" i="15"/>
  <c r="J19" i="15"/>
  <c r="U19" i="15" s="1"/>
  <c r="I19" i="15"/>
  <c r="D19" i="15"/>
  <c r="C19" i="15"/>
  <c r="B19" i="15"/>
  <c r="A19" i="15"/>
  <c r="T18" i="15"/>
  <c r="W18" i="15" s="1"/>
  <c r="S18" i="15"/>
  <c r="O18" i="15"/>
  <c r="V18" i="15" s="1"/>
  <c r="N18" i="15"/>
  <c r="J18" i="15"/>
  <c r="U18" i="15" s="1"/>
  <c r="I18" i="15"/>
  <c r="D18" i="15"/>
  <c r="C18" i="15"/>
  <c r="B18" i="15"/>
  <c r="A18" i="15"/>
  <c r="T17" i="15"/>
  <c r="W17" i="15" s="1"/>
  <c r="S17" i="15"/>
  <c r="O17" i="15"/>
  <c r="V17" i="15" s="1"/>
  <c r="N17" i="15"/>
  <c r="J17" i="15"/>
  <c r="U17" i="15" s="1"/>
  <c r="I17" i="15"/>
  <c r="D17" i="15"/>
  <c r="C17" i="15"/>
  <c r="B17" i="15"/>
  <c r="A17" i="15"/>
  <c r="T16" i="15"/>
  <c r="W16" i="15" s="1"/>
  <c r="S16" i="15"/>
  <c r="O16" i="15"/>
  <c r="V16" i="15" s="1"/>
  <c r="N16" i="15"/>
  <c r="J16" i="15"/>
  <c r="U16" i="15" s="1"/>
  <c r="I16" i="15"/>
  <c r="D16" i="15"/>
  <c r="C16" i="15"/>
  <c r="B16" i="15"/>
  <c r="A16" i="15"/>
  <c r="T15" i="15"/>
  <c r="W15" i="15" s="1"/>
  <c r="S15" i="15"/>
  <c r="O15" i="15"/>
  <c r="V15" i="15" s="1"/>
  <c r="N15" i="15"/>
  <c r="J15" i="15"/>
  <c r="U15" i="15" s="1"/>
  <c r="I15" i="15"/>
  <c r="D15" i="15"/>
  <c r="C15" i="15"/>
  <c r="B15" i="15"/>
  <c r="A15" i="15"/>
  <c r="T14" i="15"/>
  <c r="W14" i="15" s="1"/>
  <c r="S14" i="15"/>
  <c r="O14" i="15"/>
  <c r="V14" i="15" s="1"/>
  <c r="N14" i="15"/>
  <c r="J14" i="15"/>
  <c r="U14" i="15" s="1"/>
  <c r="I14" i="15"/>
  <c r="D14" i="15"/>
  <c r="C14" i="15"/>
  <c r="B14" i="15"/>
  <c r="A14" i="15"/>
  <c r="D13" i="15"/>
  <c r="N12" i="15"/>
  <c r="D12" i="15"/>
  <c r="S11" i="15"/>
  <c r="I11" i="15"/>
  <c r="D11" i="15"/>
  <c r="C11" i="15"/>
  <c r="C12" i="15" s="1"/>
  <c r="I10" i="15"/>
  <c r="D10" i="15"/>
  <c r="C10" i="15"/>
  <c r="S10" i="15" s="1"/>
  <c r="I9" i="15"/>
  <c r="D9" i="15"/>
  <c r="C9" i="15"/>
  <c r="S9" i="15" s="1"/>
  <c r="I8" i="15"/>
  <c r="D8" i="15"/>
  <c r="C8" i="15"/>
  <c r="N8" i="15" s="1"/>
  <c r="S7" i="15"/>
  <c r="D7" i="15"/>
  <c r="S6" i="15"/>
  <c r="N6" i="15"/>
  <c r="D6" i="15"/>
  <c r="C6" i="15"/>
  <c r="I6" i="15" s="1"/>
  <c r="B6" i="15"/>
  <c r="N5" i="15"/>
  <c r="D5" i="15"/>
  <c r="C5" i="15"/>
  <c r="S5" i="15" s="1"/>
  <c r="B5" i="15"/>
  <c r="A6" i="15" s="1"/>
  <c r="A5" i="15"/>
  <c r="S4" i="15"/>
  <c r="T4" i="15" s="1"/>
  <c r="N4" i="15"/>
  <c r="O4" i="15" s="1"/>
  <c r="I4" i="15"/>
  <c r="J4" i="15" s="1"/>
  <c r="W3" i="15"/>
  <c r="V3" i="15"/>
  <c r="U3" i="15"/>
  <c r="W2" i="15"/>
  <c r="V2" i="15"/>
  <c r="U2" i="15"/>
  <c r="O5" i="15" l="1"/>
  <c r="V5" i="15" s="1"/>
  <c r="S8" i="15"/>
  <c r="N9" i="15"/>
  <c r="U4" i="15"/>
  <c r="O6" i="15"/>
  <c r="T5" i="15"/>
  <c r="W4" i="15"/>
  <c r="S12" i="15"/>
  <c r="I12" i="15"/>
  <c r="C13" i="15"/>
  <c r="B7" i="15"/>
  <c r="I5" i="15"/>
  <c r="J5" i="15" s="1"/>
  <c r="C7" i="15"/>
  <c r="N11" i="15"/>
  <c r="V4" i="15"/>
  <c r="N10" i="15"/>
  <c r="J6" i="15" l="1"/>
  <c r="U5" i="15"/>
  <c r="B8" i="15"/>
  <c r="S13" i="15"/>
  <c r="I13" i="15"/>
  <c r="N13" i="15"/>
  <c r="T6" i="15"/>
  <c r="W5" i="15"/>
  <c r="N7" i="15"/>
  <c r="O7" i="15" s="1"/>
  <c r="I7" i="15"/>
  <c r="V6" i="15"/>
  <c r="A7" i="15"/>
  <c r="B9" i="15" l="1"/>
  <c r="A8" i="15"/>
  <c r="A9" i="15" s="1"/>
  <c r="V7" i="15"/>
  <c r="O8" i="15"/>
  <c r="W6" i="15"/>
  <c r="T7" i="15"/>
  <c r="J7" i="15"/>
  <c r="U6" i="15"/>
  <c r="J8" i="15" l="1"/>
  <c r="U7" i="15"/>
  <c r="W7" i="15"/>
  <c r="T8" i="15"/>
  <c r="O9" i="15"/>
  <c r="V8" i="15"/>
  <c r="B10" i="15"/>
  <c r="T9" i="15" l="1"/>
  <c r="W8" i="15"/>
  <c r="B11" i="15"/>
  <c r="A11" i="15" s="1"/>
  <c r="A10" i="15"/>
  <c r="O10" i="15"/>
  <c r="V9" i="15"/>
  <c r="J9" i="15"/>
  <c r="U8" i="15"/>
  <c r="J10" i="15" l="1"/>
  <c r="U9" i="15"/>
  <c r="B12" i="15"/>
  <c r="A12" i="15" s="1"/>
  <c r="O11" i="15"/>
  <c r="V10" i="15"/>
  <c r="W9" i="15"/>
  <c r="T10" i="15"/>
  <c r="B13" i="15" l="1"/>
  <c r="A13" i="15" s="1"/>
  <c r="W10" i="15"/>
  <c r="T11" i="15"/>
  <c r="V11" i="15"/>
  <c r="O12" i="15"/>
  <c r="U10" i="15"/>
  <c r="J11" i="15"/>
  <c r="J12" i="15" l="1"/>
  <c r="U11" i="15"/>
  <c r="W11" i="15"/>
  <c r="T12" i="15"/>
  <c r="V12" i="15"/>
  <c r="O13" i="15"/>
  <c r="V13" i="15" s="1"/>
  <c r="T13" i="15" l="1"/>
  <c r="W13" i="15" s="1"/>
  <c r="W12" i="15"/>
  <c r="J13" i="15"/>
  <c r="U13" i="15" s="1"/>
  <c r="U12" i="15"/>
  <c r="T30" i="14"/>
  <c r="W30" i="14" s="1"/>
  <c r="S30" i="14"/>
  <c r="O30" i="14"/>
  <c r="V30" i="14" s="1"/>
  <c r="N30" i="14"/>
  <c r="J30" i="14"/>
  <c r="U30" i="14" s="1"/>
  <c r="I30" i="14"/>
  <c r="D30" i="14"/>
  <c r="C30" i="14"/>
  <c r="B30" i="14"/>
  <c r="A30" i="14"/>
  <c r="T29" i="14"/>
  <c r="W29" i="14" s="1"/>
  <c r="S29" i="14"/>
  <c r="O29" i="14"/>
  <c r="V29" i="14" s="1"/>
  <c r="N29" i="14"/>
  <c r="J29" i="14"/>
  <c r="U29" i="14" s="1"/>
  <c r="I29" i="14"/>
  <c r="D29" i="14"/>
  <c r="C29" i="14"/>
  <c r="B29" i="14"/>
  <c r="A29" i="14"/>
  <c r="T28" i="14"/>
  <c r="W28" i="14" s="1"/>
  <c r="S28" i="14"/>
  <c r="O28" i="14"/>
  <c r="V28" i="14" s="1"/>
  <c r="N28" i="14"/>
  <c r="J28" i="14"/>
  <c r="U28" i="14" s="1"/>
  <c r="I28" i="14"/>
  <c r="D28" i="14"/>
  <c r="C28" i="14"/>
  <c r="B28" i="14"/>
  <c r="A28" i="14"/>
  <c r="T27" i="14"/>
  <c r="W27" i="14" s="1"/>
  <c r="S27" i="14"/>
  <c r="O27" i="14"/>
  <c r="V27" i="14" s="1"/>
  <c r="N27" i="14"/>
  <c r="J27" i="14"/>
  <c r="U27" i="14" s="1"/>
  <c r="I27" i="14"/>
  <c r="D27" i="14"/>
  <c r="C27" i="14"/>
  <c r="B27" i="14"/>
  <c r="A27" i="14"/>
  <c r="T26" i="14"/>
  <c r="W26" i="14" s="1"/>
  <c r="S26" i="14"/>
  <c r="O26" i="14"/>
  <c r="V26" i="14" s="1"/>
  <c r="N26" i="14"/>
  <c r="J26" i="14"/>
  <c r="U26" i="14" s="1"/>
  <c r="I26" i="14"/>
  <c r="D26" i="14"/>
  <c r="C26" i="14"/>
  <c r="B26" i="14"/>
  <c r="A26" i="14"/>
  <c r="T25" i="14"/>
  <c r="W25" i="14" s="1"/>
  <c r="S25" i="14"/>
  <c r="O25" i="14"/>
  <c r="V25" i="14" s="1"/>
  <c r="N25" i="14"/>
  <c r="J25" i="14"/>
  <c r="U25" i="14" s="1"/>
  <c r="I25" i="14"/>
  <c r="D25" i="14"/>
  <c r="C25" i="14"/>
  <c r="B25" i="14"/>
  <c r="A25" i="14"/>
  <c r="T24" i="14"/>
  <c r="W24" i="14" s="1"/>
  <c r="S24" i="14"/>
  <c r="O24" i="14"/>
  <c r="V24" i="14" s="1"/>
  <c r="N24" i="14"/>
  <c r="J24" i="14"/>
  <c r="U24" i="14" s="1"/>
  <c r="I24" i="14"/>
  <c r="D24" i="14"/>
  <c r="C24" i="14"/>
  <c r="B24" i="14"/>
  <c r="A24" i="14"/>
  <c r="T23" i="14"/>
  <c r="W23" i="14" s="1"/>
  <c r="S23" i="14"/>
  <c r="O23" i="14"/>
  <c r="V23" i="14" s="1"/>
  <c r="N23" i="14"/>
  <c r="J23" i="14"/>
  <c r="U23" i="14" s="1"/>
  <c r="I23" i="14"/>
  <c r="D23" i="14"/>
  <c r="C23" i="14"/>
  <c r="B23" i="14"/>
  <c r="A23" i="14"/>
  <c r="T22" i="14"/>
  <c r="W22" i="14" s="1"/>
  <c r="S22" i="14"/>
  <c r="O22" i="14"/>
  <c r="V22" i="14" s="1"/>
  <c r="N22" i="14"/>
  <c r="J22" i="14"/>
  <c r="U22" i="14" s="1"/>
  <c r="I22" i="14"/>
  <c r="D22" i="14"/>
  <c r="C22" i="14"/>
  <c r="B22" i="14"/>
  <c r="A22" i="14"/>
  <c r="T21" i="14"/>
  <c r="W21" i="14" s="1"/>
  <c r="S21" i="14"/>
  <c r="O21" i="14"/>
  <c r="V21" i="14" s="1"/>
  <c r="N21" i="14"/>
  <c r="J21" i="14"/>
  <c r="U21" i="14" s="1"/>
  <c r="I21" i="14"/>
  <c r="D21" i="14"/>
  <c r="C21" i="14"/>
  <c r="B21" i="14"/>
  <c r="A21" i="14"/>
  <c r="T20" i="14"/>
  <c r="W20" i="14" s="1"/>
  <c r="S20" i="14"/>
  <c r="O20" i="14"/>
  <c r="V20" i="14" s="1"/>
  <c r="N20" i="14"/>
  <c r="J20" i="14"/>
  <c r="U20" i="14" s="1"/>
  <c r="I20" i="14"/>
  <c r="D20" i="14"/>
  <c r="C20" i="14"/>
  <c r="B20" i="14"/>
  <c r="A20" i="14"/>
  <c r="T19" i="14"/>
  <c r="W19" i="14" s="1"/>
  <c r="S19" i="14"/>
  <c r="O19" i="14"/>
  <c r="V19" i="14" s="1"/>
  <c r="N19" i="14"/>
  <c r="J19" i="14"/>
  <c r="U19" i="14" s="1"/>
  <c r="I19" i="14"/>
  <c r="D19" i="14"/>
  <c r="C19" i="14"/>
  <c r="B19" i="14"/>
  <c r="A19" i="14"/>
  <c r="T18" i="14"/>
  <c r="W18" i="14" s="1"/>
  <c r="S18" i="14"/>
  <c r="O18" i="14"/>
  <c r="V18" i="14" s="1"/>
  <c r="N18" i="14"/>
  <c r="J18" i="14"/>
  <c r="U18" i="14" s="1"/>
  <c r="I18" i="14"/>
  <c r="D18" i="14"/>
  <c r="C18" i="14"/>
  <c r="B18" i="14"/>
  <c r="A18" i="14"/>
  <c r="T17" i="14"/>
  <c r="W17" i="14" s="1"/>
  <c r="S17" i="14"/>
  <c r="O17" i="14"/>
  <c r="V17" i="14" s="1"/>
  <c r="N17" i="14"/>
  <c r="J17" i="14"/>
  <c r="U17" i="14" s="1"/>
  <c r="I17" i="14"/>
  <c r="D17" i="14"/>
  <c r="C17" i="14"/>
  <c r="B17" i="14"/>
  <c r="A17" i="14"/>
  <c r="T16" i="14"/>
  <c r="W16" i="14" s="1"/>
  <c r="S16" i="14"/>
  <c r="O16" i="14"/>
  <c r="V16" i="14" s="1"/>
  <c r="N16" i="14"/>
  <c r="J16" i="14"/>
  <c r="U16" i="14" s="1"/>
  <c r="I16" i="14"/>
  <c r="D16" i="14"/>
  <c r="C16" i="14"/>
  <c r="B16" i="14"/>
  <c r="A16" i="14"/>
  <c r="T15" i="14"/>
  <c r="W15" i="14" s="1"/>
  <c r="S15" i="14"/>
  <c r="O15" i="14"/>
  <c r="V15" i="14" s="1"/>
  <c r="N15" i="14"/>
  <c r="J15" i="14"/>
  <c r="U15" i="14" s="1"/>
  <c r="I15" i="14"/>
  <c r="D15" i="14"/>
  <c r="C15" i="14"/>
  <c r="B15" i="14"/>
  <c r="A15" i="14"/>
  <c r="T14" i="14"/>
  <c r="W14" i="14" s="1"/>
  <c r="S14" i="14"/>
  <c r="O14" i="14"/>
  <c r="V14" i="14" s="1"/>
  <c r="N14" i="14"/>
  <c r="J14" i="14"/>
  <c r="U14" i="14" s="1"/>
  <c r="I14" i="14"/>
  <c r="D14" i="14"/>
  <c r="C14" i="14"/>
  <c r="B14" i="14"/>
  <c r="A14" i="14"/>
  <c r="S13" i="14"/>
  <c r="T13" i="14" s="1"/>
  <c r="W13" i="14" s="1"/>
  <c r="O13" i="14"/>
  <c r="V13" i="14" s="1"/>
  <c r="N13" i="14"/>
  <c r="J13" i="14"/>
  <c r="U13" i="14" s="1"/>
  <c r="I13" i="14"/>
  <c r="D13" i="14"/>
  <c r="C13" i="14"/>
  <c r="B13" i="14"/>
  <c r="A13" i="14"/>
  <c r="S12" i="14"/>
  <c r="T12" i="14" s="1"/>
  <c r="W12" i="14" s="1"/>
  <c r="O12" i="14"/>
  <c r="V12" i="14" s="1"/>
  <c r="N12" i="14"/>
  <c r="J12" i="14"/>
  <c r="U12" i="14" s="1"/>
  <c r="I12" i="14"/>
  <c r="D12" i="14"/>
  <c r="C12" i="14"/>
  <c r="B12" i="14"/>
  <c r="A12" i="14"/>
  <c r="S11" i="14"/>
  <c r="T11" i="14" s="1"/>
  <c r="W11" i="14" s="1"/>
  <c r="N11" i="14"/>
  <c r="O11" i="14" s="1"/>
  <c r="V11" i="14" s="1"/>
  <c r="I11" i="14"/>
  <c r="J11" i="14" s="1"/>
  <c r="U11" i="14" s="1"/>
  <c r="D11" i="14"/>
  <c r="C11" i="14"/>
  <c r="B11" i="14"/>
  <c r="A11" i="14"/>
  <c r="S10" i="14"/>
  <c r="T10" i="14" s="1"/>
  <c r="W10" i="14" s="1"/>
  <c r="N10" i="14"/>
  <c r="O10" i="14" s="1"/>
  <c r="V10" i="14" s="1"/>
  <c r="J10" i="14"/>
  <c r="U10" i="14" s="1"/>
  <c r="I10" i="14"/>
  <c r="D10" i="14"/>
  <c r="C10" i="14"/>
  <c r="B10" i="14"/>
  <c r="A10" i="14"/>
  <c r="S9" i="14"/>
  <c r="T9" i="14" s="1"/>
  <c r="W9" i="14" s="1"/>
  <c r="N9" i="14"/>
  <c r="O9" i="14" s="1"/>
  <c r="V9" i="14" s="1"/>
  <c r="J9" i="14"/>
  <c r="U9" i="14" s="1"/>
  <c r="I9" i="14"/>
  <c r="D9" i="14"/>
  <c r="C9" i="14"/>
  <c r="B9" i="14"/>
  <c r="A9" i="14"/>
  <c r="S8" i="14"/>
  <c r="T8" i="14" s="1"/>
  <c r="W8" i="14" s="1"/>
  <c r="N8" i="14"/>
  <c r="O8" i="14" s="1"/>
  <c r="V8" i="14" s="1"/>
  <c r="J8" i="14"/>
  <c r="U8" i="14" s="1"/>
  <c r="I8" i="14"/>
  <c r="D8" i="14"/>
  <c r="C8" i="14"/>
  <c r="B8" i="14"/>
  <c r="A8" i="14" s="1"/>
  <c r="S7" i="14"/>
  <c r="I7" i="14"/>
  <c r="C7" i="14"/>
  <c r="N7" i="14" s="1"/>
  <c r="S6" i="14"/>
  <c r="N6" i="14"/>
  <c r="I6" i="14"/>
  <c r="D6" i="14"/>
  <c r="D7" i="14" s="1"/>
  <c r="B6" i="14"/>
  <c r="B7" i="14" s="1"/>
  <c r="N5" i="14"/>
  <c r="D5" i="14"/>
  <c r="C5" i="14"/>
  <c r="S5" i="14" s="1"/>
  <c r="B5" i="14"/>
  <c r="A6" i="14" s="1"/>
  <c r="A5" i="14"/>
  <c r="S4" i="14"/>
  <c r="T4" i="14" s="1"/>
  <c r="N4" i="14"/>
  <c r="O4" i="14" s="1"/>
  <c r="I4" i="14"/>
  <c r="J4" i="14" s="1"/>
  <c r="W3" i="14"/>
  <c r="V3" i="14"/>
  <c r="U3" i="14"/>
  <c r="W2" i="14"/>
  <c r="V2" i="14"/>
  <c r="U2" i="14"/>
  <c r="O5" i="14" l="1"/>
  <c r="V5" i="14" s="1"/>
  <c r="U4" i="14"/>
  <c r="T5" i="14"/>
  <c r="W4" i="14"/>
  <c r="C6" i="14"/>
  <c r="V4" i="14"/>
  <c r="A7" i="14"/>
  <c r="I5" i="14"/>
  <c r="J5" i="14" s="1"/>
  <c r="O6" i="14" l="1"/>
  <c r="V6" i="14" s="1"/>
  <c r="U5" i="14"/>
  <c r="J6" i="14"/>
  <c r="O7" i="14"/>
  <c r="V7" i="14" s="1"/>
  <c r="W5" i="14"/>
  <c r="T6" i="14"/>
  <c r="J7" i="14" l="1"/>
  <c r="U7" i="14" s="1"/>
  <c r="U6" i="14"/>
  <c r="W6" i="14"/>
  <c r="T7" i="14"/>
  <c r="W7" i="14" s="1"/>
  <c r="T30" i="12" l="1"/>
  <c r="W30" i="12" s="1"/>
  <c r="S30" i="12"/>
  <c r="O30" i="12"/>
  <c r="V30" i="12" s="1"/>
  <c r="N30" i="12"/>
  <c r="J30" i="12"/>
  <c r="U30" i="12" s="1"/>
  <c r="I30" i="12"/>
  <c r="D30" i="12"/>
  <c r="C30" i="12"/>
  <c r="B30" i="12"/>
  <c r="A30" i="12"/>
  <c r="T29" i="12"/>
  <c r="W29" i="12" s="1"/>
  <c r="S29" i="12"/>
  <c r="O29" i="12"/>
  <c r="V29" i="12" s="1"/>
  <c r="N29" i="12"/>
  <c r="J29" i="12"/>
  <c r="U29" i="12" s="1"/>
  <c r="I29" i="12"/>
  <c r="D29" i="12"/>
  <c r="C29" i="12"/>
  <c r="B29" i="12"/>
  <c r="A29" i="12"/>
  <c r="T28" i="12"/>
  <c r="W28" i="12" s="1"/>
  <c r="S28" i="12"/>
  <c r="O28" i="12"/>
  <c r="V28" i="12" s="1"/>
  <c r="N28" i="12"/>
  <c r="J28" i="12"/>
  <c r="U28" i="12" s="1"/>
  <c r="I28" i="12"/>
  <c r="D28" i="12"/>
  <c r="C28" i="12"/>
  <c r="B28" i="12"/>
  <c r="A28" i="12"/>
  <c r="T27" i="12"/>
  <c r="W27" i="12" s="1"/>
  <c r="S27" i="12"/>
  <c r="O27" i="12"/>
  <c r="V27" i="12" s="1"/>
  <c r="N27" i="12"/>
  <c r="J27" i="12"/>
  <c r="U27" i="12" s="1"/>
  <c r="I27" i="12"/>
  <c r="D27" i="12"/>
  <c r="C27" i="12"/>
  <c r="B27" i="12"/>
  <c r="A27" i="12"/>
  <c r="T26" i="12"/>
  <c r="W26" i="12" s="1"/>
  <c r="S26" i="12"/>
  <c r="O26" i="12"/>
  <c r="V26" i="12" s="1"/>
  <c r="N26" i="12"/>
  <c r="J26" i="12"/>
  <c r="U26" i="12" s="1"/>
  <c r="I26" i="12"/>
  <c r="D26" i="12"/>
  <c r="C26" i="12"/>
  <c r="B26" i="12"/>
  <c r="A26" i="12"/>
  <c r="T25" i="12"/>
  <c r="W25" i="12" s="1"/>
  <c r="S25" i="12"/>
  <c r="O25" i="12"/>
  <c r="V25" i="12" s="1"/>
  <c r="N25" i="12"/>
  <c r="J25" i="12"/>
  <c r="U25" i="12" s="1"/>
  <c r="I25" i="12"/>
  <c r="D25" i="12"/>
  <c r="C25" i="12"/>
  <c r="B25" i="12"/>
  <c r="A25" i="12"/>
  <c r="T24" i="12"/>
  <c r="W24" i="12" s="1"/>
  <c r="S24" i="12"/>
  <c r="O24" i="12"/>
  <c r="V24" i="12" s="1"/>
  <c r="N24" i="12"/>
  <c r="J24" i="12"/>
  <c r="U24" i="12" s="1"/>
  <c r="I24" i="12"/>
  <c r="D24" i="12"/>
  <c r="C24" i="12"/>
  <c r="B24" i="12"/>
  <c r="A24" i="12"/>
  <c r="T23" i="12"/>
  <c r="W23" i="12" s="1"/>
  <c r="S23" i="12"/>
  <c r="O23" i="12"/>
  <c r="V23" i="12" s="1"/>
  <c r="N23" i="12"/>
  <c r="J23" i="12"/>
  <c r="U23" i="12" s="1"/>
  <c r="I23" i="12"/>
  <c r="D23" i="12"/>
  <c r="C23" i="12"/>
  <c r="B23" i="12"/>
  <c r="A23" i="12"/>
  <c r="T22" i="12"/>
  <c r="W22" i="12" s="1"/>
  <c r="S22" i="12"/>
  <c r="O22" i="12"/>
  <c r="V22" i="12" s="1"/>
  <c r="N22" i="12"/>
  <c r="J22" i="12"/>
  <c r="U22" i="12" s="1"/>
  <c r="I22" i="12"/>
  <c r="D22" i="12"/>
  <c r="C22" i="12"/>
  <c r="B22" i="12"/>
  <c r="A22" i="12"/>
  <c r="T21" i="12"/>
  <c r="W21" i="12" s="1"/>
  <c r="S21" i="12"/>
  <c r="O21" i="12"/>
  <c r="V21" i="12" s="1"/>
  <c r="N21" i="12"/>
  <c r="J21" i="12"/>
  <c r="U21" i="12" s="1"/>
  <c r="I21" i="12"/>
  <c r="D21" i="12"/>
  <c r="C21" i="12"/>
  <c r="B21" i="12"/>
  <c r="A21" i="12"/>
  <c r="T20" i="12"/>
  <c r="W20" i="12" s="1"/>
  <c r="S20" i="12"/>
  <c r="O20" i="12"/>
  <c r="V20" i="12" s="1"/>
  <c r="N20" i="12"/>
  <c r="J20" i="12"/>
  <c r="U20" i="12" s="1"/>
  <c r="I20" i="12"/>
  <c r="D20" i="12"/>
  <c r="C20" i="12"/>
  <c r="B20" i="12"/>
  <c r="A20" i="12"/>
  <c r="T19" i="12"/>
  <c r="W19" i="12" s="1"/>
  <c r="S19" i="12"/>
  <c r="O19" i="12"/>
  <c r="V19" i="12" s="1"/>
  <c r="N19" i="12"/>
  <c r="J19" i="12"/>
  <c r="U19" i="12" s="1"/>
  <c r="I19" i="12"/>
  <c r="D19" i="12"/>
  <c r="C19" i="12"/>
  <c r="B19" i="12"/>
  <c r="A19" i="12"/>
  <c r="T18" i="12"/>
  <c r="W18" i="12" s="1"/>
  <c r="S18" i="12"/>
  <c r="O18" i="12"/>
  <c r="V18" i="12" s="1"/>
  <c r="N18" i="12"/>
  <c r="J18" i="12"/>
  <c r="U18" i="12" s="1"/>
  <c r="I18" i="12"/>
  <c r="D18" i="12"/>
  <c r="C18" i="12"/>
  <c r="B18" i="12"/>
  <c r="A18" i="12"/>
  <c r="T17" i="12"/>
  <c r="W17" i="12" s="1"/>
  <c r="S17" i="12"/>
  <c r="O17" i="12"/>
  <c r="V17" i="12" s="1"/>
  <c r="N17" i="12"/>
  <c r="J17" i="12"/>
  <c r="U17" i="12" s="1"/>
  <c r="I17" i="12"/>
  <c r="D17" i="12"/>
  <c r="C17" i="12"/>
  <c r="B17" i="12"/>
  <c r="A17" i="12"/>
  <c r="T16" i="12"/>
  <c r="W16" i="12" s="1"/>
  <c r="S16" i="12"/>
  <c r="O16" i="12"/>
  <c r="V16" i="12" s="1"/>
  <c r="N16" i="12"/>
  <c r="J16" i="12"/>
  <c r="U16" i="12" s="1"/>
  <c r="I16" i="12"/>
  <c r="D16" i="12"/>
  <c r="C16" i="12"/>
  <c r="B16" i="12"/>
  <c r="A16" i="12"/>
  <c r="T15" i="12"/>
  <c r="W15" i="12" s="1"/>
  <c r="S15" i="12"/>
  <c r="O15" i="12"/>
  <c r="V15" i="12" s="1"/>
  <c r="N15" i="12"/>
  <c r="J15" i="12"/>
  <c r="U15" i="12" s="1"/>
  <c r="I15" i="12"/>
  <c r="D15" i="12"/>
  <c r="C15" i="12"/>
  <c r="B15" i="12"/>
  <c r="A15" i="12"/>
  <c r="T14" i="12"/>
  <c r="W14" i="12" s="1"/>
  <c r="S14" i="12"/>
  <c r="O14" i="12"/>
  <c r="V14" i="12" s="1"/>
  <c r="N14" i="12"/>
  <c r="J14" i="12"/>
  <c r="U14" i="12" s="1"/>
  <c r="I14" i="12"/>
  <c r="D14" i="12"/>
  <c r="C14" i="12"/>
  <c r="B14" i="12"/>
  <c r="A14" i="12"/>
  <c r="T13" i="12"/>
  <c r="W13" i="12" s="1"/>
  <c r="S13" i="12"/>
  <c r="O13" i="12"/>
  <c r="V13" i="12" s="1"/>
  <c r="N13" i="12"/>
  <c r="J13" i="12"/>
  <c r="U13" i="12" s="1"/>
  <c r="I13" i="12"/>
  <c r="D13" i="12"/>
  <c r="C13" i="12"/>
  <c r="B13" i="12"/>
  <c r="A13" i="12"/>
  <c r="D12" i="12"/>
  <c r="D11" i="12"/>
  <c r="N10" i="12"/>
  <c r="D10" i="12"/>
  <c r="N9" i="12"/>
  <c r="D9" i="12"/>
  <c r="C9" i="12"/>
  <c r="C10" i="12" s="1"/>
  <c r="S8" i="12"/>
  <c r="I8" i="12"/>
  <c r="D8" i="12"/>
  <c r="C8" i="12"/>
  <c r="N8" i="12" s="1"/>
  <c r="S7" i="12"/>
  <c r="I7" i="12"/>
  <c r="D7" i="12"/>
  <c r="C7" i="12"/>
  <c r="N7" i="12" s="1"/>
  <c r="D6" i="12"/>
  <c r="B6" i="12"/>
  <c r="B7" i="12" s="1"/>
  <c r="S5" i="12"/>
  <c r="N5" i="12"/>
  <c r="D5" i="12"/>
  <c r="C5" i="12"/>
  <c r="I5" i="12" s="1"/>
  <c r="B5" i="12"/>
  <c r="S4" i="12"/>
  <c r="T4" i="12" s="1"/>
  <c r="N4" i="12"/>
  <c r="O4" i="12" s="1"/>
  <c r="V4" i="12" s="1"/>
  <c r="I4" i="12"/>
  <c r="J4" i="12" s="1"/>
  <c r="W3" i="12"/>
  <c r="V3" i="12"/>
  <c r="U3" i="12"/>
  <c r="W2" i="12"/>
  <c r="V2" i="12"/>
  <c r="U2" i="12"/>
  <c r="T5" i="12" l="1"/>
  <c r="W4" i="12"/>
  <c r="S10" i="12"/>
  <c r="I10" i="12"/>
  <c r="C11" i="12"/>
  <c r="J5" i="12"/>
  <c r="U4" i="12"/>
  <c r="B8" i="12"/>
  <c r="A8" i="12" s="1"/>
  <c r="C6" i="12"/>
  <c r="O5" i="12"/>
  <c r="A5" i="12"/>
  <c r="A6" i="12" s="1"/>
  <c r="A7" i="12" s="1"/>
  <c r="I9" i="12"/>
  <c r="S9" i="12"/>
  <c r="S6" i="12" l="1"/>
  <c r="T6" i="12" s="1"/>
  <c r="I6" i="12"/>
  <c r="J6" i="12" s="1"/>
  <c r="N6" i="12"/>
  <c r="O6" i="12" s="1"/>
  <c r="U5" i="12"/>
  <c r="V5" i="12"/>
  <c r="B9" i="12"/>
  <c r="C12" i="12"/>
  <c r="N11" i="12"/>
  <c r="S11" i="12"/>
  <c r="I11" i="12"/>
  <c r="W5" i="12"/>
  <c r="O7" i="12" l="1"/>
  <c r="V6" i="12"/>
  <c r="J7" i="12"/>
  <c r="U6" i="12"/>
  <c r="B10" i="12"/>
  <c r="W6" i="12"/>
  <c r="T7" i="12"/>
  <c r="N12" i="12"/>
  <c r="S12" i="12"/>
  <c r="I12" i="12"/>
  <c r="A9" i="12"/>
  <c r="J8" i="12" l="1"/>
  <c r="U7" i="12"/>
  <c r="B11" i="12"/>
  <c r="T8" i="12"/>
  <c r="W7" i="12"/>
  <c r="A10" i="12"/>
  <c r="A11" i="12" s="1"/>
  <c r="V7" i="12"/>
  <c r="O8" i="12"/>
  <c r="T9" i="12" l="1"/>
  <c r="W8" i="12"/>
  <c r="O9" i="12"/>
  <c r="V8" i="12"/>
  <c r="J9" i="12"/>
  <c r="U8" i="12"/>
  <c r="B12" i="12"/>
  <c r="A12" i="12"/>
  <c r="O10" i="12" l="1"/>
  <c r="V9" i="12"/>
  <c r="U9" i="12"/>
  <c r="J10" i="12"/>
  <c r="T10" i="12"/>
  <c r="W9" i="12"/>
  <c r="U10" i="12" l="1"/>
  <c r="J11" i="12"/>
  <c r="W10" i="12"/>
  <c r="T11" i="12"/>
  <c r="O11" i="12"/>
  <c r="V10" i="12"/>
  <c r="V11" i="12" l="1"/>
  <c r="O12" i="12"/>
  <c r="V12" i="12" s="1"/>
  <c r="T12" i="12"/>
  <c r="W12" i="12" s="1"/>
  <c r="W11" i="12"/>
  <c r="J12" i="12"/>
  <c r="U12" i="12" s="1"/>
  <c r="U11" i="12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W3" i="1" l="1"/>
  <c r="V3" i="1"/>
  <c r="U3" i="1"/>
  <c r="L12" i="10" l="1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W2" i="1" l="1"/>
  <c r="V2" i="1"/>
  <c r="U2" i="1"/>
  <c r="B2" i="10" l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J5" i="1" s="1"/>
  <c r="U5" i="1" s="1"/>
  <c r="I6" i="1"/>
  <c r="N6" i="1"/>
  <c r="C5" i="1"/>
  <c r="B5" i="1"/>
  <c r="B6" i="1" s="1"/>
  <c r="A5" i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U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 l="1"/>
  <c r="A6" i="1"/>
  <c r="A8" i="1"/>
  <c r="B9" i="1"/>
  <c r="A9" i="1" s="1"/>
  <c r="O4" i="1"/>
  <c r="V4" i="1" s="1"/>
  <c r="O8" i="1"/>
  <c r="V8" i="1" s="1"/>
  <c r="O9" i="1"/>
  <c r="V9" i="1" s="1"/>
  <c r="T7" i="1"/>
  <c r="W7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15" i="1"/>
  <c r="W15" i="1" s="1"/>
  <c r="T14" i="1"/>
  <c r="W14" i="1" s="1"/>
  <c r="T13" i="1"/>
  <c r="W13" i="1" s="1"/>
  <c r="T12" i="1"/>
  <c r="W12" i="1" s="1"/>
  <c r="T11" i="1"/>
  <c r="W11" i="1" s="1"/>
  <c r="T10" i="1"/>
  <c r="W10" i="1" s="1"/>
  <c r="T8" i="1"/>
  <c r="W8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15" i="1"/>
  <c r="V15" i="1" s="1"/>
  <c r="O14" i="1"/>
  <c r="V14" i="1" s="1"/>
  <c r="O13" i="1"/>
  <c r="V13" i="1" s="1"/>
  <c r="O12" i="1"/>
  <c r="V12" i="1" s="1"/>
  <c r="O11" i="1"/>
  <c r="V11" i="1" s="1"/>
  <c r="O10" i="1"/>
  <c r="V10" i="1" s="1"/>
  <c r="O7" i="1"/>
  <c r="V7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15" i="1"/>
  <c r="U15" i="1" s="1"/>
  <c r="J14" i="1"/>
  <c r="U14" i="1" s="1"/>
  <c r="J13" i="1"/>
  <c r="U13" i="1" s="1"/>
  <c r="J12" i="1"/>
  <c r="U12" i="1" s="1"/>
  <c r="J11" i="1"/>
  <c r="U11" i="1" s="1"/>
  <c r="J10" i="1"/>
  <c r="U10" i="1" s="1"/>
  <c r="J9" i="1"/>
  <c r="U9" i="1" s="1"/>
  <c r="J8" i="1"/>
  <c r="U8" i="1" s="1"/>
  <c r="J7" i="1"/>
  <c r="U7" i="1" s="1"/>
  <c r="J6" i="1"/>
  <c r="U6" i="1" s="1"/>
  <c r="T5" i="1" l="1"/>
  <c r="W5" i="1" s="1"/>
  <c r="O6" i="1"/>
  <c r="V6" i="1" s="1"/>
  <c r="B10" i="1"/>
  <c r="B11" i="1" s="1"/>
  <c r="T9" i="1"/>
  <c r="W9" i="1" s="1"/>
  <c r="T6" i="1" l="1"/>
  <c r="W6" i="1" s="1"/>
  <c r="A10" i="1"/>
  <c r="A11" i="1"/>
  <c r="B12" i="1"/>
  <c r="B13" i="1" l="1"/>
  <c r="A13" i="1"/>
  <c r="A12" i="1"/>
  <c r="B14" i="1" l="1"/>
  <c r="A14" i="1" s="1"/>
</calcChain>
</file>

<file path=xl/sharedStrings.xml><?xml version="1.0" encoding="utf-8"?>
<sst xmlns="http://schemas.openxmlformats.org/spreadsheetml/2006/main" count="650" uniqueCount="33">
  <si>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</si>
  <si>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</si>
  <si>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</si>
  <si>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</si>
  <si>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</si>
  <si>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</si>
  <si>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</si>
  <si>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</si>
  <si>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</si>
  <si>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</si>
  <si>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</si>
  <si>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</si>
  <si>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</si>
  <si>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</si>
  <si>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</si>
  <si>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</si>
  <si>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</si>
  <si>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</si>
  <si>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</si>
  <si>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</si>
  <si>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</si>
  <si>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</si>
  <si>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</si>
  <si>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</si>
  <si>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たかの</t>
  </si>
  <si>
    <t>たかの</t>
    <phoneticPr fontId="1"/>
  </si>
  <si>
    <t>やがさき</t>
  </si>
  <si>
    <t>やがさき</t>
    <phoneticPr fontId="1"/>
  </si>
  <si>
    <t>流局</t>
  </si>
  <si>
    <t>ロン</t>
  </si>
  <si>
    <t>放銃</t>
  </si>
  <si>
    <t>ツモ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</si>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</sst>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4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たかの</v>
      </c>
      <c r="W2" s="22" t="str">
        <f>$P$1</f>
        <v>やがさき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22</v>
      </c>
      <c r="F4" s="10" t="s">
        <v>28</v>
      </c>
      <c r="G4" s="11">
        <v>0</v>
      </c>
      <c r="H4" s="11"/>
      <c r="I4" s="12" t="str">
        <f>IF(OR(F4="ロン",F4="ツモ"),$C4*1000,IF(F4="放銃",$C4*-1000,IF(F4="ツモ支払",$C4*-500,"")))</f>
        <v/>
      </c>
      <c r="J4" s="36">
        <f t="shared" ref="J4:J30" si="0">IF(COUNTA($F4,$K4,$P4)&gt;0,J3+SUM(G4:I4),"")</f>
        <v>35000</v>
      </c>
      <c r="K4" s="10" t="s">
        <v>28</v>
      </c>
      <c r="L4" s="11">
        <v>0</v>
      </c>
      <c r="M4" s="11">
        <v>-1000</v>
      </c>
      <c r="N4" s="12" t="str">
        <f>IF(OR(K4="ロン",K4="ツモ"),$C4*1000,IF(K4="放銃",$C4*-1000,IF(K4="ツモ支払",$C4*-500,"")))</f>
        <v/>
      </c>
      <c r="O4" s="36">
        <f t="shared" ref="O4:O30" si="1">IF(COUNTA($F4,$K4,$P4)&gt;0,O3+SUM(L4:N4),"")</f>
        <v>34000</v>
      </c>
      <c r="P4" s="10" t="s">
        <v>28</v>
      </c>
      <c r="Q4" s="11">
        <v>0</v>
      </c>
      <c r="R4" s="11"/>
      <c r="S4" s="12" t="str">
        <f>IF(OR(P4="ロン",P4="ツモ"),$C4*1000,IF(P4="放銃",$C4*-1000,IF(P4="ツモ支払",$C4*-500,"")))</f>
        <v/>
      </c>
      <c r="T4" s="36">
        <f t="shared" ref="T4:T30" si="2">IF(COUNTA($F4,$K4,$P4)&gt;0,T3+SUM(Q4:S4),"")</f>
        <v>35000</v>
      </c>
      <c r="U4" s="26">
        <f t="shared" ref="U4:U30" si="3">IF($J4="","",ROUND(($J4-$J$3)/1000,0))</f>
        <v>0</v>
      </c>
      <c r="V4" s="27">
        <f t="shared" ref="V4:V30" si="4">IF($O4="","",ROUND(($O4-$O$3)/1000,0))</f>
        <v>-1</v>
      </c>
      <c r="W4" s="28">
        <f t="shared" ref="W4:W30" si="5">IF($T4="","",ROUND(($T4-$T$3)/1000,0))</f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1</v>
      </c>
      <c r="C5" s="33">
        <f>IF($E5="","",IF($E4=$E5,C4+1,0))</f>
        <v>1</v>
      </c>
      <c r="D5" s="33">
        <f>IF($E5="","",IF(OR($F4="流局",$F4="チョンボ"),D4+($H4+$M4+$R4)/-1000,0))</f>
        <v>1</v>
      </c>
      <c r="E5" s="5" t="s">
        <v>22</v>
      </c>
      <c r="F5" s="10" t="s">
        <v>29</v>
      </c>
      <c r="G5" s="11">
        <v>9600</v>
      </c>
      <c r="H5" s="11">
        <v>1000</v>
      </c>
      <c r="I5" s="12">
        <f>IF(OR(F5="ロン",F5="ツモ"),$C5*1000,IF(F5="放銃",$C5*-1000,IF(F5="ツモ支払",$C5*-500,"")))</f>
        <v>1000</v>
      </c>
      <c r="J5" s="36">
        <f t="shared" si="0"/>
        <v>46600</v>
      </c>
      <c r="K5" s="10" t="s">
        <v>30</v>
      </c>
      <c r="L5" s="11">
        <v>-9600</v>
      </c>
      <c r="M5" s="11"/>
      <c r="N5" s="12">
        <f t="shared" ref="N5:N30" si="6">IF(OR(K5="ロン",K5="ツモ"),$C5*1000,IF(K5="放銃",$C5*-1000,IF(K5="ツモ支払",$C5*-500,"")))</f>
        <v>-1000</v>
      </c>
      <c r="O5" s="36">
        <f t="shared" si="1"/>
        <v>23400</v>
      </c>
      <c r="P5" s="10"/>
      <c r="Q5" s="11"/>
      <c r="R5" s="11"/>
      <c r="S5" s="12" t="str">
        <f t="shared" ref="S5:S30" si="7">IF(OR(P5="ロン",P5="ツモ"),$C5*1000,IF(P5="放銃",$C5*-1000,IF(P5="ツモ支払",$C5*-500,"")))</f>
        <v/>
      </c>
      <c r="T5" s="36">
        <f t="shared" si="2"/>
        <v>35000</v>
      </c>
      <c r="U5" s="26">
        <f t="shared" si="3"/>
        <v>12</v>
      </c>
      <c r="V5" s="27">
        <f t="shared" si="4"/>
        <v>-12</v>
      </c>
      <c r="W5" s="28">
        <f t="shared" si="5"/>
        <v>0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1</v>
      </c>
      <c r="C6" s="33">
        <f t="shared" ref="C6:C30" si="10">IF($E6="","",IF($E5=$E6,C5+1,0))</f>
        <v>2</v>
      </c>
      <c r="D6" s="33">
        <f t="shared" ref="D6:D30" si="11">IF($E6="","",IF(OR($F5="流局",$F5="チョンボ"),D5+($H5+$M5+$R5)/-1000,0))</f>
        <v>0</v>
      </c>
      <c r="E6" s="5" t="s">
        <v>22</v>
      </c>
      <c r="F6" s="10" t="s">
        <v>32</v>
      </c>
      <c r="G6" s="11">
        <v>-1300</v>
      </c>
      <c r="H6" s="11">
        <v>-1000</v>
      </c>
      <c r="I6" s="12">
        <f t="shared" ref="I6:I30" si="12">IF(OR(F6="ロン",F6="ツモ"),$C6*1000,IF(F6="放銃",$C6*-1000,IF(F6="ツモ支払",$C6*-500,"")))</f>
        <v>-1000</v>
      </c>
      <c r="J6" s="36">
        <f t="shared" si="0"/>
        <v>43300</v>
      </c>
      <c r="K6" s="10" t="s">
        <v>31</v>
      </c>
      <c r="L6" s="11">
        <v>2100</v>
      </c>
      <c r="M6" s="11">
        <v>1000</v>
      </c>
      <c r="N6" s="12">
        <f t="shared" si="6"/>
        <v>2000</v>
      </c>
      <c r="O6" s="36">
        <f t="shared" si="1"/>
        <v>28500</v>
      </c>
      <c r="P6" s="10" t="s">
        <v>32</v>
      </c>
      <c r="Q6" s="11">
        <v>-800</v>
      </c>
      <c r="R6" s="11"/>
      <c r="S6" s="12">
        <f t="shared" si="7"/>
        <v>-1000</v>
      </c>
      <c r="T6" s="36">
        <f t="shared" si="2"/>
        <v>33200</v>
      </c>
      <c r="U6" s="26">
        <f t="shared" si="3"/>
        <v>8</v>
      </c>
      <c r="V6" s="27">
        <f t="shared" si="4"/>
        <v>-7</v>
      </c>
      <c r="W6" s="28">
        <f t="shared" si="5"/>
        <v>-2</v>
      </c>
    </row>
    <row r="7" spans="1:23" x14ac:dyDescent="0.4">
      <c r="A7" s="17" t="str">
        <f t="shared" si="8"/>
        <v>東</v>
      </c>
      <c r="B7" s="33">
        <f t="shared" si="9"/>
        <v>2</v>
      </c>
      <c r="C7" s="33">
        <f t="shared" si="10"/>
        <v>0</v>
      </c>
      <c r="D7" s="33">
        <f t="shared" si="11"/>
        <v>0</v>
      </c>
      <c r="E7" s="5" t="s">
        <v>24</v>
      </c>
      <c r="F7" s="10" t="s">
        <v>29</v>
      </c>
      <c r="G7" s="11">
        <v>8000</v>
      </c>
      <c r="H7" s="11"/>
      <c r="I7" s="12">
        <f t="shared" si="12"/>
        <v>0</v>
      </c>
      <c r="J7" s="36">
        <f t="shared" si="0"/>
        <v>51300</v>
      </c>
      <c r="K7" s="10" t="s">
        <v>30</v>
      </c>
      <c r="L7" s="11">
        <v>-8000</v>
      </c>
      <c r="M7" s="11"/>
      <c r="N7" s="12">
        <f t="shared" si="6"/>
        <v>0</v>
      </c>
      <c r="O7" s="36">
        <f t="shared" si="1"/>
        <v>20500</v>
      </c>
      <c r="P7" s="10"/>
      <c r="Q7" s="11"/>
      <c r="R7" s="11"/>
      <c r="S7" s="12" t="str">
        <f t="shared" si="7"/>
        <v/>
      </c>
      <c r="T7" s="36">
        <f t="shared" si="2"/>
        <v>33200</v>
      </c>
      <c r="U7" s="26">
        <f t="shared" si="3"/>
        <v>16</v>
      </c>
      <c r="V7" s="27">
        <f t="shared" si="4"/>
        <v>-15</v>
      </c>
      <c r="W7" s="28">
        <f t="shared" si="5"/>
        <v>-2</v>
      </c>
    </row>
    <row r="8" spans="1:23" x14ac:dyDescent="0.4">
      <c r="A8" s="17" t="str">
        <f t="shared" si="8"/>
        <v>東</v>
      </c>
      <c r="B8" s="33">
        <f t="shared" si="9"/>
        <v>3</v>
      </c>
      <c r="C8" s="33">
        <f t="shared" si="10"/>
        <v>0</v>
      </c>
      <c r="D8" s="33">
        <f t="shared" si="11"/>
        <v>0</v>
      </c>
      <c r="E8" s="5" t="s">
        <v>26</v>
      </c>
      <c r="F8" s="10" t="s">
        <v>29</v>
      </c>
      <c r="G8" s="11">
        <v>12000</v>
      </c>
      <c r="H8" s="11"/>
      <c r="I8" s="12">
        <f t="shared" si="12"/>
        <v>0</v>
      </c>
      <c r="J8" s="36">
        <f t="shared" si="0"/>
        <v>63300</v>
      </c>
      <c r="K8" s="10" t="s">
        <v>30</v>
      </c>
      <c r="L8" s="11">
        <v>-12000</v>
      </c>
      <c r="M8" s="11"/>
      <c r="N8" s="12">
        <f t="shared" si="6"/>
        <v>0</v>
      </c>
      <c r="O8" s="36">
        <f t="shared" si="1"/>
        <v>8500</v>
      </c>
      <c r="P8" s="10"/>
      <c r="Q8" s="11"/>
      <c r="R8" s="11"/>
      <c r="S8" s="12" t="str">
        <f t="shared" si="7"/>
        <v/>
      </c>
      <c r="T8" s="36">
        <f t="shared" si="2"/>
        <v>33200</v>
      </c>
      <c r="U8" s="26">
        <f t="shared" si="3"/>
        <v>28</v>
      </c>
      <c r="V8" s="27">
        <f t="shared" si="4"/>
        <v>-27</v>
      </c>
      <c r="W8" s="28">
        <f t="shared" si="5"/>
        <v>-2</v>
      </c>
    </row>
    <row r="9" spans="1:23" x14ac:dyDescent="0.4">
      <c r="A9" s="17" t="str">
        <f t="shared" si="8"/>
        <v>南</v>
      </c>
      <c r="B9" s="33">
        <f t="shared" si="9"/>
        <v>1</v>
      </c>
      <c r="C9" s="33">
        <f t="shared" si="10"/>
        <v>0</v>
      </c>
      <c r="D9" s="33">
        <f t="shared" si="11"/>
        <v>0</v>
      </c>
      <c r="E9" s="5" t="s">
        <v>22</v>
      </c>
      <c r="F9" s="10" t="s">
        <v>29</v>
      </c>
      <c r="G9" s="11">
        <v>7700</v>
      </c>
      <c r="H9" s="11"/>
      <c r="I9" s="12">
        <f t="shared" si="12"/>
        <v>0</v>
      </c>
      <c r="J9" s="36">
        <f t="shared" si="0"/>
        <v>71000</v>
      </c>
      <c r="K9" s="10"/>
      <c r="L9" s="11"/>
      <c r="M9" s="11"/>
      <c r="N9" s="12" t="str">
        <f t="shared" si="6"/>
        <v/>
      </c>
      <c r="O9" s="36">
        <f t="shared" si="1"/>
        <v>8500</v>
      </c>
      <c r="P9" s="10" t="s">
        <v>30</v>
      </c>
      <c r="Q9" s="11">
        <v>-7700</v>
      </c>
      <c r="R9" s="11"/>
      <c r="S9" s="12">
        <f t="shared" si="7"/>
        <v>0</v>
      </c>
      <c r="T9" s="36">
        <f t="shared" si="2"/>
        <v>25500</v>
      </c>
      <c r="U9" s="26">
        <f t="shared" si="3"/>
        <v>36</v>
      </c>
      <c r="V9" s="27">
        <f t="shared" si="4"/>
        <v>-27</v>
      </c>
      <c r="W9" s="28">
        <f t="shared" si="5"/>
        <v>-10</v>
      </c>
    </row>
    <row r="10" spans="1:23" x14ac:dyDescent="0.4">
      <c r="A10" s="17" t="str">
        <f t="shared" si="8"/>
        <v>南</v>
      </c>
      <c r="B10" s="33">
        <f t="shared" si="9"/>
        <v>1</v>
      </c>
      <c r="C10" s="33">
        <f t="shared" si="10"/>
        <v>1</v>
      </c>
      <c r="D10" s="33">
        <f t="shared" si="11"/>
        <v>0</v>
      </c>
      <c r="E10" s="5" t="s">
        <v>22</v>
      </c>
      <c r="F10" s="10" t="s">
        <v>29</v>
      </c>
      <c r="G10" s="11">
        <v>18000</v>
      </c>
      <c r="H10" s="11"/>
      <c r="I10" s="12">
        <f t="shared" si="12"/>
        <v>1000</v>
      </c>
      <c r="J10" s="36">
        <f t="shared" si="0"/>
        <v>90000</v>
      </c>
      <c r="K10" s="10"/>
      <c r="L10" s="11"/>
      <c r="M10" s="11"/>
      <c r="N10" s="12" t="str">
        <f t="shared" si="6"/>
        <v/>
      </c>
      <c r="O10" s="36">
        <f t="shared" si="1"/>
        <v>8500</v>
      </c>
      <c r="P10" s="10" t="s">
        <v>30</v>
      </c>
      <c r="Q10" s="11">
        <v>-18000</v>
      </c>
      <c r="R10" s="11"/>
      <c r="S10" s="12">
        <f t="shared" si="7"/>
        <v>-1000</v>
      </c>
      <c r="T10" s="36">
        <f t="shared" si="2"/>
        <v>6500</v>
      </c>
      <c r="U10" s="26">
        <f t="shared" si="3"/>
        <v>55</v>
      </c>
      <c r="V10" s="27">
        <f t="shared" si="4"/>
        <v>-27</v>
      </c>
      <c r="W10" s="28">
        <f t="shared" si="5"/>
        <v>-29</v>
      </c>
    </row>
    <row r="11" spans="1:23" x14ac:dyDescent="0.4">
      <c r="A11" s="17" t="str">
        <f t="shared" si="8"/>
        <v>南</v>
      </c>
      <c r="B11" s="33">
        <f t="shared" si="9"/>
        <v>1</v>
      </c>
      <c r="C11" s="33">
        <f t="shared" si="10"/>
        <v>2</v>
      </c>
      <c r="D11" s="33">
        <f t="shared" si="11"/>
        <v>0</v>
      </c>
      <c r="E11" s="5" t="s">
        <v>22</v>
      </c>
      <c r="F11" s="10" t="s">
        <v>31</v>
      </c>
      <c r="G11" s="11">
        <v>7800</v>
      </c>
      <c r="H11" s="11"/>
      <c r="I11" s="12">
        <f t="shared" si="12"/>
        <v>2000</v>
      </c>
      <c r="J11" s="36">
        <f t="shared" si="0"/>
        <v>99800</v>
      </c>
      <c r="K11" s="10" t="s">
        <v>32</v>
      </c>
      <c r="L11" s="11">
        <v>-3900</v>
      </c>
      <c r="M11" s="11"/>
      <c r="N11" s="12">
        <f t="shared" si="6"/>
        <v>-1000</v>
      </c>
      <c r="O11" s="36">
        <f t="shared" si="1"/>
        <v>3600</v>
      </c>
      <c r="P11" s="10" t="s">
        <v>32</v>
      </c>
      <c r="Q11" s="11">
        <v>-3900</v>
      </c>
      <c r="R11" s="11"/>
      <c r="S11" s="12">
        <f t="shared" si="7"/>
        <v>-1000</v>
      </c>
      <c r="T11" s="36">
        <f t="shared" si="2"/>
        <v>1600</v>
      </c>
      <c r="U11" s="26">
        <f t="shared" si="3"/>
        <v>65</v>
      </c>
      <c r="V11" s="27">
        <f t="shared" si="4"/>
        <v>-31</v>
      </c>
      <c r="W11" s="28">
        <f t="shared" si="5"/>
        <v>-33</v>
      </c>
    </row>
    <row r="12" spans="1:23" x14ac:dyDescent="0.4">
      <c r="A12" s="17" t="str">
        <f t="shared" si="8"/>
        <v>南</v>
      </c>
      <c r="B12" s="33">
        <f t="shared" si="9"/>
        <v>1</v>
      </c>
      <c r="C12" s="33">
        <f t="shared" si="10"/>
        <v>3</v>
      </c>
      <c r="D12" s="33">
        <f t="shared" si="11"/>
        <v>0</v>
      </c>
      <c r="E12" s="5" t="s">
        <v>22</v>
      </c>
      <c r="F12" s="10" t="s">
        <v>32</v>
      </c>
      <c r="G12" s="11">
        <v>-10000</v>
      </c>
      <c r="H12" s="11"/>
      <c r="I12" s="12">
        <f t="shared" si="12"/>
        <v>-1500</v>
      </c>
      <c r="J12" s="36">
        <f t="shared" si="0"/>
        <v>88300</v>
      </c>
      <c r="K12" s="10" t="s">
        <v>32</v>
      </c>
      <c r="L12" s="11">
        <v>-6000</v>
      </c>
      <c r="M12" s="11"/>
      <c r="N12" s="12">
        <f t="shared" si="6"/>
        <v>-1500</v>
      </c>
      <c r="O12" s="36">
        <f t="shared" si="1"/>
        <v>-3900</v>
      </c>
      <c r="P12" s="10" t="s">
        <v>31</v>
      </c>
      <c r="Q12" s="11">
        <v>16000</v>
      </c>
      <c r="R12" s="11"/>
      <c r="S12" s="12">
        <f t="shared" si="7"/>
        <v>3000</v>
      </c>
      <c r="T12" s="36">
        <f t="shared" si="2"/>
        <v>20600</v>
      </c>
      <c r="U12" s="26">
        <f t="shared" si="3"/>
        <v>53</v>
      </c>
      <c r="V12" s="27">
        <f t="shared" si="4"/>
        <v>-39</v>
      </c>
      <c r="W12" s="28">
        <f t="shared" si="5"/>
        <v>-14</v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3" priority="2">
      <formula>IF(AND(G4&lt;&gt;"",F4&lt;&gt;"流局",F4&lt;&gt;"チョンボ"),SUM($G4:$I4,$L4:$N4,$Q4:$S4)-$D4*1000)</formula>
    </cfRule>
  </conditionalFormatting>
  <conditionalFormatting sqref="F1:T1">
    <cfRule type="duplicateValues" dxfId="22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14AF4-2B4F-4A6A-956E-DDCF1C253299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たかの</v>
      </c>
      <c r="W2" s="22" t="str">
        <f>$P$1</f>
        <v>やがさき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26</v>
      </c>
      <c r="F4" s="10" t="s">
        <v>32</v>
      </c>
      <c r="G4" s="11">
        <v>-18000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17000</v>
      </c>
      <c r="K4" s="10" t="s">
        <v>32</v>
      </c>
      <c r="L4" s="11">
        <v>-18000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17000</v>
      </c>
      <c r="P4" s="10" t="s">
        <v>31</v>
      </c>
      <c r="Q4" s="11">
        <v>36000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71000</v>
      </c>
      <c r="U4" s="26">
        <f t="shared" ref="U4:U30" si="3">IF($J4="","",ROUND(($J4-$J$3)/1000,0))</f>
        <v>-18</v>
      </c>
      <c r="V4" s="27">
        <f t="shared" ref="V4:V30" si="4">IF($O4="","",ROUND(($O4-$O$3)/1000,0))</f>
        <v>-18</v>
      </c>
      <c r="W4" s="28">
        <f t="shared" ref="W4:W30" si="5">IF($T4="","",ROUND(($T4-$T$3)/1000,0))</f>
        <v>36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1</v>
      </c>
      <c r="C5" s="33">
        <f>IF($E5="","",IF($E4=$E5,C4+1,0))</f>
        <v>1</v>
      </c>
      <c r="D5" s="33">
        <f>IF($E5="","",IF(OR($F4="流局",$F4="チョンボ"),D4+($H4+$M4+$R4)/-1000,0))</f>
        <v>0</v>
      </c>
      <c r="E5" s="5" t="s">
        <v>26</v>
      </c>
      <c r="F5" s="10" t="s">
        <v>32</v>
      </c>
      <c r="G5" s="11">
        <v>-9000</v>
      </c>
      <c r="H5" s="11"/>
      <c r="I5" s="12">
        <f>IF(OR(F5="ロン",F5="ツモ"),$C5*1000,IF(F5="放銃",$C5*-1000,IF(F5="ツモ支払",$C5*-500,"")))</f>
        <v>-500</v>
      </c>
      <c r="J5" s="36">
        <f t="shared" si="0"/>
        <v>7500</v>
      </c>
      <c r="K5" s="10" t="s">
        <v>32</v>
      </c>
      <c r="L5" s="11">
        <v>-9000</v>
      </c>
      <c r="M5" s="11"/>
      <c r="N5" s="12">
        <f t="shared" ref="N5:N30" si="6">IF(OR(K5="ロン",K5="ツモ"),$C5*1000,IF(K5="放銃",$C5*-1000,IF(K5="ツモ支払",$C5*-500,"")))</f>
        <v>-500</v>
      </c>
      <c r="O5" s="36">
        <f t="shared" si="1"/>
        <v>7500</v>
      </c>
      <c r="P5" s="10" t="s">
        <v>31</v>
      </c>
      <c r="Q5" s="11">
        <v>18000</v>
      </c>
      <c r="R5" s="11"/>
      <c r="S5" s="12">
        <f t="shared" ref="S5:S30" si="7">IF(OR(P5="ロン",P5="ツモ"),$C5*1000,IF(P5="放銃",$C5*-1000,IF(P5="ツモ支払",$C5*-500,"")))</f>
        <v>1000</v>
      </c>
      <c r="T5" s="36">
        <f t="shared" si="2"/>
        <v>90000</v>
      </c>
      <c r="U5" s="26">
        <f t="shared" si="3"/>
        <v>-28</v>
      </c>
      <c r="V5" s="27">
        <f t="shared" si="4"/>
        <v>-28</v>
      </c>
      <c r="W5" s="28">
        <f t="shared" si="5"/>
        <v>55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1</v>
      </c>
      <c r="C6" s="33">
        <f t="shared" ref="C6:C30" si="10">IF($E6="","",IF($E5=$E6,C5+1,0))</f>
        <v>2</v>
      </c>
      <c r="D6" s="33">
        <f t="shared" ref="D6:D30" si="11">IF($E6="","",IF(OR($F5="流局",$F5="チョンボ"),D5+($H5+$M5+$R5)/-1000,0))</f>
        <v>0</v>
      </c>
      <c r="E6" s="5" t="s">
        <v>26</v>
      </c>
      <c r="F6" s="10" t="s">
        <v>28</v>
      </c>
      <c r="G6" s="11">
        <v>1500</v>
      </c>
      <c r="H6" s="11">
        <v>-1000</v>
      </c>
      <c r="I6" s="12" t="str">
        <f t="shared" ref="I6:I30" si="12">IF(OR(F6="ロン",F6="ツモ"),$C6*1000,IF(F6="放銃",$C6*-1000,IF(F6="ツモ支払",$C6*-500,"")))</f>
        <v/>
      </c>
      <c r="J6" s="36">
        <f t="shared" si="0"/>
        <v>8000</v>
      </c>
      <c r="K6" s="10" t="s">
        <v>28</v>
      </c>
      <c r="L6" s="11">
        <v>1500</v>
      </c>
      <c r="M6" s="11"/>
      <c r="N6" s="12" t="str">
        <f t="shared" si="6"/>
        <v/>
      </c>
      <c r="O6" s="36">
        <f t="shared" si="1"/>
        <v>9000</v>
      </c>
      <c r="P6" s="10" t="s">
        <v>28</v>
      </c>
      <c r="Q6" s="11">
        <v>-3000</v>
      </c>
      <c r="R6" s="11"/>
      <c r="S6" s="12" t="str">
        <f t="shared" si="7"/>
        <v/>
      </c>
      <c r="T6" s="36">
        <f t="shared" si="2"/>
        <v>87000</v>
      </c>
      <c r="U6" s="26">
        <f t="shared" si="3"/>
        <v>-27</v>
      </c>
      <c r="V6" s="27">
        <f t="shared" si="4"/>
        <v>-26</v>
      </c>
      <c r="W6" s="28">
        <f t="shared" si="5"/>
        <v>52</v>
      </c>
    </row>
    <row r="7" spans="1:23" x14ac:dyDescent="0.4">
      <c r="A7" s="17" t="str">
        <f t="shared" si="8"/>
        <v>東</v>
      </c>
      <c r="B7" s="33">
        <f t="shared" si="9"/>
        <v>2</v>
      </c>
      <c r="C7" s="33">
        <f t="shared" si="10"/>
        <v>0</v>
      </c>
      <c r="D7" s="33">
        <f t="shared" si="11"/>
        <v>1</v>
      </c>
      <c r="E7" s="5" t="s">
        <v>22</v>
      </c>
      <c r="F7" s="10" t="s">
        <v>29</v>
      </c>
      <c r="G7" s="11">
        <v>12000</v>
      </c>
      <c r="H7" s="11">
        <v>1000</v>
      </c>
      <c r="I7" s="12">
        <f t="shared" si="12"/>
        <v>0</v>
      </c>
      <c r="J7" s="36">
        <f t="shared" si="0"/>
        <v>21000</v>
      </c>
      <c r="K7" s="10" t="s">
        <v>30</v>
      </c>
      <c r="L7" s="11">
        <v>-12000</v>
      </c>
      <c r="M7" s="11"/>
      <c r="N7" s="12">
        <f t="shared" si="6"/>
        <v>0</v>
      </c>
      <c r="O7" s="36">
        <f t="shared" si="1"/>
        <v>-3000</v>
      </c>
      <c r="P7" s="10"/>
      <c r="Q7" s="11"/>
      <c r="R7" s="11"/>
      <c r="S7" s="12" t="str">
        <f t="shared" si="7"/>
        <v/>
      </c>
      <c r="T7" s="36">
        <f t="shared" si="2"/>
        <v>87000</v>
      </c>
      <c r="U7" s="26">
        <f t="shared" si="3"/>
        <v>-14</v>
      </c>
      <c r="V7" s="27">
        <f t="shared" si="4"/>
        <v>-38</v>
      </c>
      <c r="W7" s="28">
        <f t="shared" si="5"/>
        <v>52</v>
      </c>
    </row>
    <row r="8" spans="1:23" x14ac:dyDescent="0.4">
      <c r="A8" s="17" t="str">
        <f t="shared" si="8"/>
        <v/>
      </c>
      <c r="B8" s="33" t="str">
        <f t="shared" si="9"/>
        <v/>
      </c>
      <c r="C8" s="33" t="str">
        <f t="shared" si="10"/>
        <v/>
      </c>
      <c r="D8" s="33" t="str">
        <f t="shared" si="11"/>
        <v/>
      </c>
      <c r="E8" s="5"/>
      <c r="F8" s="10"/>
      <c r="G8" s="11"/>
      <c r="H8" s="11"/>
      <c r="I8" s="12" t="str">
        <f t="shared" si="12"/>
        <v/>
      </c>
      <c r="J8" s="36" t="str">
        <f t="shared" si="0"/>
        <v/>
      </c>
      <c r="K8" s="10"/>
      <c r="L8" s="11"/>
      <c r="M8" s="11"/>
      <c r="N8" s="12" t="str">
        <f t="shared" si="6"/>
        <v/>
      </c>
      <c r="O8" s="36" t="str">
        <f t="shared" si="1"/>
        <v/>
      </c>
      <c r="P8" s="10"/>
      <c r="Q8" s="11"/>
      <c r="R8" s="11"/>
      <c r="S8" s="12" t="str">
        <f t="shared" si="7"/>
        <v/>
      </c>
      <c r="T8" s="36" t="str">
        <f t="shared" si="2"/>
        <v/>
      </c>
      <c r="U8" s="26" t="str">
        <f t="shared" si="3"/>
        <v/>
      </c>
      <c r="V8" s="27" t="str">
        <f t="shared" si="4"/>
        <v/>
      </c>
      <c r="W8" s="28" t="str">
        <f t="shared" si="5"/>
        <v/>
      </c>
    </row>
    <row r="9" spans="1:23" x14ac:dyDescent="0.4">
      <c r="A9" s="17" t="str">
        <f t="shared" si="8"/>
        <v/>
      </c>
      <c r="B9" s="33" t="str">
        <f t="shared" si="9"/>
        <v/>
      </c>
      <c r="C9" s="33" t="str">
        <f t="shared" si="10"/>
        <v/>
      </c>
      <c r="D9" s="33" t="str">
        <f t="shared" si="11"/>
        <v/>
      </c>
      <c r="E9" s="5"/>
      <c r="F9" s="10"/>
      <c r="G9" s="11"/>
      <c r="H9" s="11"/>
      <c r="I9" s="12" t="str">
        <f t="shared" si="12"/>
        <v/>
      </c>
      <c r="J9" s="36" t="str">
        <f t="shared" si="0"/>
        <v/>
      </c>
      <c r="K9" s="10"/>
      <c r="L9" s="11"/>
      <c r="M9" s="11"/>
      <c r="N9" s="12" t="str">
        <f t="shared" si="6"/>
        <v/>
      </c>
      <c r="O9" s="36" t="str">
        <f t="shared" si="1"/>
        <v/>
      </c>
      <c r="P9" s="10"/>
      <c r="Q9" s="11"/>
      <c r="R9" s="11"/>
      <c r="S9" s="12" t="str">
        <f t="shared" si="7"/>
        <v/>
      </c>
      <c r="T9" s="36" t="str">
        <f t="shared" si="2"/>
        <v/>
      </c>
      <c r="U9" s="26" t="str">
        <f t="shared" si="3"/>
        <v/>
      </c>
      <c r="V9" s="27" t="str">
        <f t="shared" si="4"/>
        <v/>
      </c>
      <c r="W9" s="28" t="str">
        <f t="shared" si="5"/>
        <v/>
      </c>
    </row>
    <row r="10" spans="1:23" x14ac:dyDescent="0.4">
      <c r="A10" s="17" t="str">
        <f t="shared" si="8"/>
        <v/>
      </c>
      <c r="B10" s="33" t="str">
        <f t="shared" si="9"/>
        <v/>
      </c>
      <c r="C10" s="33" t="str">
        <f t="shared" si="10"/>
        <v/>
      </c>
      <c r="D10" s="33" t="str">
        <f t="shared" si="11"/>
        <v/>
      </c>
      <c r="E10" s="5"/>
      <c r="F10" s="10"/>
      <c r="G10" s="11"/>
      <c r="H10" s="11"/>
      <c r="I10" s="12" t="str">
        <f t="shared" si="12"/>
        <v/>
      </c>
      <c r="J10" s="36" t="str">
        <f t="shared" si="0"/>
        <v/>
      </c>
      <c r="K10" s="10"/>
      <c r="L10" s="11"/>
      <c r="M10" s="11"/>
      <c r="N10" s="12" t="str">
        <f t="shared" si="6"/>
        <v/>
      </c>
      <c r="O10" s="36" t="str">
        <f t="shared" si="1"/>
        <v/>
      </c>
      <c r="P10" s="10"/>
      <c r="Q10" s="11"/>
      <c r="R10" s="11"/>
      <c r="S10" s="12" t="str">
        <f t="shared" si="7"/>
        <v/>
      </c>
      <c r="T10" s="36" t="str">
        <f t="shared" si="2"/>
        <v/>
      </c>
      <c r="U10" s="26" t="str">
        <f t="shared" si="3"/>
        <v/>
      </c>
      <c r="V10" s="27" t="str">
        <f t="shared" si="4"/>
        <v/>
      </c>
      <c r="W10" s="28" t="str">
        <f t="shared" si="5"/>
        <v/>
      </c>
    </row>
    <row r="11" spans="1:23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1"/>
        <v/>
      </c>
      <c r="P11" s="10"/>
      <c r="Q11" s="11"/>
      <c r="R11" s="11"/>
      <c r="S11" s="12" t="str">
        <f t="shared" si="7"/>
        <v/>
      </c>
      <c r="T11" s="36" t="str">
        <f t="shared" si="2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1" priority="2">
      <formula>IF(AND(G4&lt;&gt;"",F4&lt;&gt;"流局",F4&lt;&gt;"チョンボ"),SUM($G4:$I4,$L4:$N4,$Q4:$S4)-$D4*1000)</formula>
    </cfRule>
  </conditionalFormatting>
  <conditionalFormatting sqref="F1:T1">
    <cfRule type="duplicateValues" dxfId="20" priority="1"/>
  </conditionalFormatting>
  <dataValidations count="2">
    <dataValidation type="list" allowBlank="1" showErrorMessage="1" sqref="E4:E30" xr:uid="{499BAC17-C1B7-4E77-B26D-D3CDA4D9CCF7}">
      <formula1>$U$2:$W$2</formula1>
    </dataValidation>
    <dataValidation type="list" showInputMessage="1" showErrorMessage="1" sqref="K4:K30 P4:P30 F4:F30" xr:uid="{2687B97A-3A43-439F-A702-B5CF20D7A99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A1A3-4177-44EC-9E73-FAD665921B94}">
  <sheetPr codeName="Sheet10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たかの</v>
      </c>
      <c r="W2" s="22" t="str">
        <f>$P$1</f>
        <v>やがさき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26</v>
      </c>
      <c r="F4" s="10" t="s">
        <v>32</v>
      </c>
      <c r="G4" s="11">
        <v>-6000</v>
      </c>
      <c r="H4" s="11">
        <v>-1000</v>
      </c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28000</v>
      </c>
      <c r="K4" s="10" t="s">
        <v>32</v>
      </c>
      <c r="L4" s="11">
        <v>-6000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29000</v>
      </c>
      <c r="P4" s="10" t="s">
        <v>31</v>
      </c>
      <c r="Q4" s="11">
        <v>12000</v>
      </c>
      <c r="R4" s="11">
        <v>1000</v>
      </c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48000</v>
      </c>
      <c r="U4" s="26">
        <f t="shared" ref="U4:U30" si="3">IF($J4="","",ROUND(($J4-$J$3)/1000,0))</f>
        <v>-7</v>
      </c>
      <c r="V4" s="27">
        <f t="shared" ref="V4:V30" si="4">IF($O4="","",ROUND(($O4-$O$3)/1000,0))</f>
        <v>-6</v>
      </c>
      <c r="W4" s="28">
        <f t="shared" ref="W4:W30" si="5">IF($T4="","",ROUND(($T4-$T$3)/1000,0))</f>
        <v>13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1</v>
      </c>
      <c r="C5" s="33">
        <f>IF($E5="","",IF($E4=$E5,C4+1,0))</f>
        <v>1</v>
      </c>
      <c r="D5" s="33">
        <f>IF($E5="","",IF(OR($F4="流局",$F4="チョンボ"),D4+($H4+$M4+$R4)/-1000,0))</f>
        <v>0</v>
      </c>
      <c r="E5" s="5" t="s">
        <v>26</v>
      </c>
      <c r="F5" s="10" t="s">
        <v>31</v>
      </c>
      <c r="G5" s="11">
        <v>32000</v>
      </c>
      <c r="H5" s="11"/>
      <c r="I5" s="12">
        <f>IF(OR(F5="ロン",F5="ツモ"),$C5*1000,IF(F5="放銃",$C5*-1000,IF(F5="ツモ支払",$C5*-500,"")))</f>
        <v>1000</v>
      </c>
      <c r="J5" s="36">
        <f t="shared" si="0"/>
        <v>61000</v>
      </c>
      <c r="K5" s="10" t="s">
        <v>32</v>
      </c>
      <c r="L5" s="11">
        <v>-12000</v>
      </c>
      <c r="M5" s="11"/>
      <c r="N5" s="12">
        <f t="shared" ref="N5:N30" si="6">IF(OR(K5="ロン",K5="ツモ"),$C5*1000,IF(K5="放銃",$C5*-1000,IF(K5="ツモ支払",$C5*-500,"")))</f>
        <v>-500</v>
      </c>
      <c r="O5" s="36">
        <f t="shared" si="1"/>
        <v>16500</v>
      </c>
      <c r="P5" s="10" t="s">
        <v>32</v>
      </c>
      <c r="Q5" s="11">
        <v>-20000</v>
      </c>
      <c r="R5" s="11"/>
      <c r="S5" s="12">
        <f t="shared" ref="S5:S30" si="7">IF(OR(P5="ロン",P5="ツモ"),$C5*1000,IF(P5="放銃",$C5*-1000,IF(P5="ツモ支払",$C5*-500,"")))</f>
        <v>-500</v>
      </c>
      <c r="T5" s="36">
        <f t="shared" si="2"/>
        <v>27500</v>
      </c>
      <c r="U5" s="26">
        <f t="shared" si="3"/>
        <v>26</v>
      </c>
      <c r="V5" s="27">
        <f t="shared" si="4"/>
        <v>-19</v>
      </c>
      <c r="W5" s="28">
        <f t="shared" si="5"/>
        <v>-8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2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22</v>
      </c>
      <c r="F6" s="10" t="s">
        <v>29</v>
      </c>
      <c r="G6" s="11">
        <v>12000</v>
      </c>
      <c r="H6" s="11"/>
      <c r="I6" s="12">
        <f t="shared" ref="I6:I30" si="12">IF(OR(F6="ロン",F6="ツモ"),$C6*1000,IF(F6="放銃",$C6*-1000,IF(F6="ツモ支払",$C6*-500,"")))</f>
        <v>0</v>
      </c>
      <c r="J6" s="36">
        <f t="shared" si="0"/>
        <v>73000</v>
      </c>
      <c r="K6" s="10" t="s">
        <v>30</v>
      </c>
      <c r="L6" s="11">
        <v>-12000</v>
      </c>
      <c r="M6" s="11"/>
      <c r="N6" s="12">
        <f t="shared" si="6"/>
        <v>0</v>
      </c>
      <c r="O6" s="36">
        <f t="shared" si="1"/>
        <v>4500</v>
      </c>
      <c r="P6" s="10"/>
      <c r="Q6" s="11"/>
      <c r="R6" s="11"/>
      <c r="S6" s="12" t="str">
        <f t="shared" si="7"/>
        <v/>
      </c>
      <c r="T6" s="36">
        <f t="shared" si="2"/>
        <v>27500</v>
      </c>
      <c r="U6" s="26">
        <f t="shared" si="3"/>
        <v>38</v>
      </c>
      <c r="V6" s="27">
        <f t="shared" si="4"/>
        <v>-31</v>
      </c>
      <c r="W6" s="28">
        <f t="shared" si="5"/>
        <v>-8</v>
      </c>
    </row>
    <row r="7" spans="1:23" x14ac:dyDescent="0.4">
      <c r="A7" s="17" t="str">
        <f t="shared" si="8"/>
        <v>東</v>
      </c>
      <c r="B7" s="33">
        <f t="shared" si="9"/>
        <v>2</v>
      </c>
      <c r="C7" s="33">
        <f t="shared" si="10"/>
        <v>1</v>
      </c>
      <c r="D7" s="33">
        <f t="shared" si="11"/>
        <v>0</v>
      </c>
      <c r="E7" s="5" t="s">
        <v>22</v>
      </c>
      <c r="F7" s="10" t="s">
        <v>30</v>
      </c>
      <c r="G7" s="11">
        <v>-5200</v>
      </c>
      <c r="H7" s="11"/>
      <c r="I7" s="12">
        <f t="shared" si="12"/>
        <v>-1000</v>
      </c>
      <c r="J7" s="36">
        <f t="shared" si="0"/>
        <v>66800</v>
      </c>
      <c r="K7" s="10" t="s">
        <v>29</v>
      </c>
      <c r="L7" s="11">
        <v>5200</v>
      </c>
      <c r="M7" s="11"/>
      <c r="N7" s="12">
        <f t="shared" si="6"/>
        <v>1000</v>
      </c>
      <c r="O7" s="36">
        <f t="shared" si="1"/>
        <v>10700</v>
      </c>
      <c r="P7" s="10"/>
      <c r="Q7" s="11"/>
      <c r="R7" s="11"/>
      <c r="S7" s="12" t="str">
        <f t="shared" si="7"/>
        <v/>
      </c>
      <c r="T7" s="36">
        <f t="shared" si="2"/>
        <v>27500</v>
      </c>
      <c r="U7" s="26">
        <f t="shared" si="3"/>
        <v>32</v>
      </c>
      <c r="V7" s="27">
        <f t="shared" si="4"/>
        <v>-24</v>
      </c>
      <c r="W7" s="28">
        <f t="shared" si="5"/>
        <v>-8</v>
      </c>
    </row>
    <row r="8" spans="1:23" x14ac:dyDescent="0.4">
      <c r="A8" s="17" t="str">
        <f t="shared" si="8"/>
        <v>東</v>
      </c>
      <c r="B8" s="33">
        <f t="shared" si="9"/>
        <v>3</v>
      </c>
      <c r="C8" s="33">
        <f t="shared" si="10"/>
        <v>0</v>
      </c>
      <c r="D8" s="33">
        <f t="shared" si="11"/>
        <v>0</v>
      </c>
      <c r="E8" s="5" t="s">
        <v>24</v>
      </c>
      <c r="F8" s="10"/>
      <c r="G8" s="11"/>
      <c r="H8" s="11"/>
      <c r="I8" s="12" t="str">
        <f t="shared" si="12"/>
        <v/>
      </c>
      <c r="J8" s="36">
        <f t="shared" si="0"/>
        <v>66800</v>
      </c>
      <c r="K8" s="10" t="s">
        <v>29</v>
      </c>
      <c r="L8" s="11">
        <v>18000</v>
      </c>
      <c r="M8" s="11"/>
      <c r="N8" s="12">
        <f t="shared" si="6"/>
        <v>0</v>
      </c>
      <c r="O8" s="36">
        <f t="shared" si="1"/>
        <v>28700</v>
      </c>
      <c r="P8" s="10" t="s">
        <v>30</v>
      </c>
      <c r="Q8" s="11">
        <v>-18000</v>
      </c>
      <c r="R8" s="11"/>
      <c r="S8" s="12">
        <f t="shared" si="7"/>
        <v>0</v>
      </c>
      <c r="T8" s="36">
        <f t="shared" si="2"/>
        <v>9500</v>
      </c>
      <c r="U8" s="26">
        <f t="shared" si="3"/>
        <v>32</v>
      </c>
      <c r="V8" s="27">
        <f t="shared" si="4"/>
        <v>-6</v>
      </c>
      <c r="W8" s="28">
        <f t="shared" si="5"/>
        <v>-26</v>
      </c>
    </row>
    <row r="9" spans="1:23" x14ac:dyDescent="0.4">
      <c r="A9" s="17" t="str">
        <f t="shared" si="8"/>
        <v>東</v>
      </c>
      <c r="B9" s="33">
        <f t="shared" si="9"/>
        <v>3</v>
      </c>
      <c r="C9" s="33">
        <f t="shared" si="10"/>
        <v>1</v>
      </c>
      <c r="D9" s="33">
        <f t="shared" si="11"/>
        <v>0</v>
      </c>
      <c r="E9" s="5" t="s">
        <v>24</v>
      </c>
      <c r="F9" s="10"/>
      <c r="G9" s="11"/>
      <c r="H9" s="11">
        <v>-1000</v>
      </c>
      <c r="I9" s="12" t="str">
        <f t="shared" si="12"/>
        <v/>
      </c>
      <c r="J9" s="36">
        <f t="shared" si="0"/>
        <v>65800</v>
      </c>
      <c r="K9" s="10" t="s">
        <v>30</v>
      </c>
      <c r="L9" s="11">
        <v>-2000</v>
      </c>
      <c r="M9" s="11"/>
      <c r="N9" s="12">
        <f t="shared" si="6"/>
        <v>-1000</v>
      </c>
      <c r="O9" s="36">
        <f t="shared" si="1"/>
        <v>25700</v>
      </c>
      <c r="P9" s="10" t="s">
        <v>29</v>
      </c>
      <c r="Q9" s="11">
        <v>2000</v>
      </c>
      <c r="R9" s="11">
        <v>1000</v>
      </c>
      <c r="S9" s="12">
        <f t="shared" si="7"/>
        <v>1000</v>
      </c>
      <c r="T9" s="36">
        <f t="shared" si="2"/>
        <v>13500</v>
      </c>
      <c r="U9" s="26">
        <f t="shared" si="3"/>
        <v>31</v>
      </c>
      <c r="V9" s="27">
        <f t="shared" si="4"/>
        <v>-9</v>
      </c>
      <c r="W9" s="28">
        <f t="shared" si="5"/>
        <v>-22</v>
      </c>
    </row>
    <row r="10" spans="1:23" x14ac:dyDescent="0.4">
      <c r="A10" s="17" t="str">
        <f t="shared" si="8"/>
        <v>南</v>
      </c>
      <c r="B10" s="33">
        <f t="shared" si="9"/>
        <v>1</v>
      </c>
      <c r="C10" s="33">
        <f t="shared" si="10"/>
        <v>0</v>
      </c>
      <c r="D10" s="33">
        <f t="shared" si="11"/>
        <v>0</v>
      </c>
      <c r="E10" s="5" t="s">
        <v>26</v>
      </c>
      <c r="F10" s="10"/>
      <c r="G10" s="11"/>
      <c r="H10" s="11"/>
      <c r="I10" s="12" t="str">
        <f t="shared" si="12"/>
        <v/>
      </c>
      <c r="J10" s="36">
        <f t="shared" si="0"/>
        <v>65800</v>
      </c>
      <c r="K10" s="10" t="s">
        <v>29</v>
      </c>
      <c r="L10" s="11">
        <v>2000</v>
      </c>
      <c r="M10" s="11"/>
      <c r="N10" s="12">
        <f t="shared" si="6"/>
        <v>0</v>
      </c>
      <c r="O10" s="36">
        <f t="shared" si="1"/>
        <v>27700</v>
      </c>
      <c r="P10" s="10" t="s">
        <v>30</v>
      </c>
      <c r="Q10" s="11">
        <v>-2000</v>
      </c>
      <c r="R10" s="11"/>
      <c r="S10" s="12">
        <f t="shared" si="7"/>
        <v>0</v>
      </c>
      <c r="T10" s="36">
        <f t="shared" si="2"/>
        <v>11500</v>
      </c>
      <c r="U10" s="26">
        <f t="shared" si="3"/>
        <v>31</v>
      </c>
      <c r="V10" s="27">
        <f t="shared" si="4"/>
        <v>-7</v>
      </c>
      <c r="W10" s="28">
        <f t="shared" si="5"/>
        <v>-24</v>
      </c>
    </row>
    <row r="11" spans="1:23" x14ac:dyDescent="0.4">
      <c r="A11" s="17" t="str">
        <f t="shared" si="8"/>
        <v>南</v>
      </c>
      <c r="B11" s="33">
        <f t="shared" si="9"/>
        <v>2</v>
      </c>
      <c r="C11" s="33">
        <f t="shared" si="10"/>
        <v>0</v>
      </c>
      <c r="D11" s="33">
        <f t="shared" si="11"/>
        <v>0</v>
      </c>
      <c r="E11" s="5" t="s">
        <v>22</v>
      </c>
      <c r="F11" s="10" t="s">
        <v>31</v>
      </c>
      <c r="G11" s="11">
        <v>12000</v>
      </c>
      <c r="H11" s="11"/>
      <c r="I11" s="12">
        <f t="shared" si="12"/>
        <v>0</v>
      </c>
      <c r="J11" s="36">
        <f t="shared" si="0"/>
        <v>77800</v>
      </c>
      <c r="K11" s="10" t="s">
        <v>32</v>
      </c>
      <c r="L11" s="11">
        <v>-6000</v>
      </c>
      <c r="M11" s="11"/>
      <c r="N11" s="12">
        <f t="shared" si="6"/>
        <v>0</v>
      </c>
      <c r="O11" s="36">
        <f t="shared" si="1"/>
        <v>21700</v>
      </c>
      <c r="P11" s="10" t="s">
        <v>32</v>
      </c>
      <c r="Q11" s="11">
        <v>-6000</v>
      </c>
      <c r="R11" s="11"/>
      <c r="S11" s="12">
        <f t="shared" si="7"/>
        <v>0</v>
      </c>
      <c r="T11" s="36">
        <f t="shared" si="2"/>
        <v>5500</v>
      </c>
      <c r="U11" s="26">
        <f t="shared" si="3"/>
        <v>43</v>
      </c>
      <c r="V11" s="27">
        <f t="shared" si="4"/>
        <v>-13</v>
      </c>
      <c r="W11" s="28">
        <f t="shared" si="5"/>
        <v>-30</v>
      </c>
    </row>
    <row r="12" spans="1:23" x14ac:dyDescent="0.4">
      <c r="A12" s="17" t="str">
        <f t="shared" si="8"/>
        <v>南</v>
      </c>
      <c r="B12" s="33">
        <f t="shared" si="9"/>
        <v>2</v>
      </c>
      <c r="C12" s="33">
        <f t="shared" si="10"/>
        <v>1</v>
      </c>
      <c r="D12" s="33">
        <f t="shared" si="11"/>
        <v>0</v>
      </c>
      <c r="E12" s="5" t="s">
        <v>22</v>
      </c>
      <c r="F12" s="10" t="s">
        <v>29</v>
      </c>
      <c r="G12" s="11">
        <v>2900</v>
      </c>
      <c r="H12" s="11"/>
      <c r="I12" s="12">
        <f t="shared" si="12"/>
        <v>1000</v>
      </c>
      <c r="J12" s="36">
        <f t="shared" si="0"/>
        <v>81700</v>
      </c>
      <c r="K12" s="10"/>
      <c r="L12" s="11"/>
      <c r="M12" s="11"/>
      <c r="N12" s="12" t="str">
        <f t="shared" si="6"/>
        <v/>
      </c>
      <c r="O12" s="36">
        <f t="shared" si="1"/>
        <v>21700</v>
      </c>
      <c r="P12" s="10" t="s">
        <v>30</v>
      </c>
      <c r="Q12" s="11">
        <v>-2900</v>
      </c>
      <c r="R12" s="11"/>
      <c r="S12" s="12">
        <f t="shared" si="7"/>
        <v>-1000</v>
      </c>
      <c r="T12" s="36">
        <f t="shared" si="2"/>
        <v>1600</v>
      </c>
      <c r="U12" s="26">
        <f t="shared" si="3"/>
        <v>47</v>
      </c>
      <c r="V12" s="27">
        <f t="shared" si="4"/>
        <v>-13</v>
      </c>
      <c r="W12" s="28">
        <f t="shared" si="5"/>
        <v>-33</v>
      </c>
    </row>
    <row r="13" spans="1:23" x14ac:dyDescent="0.4">
      <c r="A13" s="17" t="str">
        <f t="shared" si="8"/>
        <v>南</v>
      </c>
      <c r="B13" s="33">
        <f t="shared" si="9"/>
        <v>2</v>
      </c>
      <c r="C13" s="33">
        <f t="shared" si="10"/>
        <v>2</v>
      </c>
      <c r="D13" s="33">
        <f t="shared" si="11"/>
        <v>0</v>
      </c>
      <c r="E13" s="5" t="s">
        <v>22</v>
      </c>
      <c r="F13" s="10" t="s">
        <v>31</v>
      </c>
      <c r="G13" s="11">
        <v>12000</v>
      </c>
      <c r="H13" s="11"/>
      <c r="I13" s="12">
        <f t="shared" si="12"/>
        <v>2000</v>
      </c>
      <c r="J13" s="36">
        <f t="shared" si="0"/>
        <v>95700</v>
      </c>
      <c r="K13" s="10" t="s">
        <v>32</v>
      </c>
      <c r="L13" s="11">
        <v>-6000</v>
      </c>
      <c r="M13" s="11"/>
      <c r="N13" s="12">
        <f t="shared" si="6"/>
        <v>-1000</v>
      </c>
      <c r="O13" s="36">
        <f t="shared" si="1"/>
        <v>14700</v>
      </c>
      <c r="P13" s="10" t="s">
        <v>32</v>
      </c>
      <c r="Q13" s="11">
        <v>-6000</v>
      </c>
      <c r="R13" s="11"/>
      <c r="S13" s="12">
        <f t="shared" si="7"/>
        <v>-1000</v>
      </c>
      <c r="T13" s="36">
        <f t="shared" si="2"/>
        <v>-5400</v>
      </c>
      <c r="U13" s="26">
        <f t="shared" si="3"/>
        <v>61</v>
      </c>
      <c r="V13" s="27">
        <f t="shared" si="4"/>
        <v>-20</v>
      </c>
      <c r="W13" s="28">
        <f t="shared" si="5"/>
        <v>-40</v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2">
      <formula>IF(AND(G4&lt;&gt;"",F4&lt;&gt;"流局",F4&lt;&gt;"チョンボ"),SUM($G4:$I4,$L4:$N4,$Q4:$S4)-$D4*1000)</formula>
    </cfRule>
  </conditionalFormatting>
  <conditionalFormatting sqref="F1:T1">
    <cfRule type="duplicateValues" dxfId="18" priority="1"/>
  </conditionalFormatting>
  <dataValidations count="2">
    <dataValidation type="list" showInputMessage="1" showErrorMessage="1" sqref="K4:K30 P4:P30 F4:F30" xr:uid="{12164A1C-3B9E-4BAF-95E1-3E4A6C435C15}">
      <formula1>"ロン,ツモ,放銃,ツモ支払,流局,チョンボ"</formula1>
    </dataValidation>
    <dataValidation type="list" allowBlank="1" showErrorMessage="1" sqref="E4:E30" xr:uid="{FDA98B7B-8F1B-4A33-A8E2-FCA2465220C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8E5E4-7FC3-4E66-A922-D365FC163717}">
  <sheetPr codeName="Sheet11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たかの</v>
      </c>
      <c r="W2" s="22" t="str">
        <f>$P$1</f>
        <v>やがさき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22</v>
      </c>
      <c r="F4" s="10" t="s">
        <v>31</v>
      </c>
      <c r="G4" s="11">
        <v>12000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47000</v>
      </c>
      <c r="K4" s="10" t="s">
        <v>32</v>
      </c>
      <c r="L4" s="11">
        <v>-6000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29000</v>
      </c>
      <c r="P4" s="10" t="s">
        <v>32</v>
      </c>
      <c r="Q4" s="11">
        <v>-6000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29000</v>
      </c>
      <c r="U4" s="26">
        <f t="shared" ref="U4:U30" si="3">IF($J4="","",ROUND(($J4-$J$3)/1000,0))</f>
        <v>12</v>
      </c>
      <c r="V4" s="27">
        <f t="shared" ref="V4:V30" si="4">IF($O4="","",ROUND(($O4-$O$3)/1000,0))</f>
        <v>-6</v>
      </c>
      <c r="W4" s="28">
        <f t="shared" ref="W4:W30" si="5">IF($T4="","",ROUND(($T4-$T$3)/1000,0))</f>
        <v>-6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1</v>
      </c>
      <c r="C5" s="33">
        <f>IF($E5="","",IF($E4=$E5,C4+1,0))</f>
        <v>1</v>
      </c>
      <c r="D5" s="33">
        <f>IF($E5="","",IF(OR($F4="流局",$F4="チョンボ"),D4+($H4+$M4+$R4)/-1000,0))</f>
        <v>0</v>
      </c>
      <c r="E5" s="5" t="s">
        <v>22</v>
      </c>
      <c r="F5" s="10" t="s">
        <v>29</v>
      </c>
      <c r="G5" s="11">
        <v>12000</v>
      </c>
      <c r="H5" s="11"/>
      <c r="I5" s="12">
        <f>IF(OR(F5="ロン",F5="ツモ"),$C5*1000,IF(F5="放銃",$C5*-1000,IF(F5="ツモ支払",$C5*-500,"")))</f>
        <v>1000</v>
      </c>
      <c r="J5" s="36">
        <f t="shared" si="0"/>
        <v>60000</v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36">
        <f t="shared" si="1"/>
        <v>29000</v>
      </c>
      <c r="P5" s="10" t="s">
        <v>30</v>
      </c>
      <c r="Q5" s="11">
        <v>-12000</v>
      </c>
      <c r="R5" s="11"/>
      <c r="S5" s="12">
        <f t="shared" ref="S5:S30" si="7">IF(OR(P5="ロン",P5="ツモ"),$C5*1000,IF(P5="放銃",$C5*-1000,IF(P5="ツモ支払",$C5*-500,"")))</f>
        <v>-1000</v>
      </c>
      <c r="T5" s="36">
        <f t="shared" si="2"/>
        <v>16000</v>
      </c>
      <c r="U5" s="26">
        <f t="shared" si="3"/>
        <v>25</v>
      </c>
      <c r="V5" s="27">
        <f t="shared" si="4"/>
        <v>-6</v>
      </c>
      <c r="W5" s="28">
        <f t="shared" si="5"/>
        <v>-19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1</v>
      </c>
      <c r="C6" s="33">
        <f t="shared" ref="C6:C30" si="10">IF($E6="","",IF($E5=$E6,C5+1,0))</f>
        <v>2</v>
      </c>
      <c r="D6" s="33">
        <f t="shared" ref="D6:D30" si="11">IF($E6="","",IF(OR($F5="流局",$F5="チョンボ"),D5+($H5+$M5+$R5)/-1000,0))</f>
        <v>0</v>
      </c>
      <c r="E6" s="5" t="s">
        <v>22</v>
      </c>
      <c r="F6" s="10" t="s">
        <v>28</v>
      </c>
      <c r="G6" s="11">
        <v>3000</v>
      </c>
      <c r="H6" s="11">
        <v>-1000</v>
      </c>
      <c r="I6" s="12" t="str">
        <f t="shared" ref="I6:I30" si="12">IF(OR(F6="ロン",F6="ツモ"),$C6*1000,IF(F6="放銃",$C6*-1000,IF(F6="ツモ支払",$C6*-500,"")))</f>
        <v/>
      </c>
      <c r="J6" s="36">
        <f t="shared" si="0"/>
        <v>62000</v>
      </c>
      <c r="K6" s="10" t="s">
        <v>28</v>
      </c>
      <c r="L6" s="11">
        <v>-1500</v>
      </c>
      <c r="M6" s="11"/>
      <c r="N6" s="12" t="str">
        <f t="shared" si="6"/>
        <v/>
      </c>
      <c r="O6" s="36">
        <f t="shared" si="1"/>
        <v>27500</v>
      </c>
      <c r="P6" s="10" t="s">
        <v>28</v>
      </c>
      <c r="Q6" s="11">
        <v>-1500</v>
      </c>
      <c r="R6" s="11"/>
      <c r="S6" s="12" t="str">
        <f t="shared" si="7"/>
        <v/>
      </c>
      <c r="T6" s="36">
        <f t="shared" si="2"/>
        <v>14500</v>
      </c>
      <c r="U6" s="26">
        <f t="shared" si="3"/>
        <v>27</v>
      </c>
      <c r="V6" s="27">
        <f t="shared" si="4"/>
        <v>-8</v>
      </c>
      <c r="W6" s="28">
        <f t="shared" si="5"/>
        <v>-21</v>
      </c>
    </row>
    <row r="7" spans="1:23" x14ac:dyDescent="0.4">
      <c r="A7" s="17" t="str">
        <f t="shared" si="8"/>
        <v>東</v>
      </c>
      <c r="B7" s="33">
        <f t="shared" si="9"/>
        <v>1</v>
      </c>
      <c r="C7" s="33">
        <f t="shared" si="10"/>
        <v>3</v>
      </c>
      <c r="D7" s="33">
        <f t="shared" si="11"/>
        <v>1</v>
      </c>
      <c r="E7" s="5" t="s">
        <v>22</v>
      </c>
      <c r="F7" s="10" t="s">
        <v>29</v>
      </c>
      <c r="G7" s="11">
        <v>18000</v>
      </c>
      <c r="H7" s="11">
        <v>2000</v>
      </c>
      <c r="I7" s="12">
        <f t="shared" si="12"/>
        <v>3000</v>
      </c>
      <c r="J7" s="36">
        <f t="shared" si="0"/>
        <v>85000</v>
      </c>
      <c r="K7" s="10"/>
      <c r="L7" s="11"/>
      <c r="M7" s="11">
        <v>-1000</v>
      </c>
      <c r="N7" s="12" t="str">
        <f t="shared" si="6"/>
        <v/>
      </c>
      <c r="O7" s="36">
        <f t="shared" si="1"/>
        <v>26500</v>
      </c>
      <c r="P7" s="10" t="s">
        <v>30</v>
      </c>
      <c r="Q7" s="11">
        <v>-18000</v>
      </c>
      <c r="R7" s="11"/>
      <c r="S7" s="12">
        <f t="shared" si="7"/>
        <v>-3000</v>
      </c>
      <c r="T7" s="36">
        <f t="shared" si="2"/>
        <v>-6500</v>
      </c>
      <c r="U7" s="26">
        <f t="shared" si="3"/>
        <v>50</v>
      </c>
      <c r="V7" s="27">
        <f t="shared" si="4"/>
        <v>-9</v>
      </c>
      <c r="W7" s="28">
        <f t="shared" si="5"/>
        <v>-42</v>
      </c>
    </row>
    <row r="8" spans="1:23" x14ac:dyDescent="0.4">
      <c r="A8" s="17" t="str">
        <f t="shared" si="8"/>
        <v/>
      </c>
      <c r="B8" s="33" t="str">
        <f t="shared" si="9"/>
        <v/>
      </c>
      <c r="C8" s="33" t="str">
        <f t="shared" si="10"/>
        <v/>
      </c>
      <c r="D8" s="33" t="str">
        <f t="shared" si="11"/>
        <v/>
      </c>
      <c r="E8" s="5"/>
      <c r="F8" s="10"/>
      <c r="G8" s="11"/>
      <c r="H8" s="11"/>
      <c r="I8" s="12" t="str">
        <f t="shared" si="12"/>
        <v/>
      </c>
      <c r="J8" s="36" t="str">
        <f t="shared" si="0"/>
        <v/>
      </c>
      <c r="K8" s="10"/>
      <c r="L8" s="11"/>
      <c r="M8" s="11"/>
      <c r="N8" s="12" t="str">
        <f t="shared" si="6"/>
        <v/>
      </c>
      <c r="O8" s="36" t="str">
        <f t="shared" si="1"/>
        <v/>
      </c>
      <c r="P8" s="10"/>
      <c r="Q8" s="11"/>
      <c r="R8" s="11"/>
      <c r="S8" s="12" t="str">
        <f t="shared" si="7"/>
        <v/>
      </c>
      <c r="T8" s="36" t="str">
        <f t="shared" si="2"/>
        <v/>
      </c>
      <c r="U8" s="26" t="str">
        <f t="shared" si="3"/>
        <v/>
      </c>
      <c r="V8" s="27" t="str">
        <f t="shared" si="4"/>
        <v/>
      </c>
      <c r="W8" s="28" t="str">
        <f t="shared" si="5"/>
        <v/>
      </c>
    </row>
    <row r="9" spans="1:23" x14ac:dyDescent="0.4">
      <c r="A9" s="17" t="str">
        <f t="shared" si="8"/>
        <v/>
      </c>
      <c r="B9" s="33" t="str">
        <f t="shared" si="9"/>
        <v/>
      </c>
      <c r="C9" s="33" t="str">
        <f t="shared" si="10"/>
        <v/>
      </c>
      <c r="D9" s="33" t="str">
        <f t="shared" si="11"/>
        <v/>
      </c>
      <c r="E9" s="5"/>
      <c r="F9" s="10"/>
      <c r="G9" s="11"/>
      <c r="H9" s="11"/>
      <c r="I9" s="12" t="str">
        <f t="shared" si="12"/>
        <v/>
      </c>
      <c r="J9" s="36" t="str">
        <f t="shared" si="0"/>
        <v/>
      </c>
      <c r="K9" s="10"/>
      <c r="L9" s="11"/>
      <c r="M9" s="11"/>
      <c r="N9" s="12" t="str">
        <f t="shared" si="6"/>
        <v/>
      </c>
      <c r="O9" s="36" t="str">
        <f t="shared" si="1"/>
        <v/>
      </c>
      <c r="P9" s="10"/>
      <c r="Q9" s="11"/>
      <c r="R9" s="11"/>
      <c r="S9" s="12" t="str">
        <f t="shared" si="7"/>
        <v/>
      </c>
      <c r="T9" s="36" t="str">
        <f t="shared" si="2"/>
        <v/>
      </c>
      <c r="U9" s="26" t="str">
        <f t="shared" si="3"/>
        <v/>
      </c>
      <c r="V9" s="27" t="str">
        <f t="shared" si="4"/>
        <v/>
      </c>
      <c r="W9" s="28" t="str">
        <f t="shared" si="5"/>
        <v/>
      </c>
    </row>
    <row r="10" spans="1:23" x14ac:dyDescent="0.4">
      <c r="A10" s="17" t="str">
        <f t="shared" si="8"/>
        <v/>
      </c>
      <c r="B10" s="33" t="str">
        <f t="shared" si="9"/>
        <v/>
      </c>
      <c r="C10" s="33" t="str">
        <f t="shared" si="10"/>
        <v/>
      </c>
      <c r="D10" s="33" t="str">
        <f t="shared" si="11"/>
        <v/>
      </c>
      <c r="E10" s="5"/>
      <c r="F10" s="10"/>
      <c r="G10" s="11"/>
      <c r="H10" s="11"/>
      <c r="I10" s="12" t="str">
        <f t="shared" si="12"/>
        <v/>
      </c>
      <c r="J10" s="36" t="str">
        <f t="shared" si="0"/>
        <v/>
      </c>
      <c r="K10" s="10"/>
      <c r="L10" s="11"/>
      <c r="M10" s="11"/>
      <c r="N10" s="12" t="str">
        <f t="shared" si="6"/>
        <v/>
      </c>
      <c r="O10" s="36" t="str">
        <f t="shared" si="1"/>
        <v/>
      </c>
      <c r="P10" s="10"/>
      <c r="Q10" s="11"/>
      <c r="R10" s="11"/>
      <c r="S10" s="12" t="str">
        <f t="shared" si="7"/>
        <v/>
      </c>
      <c r="T10" s="36" t="str">
        <f t="shared" si="2"/>
        <v/>
      </c>
      <c r="U10" s="26" t="str">
        <f t="shared" si="3"/>
        <v/>
      </c>
      <c r="V10" s="27" t="str">
        <f t="shared" si="4"/>
        <v/>
      </c>
      <c r="W10" s="28" t="str">
        <f t="shared" si="5"/>
        <v/>
      </c>
    </row>
    <row r="11" spans="1:23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1"/>
        <v/>
      </c>
      <c r="P11" s="10"/>
      <c r="Q11" s="11"/>
      <c r="R11" s="11"/>
      <c r="S11" s="12" t="str">
        <f t="shared" si="7"/>
        <v/>
      </c>
      <c r="T11" s="36" t="str">
        <f t="shared" si="2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7" priority="2">
      <formula>IF(AND(G4&lt;&gt;"",F4&lt;&gt;"流局",F4&lt;&gt;"チョンボ"),SUM($G4:$I4,$L4:$N4,$Q4:$S4)-$D4*1000)</formula>
    </cfRule>
  </conditionalFormatting>
  <conditionalFormatting sqref="F1:T1">
    <cfRule type="duplicateValues" dxfId="16" priority="1"/>
  </conditionalFormatting>
  <dataValidations count="2">
    <dataValidation type="list" allowBlank="1" showErrorMessage="1" sqref="E4:E30" xr:uid="{59D90E04-384A-4751-8F94-18C0F0D343C9}">
      <formula1>$U$2:$W$2</formula1>
    </dataValidation>
    <dataValidation type="list" showInputMessage="1" showErrorMessage="1" sqref="K4:K30 P4:P30 F4:F30" xr:uid="{75D507B9-F8E8-4653-B629-9A076DB94AC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559F6-E572-42EB-900A-D7E69D197EC9}">
  <sheetPr codeName="Sheet1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たかの</v>
      </c>
      <c r="W2" s="22" t="str">
        <f>$P$1</f>
        <v>やがさき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26</v>
      </c>
      <c r="F4" s="10" t="s">
        <v>32</v>
      </c>
      <c r="G4" s="11">
        <v>-12000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23000</v>
      </c>
      <c r="K4" s="10" t="s">
        <v>32</v>
      </c>
      <c r="L4" s="11">
        <v>-12000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23000</v>
      </c>
      <c r="P4" s="10" t="s">
        <v>31</v>
      </c>
      <c r="Q4" s="11">
        <v>24000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59000</v>
      </c>
      <c r="U4" s="26">
        <f t="shared" ref="U4:U30" si="3">IF($J4="","",ROUND(($J4-$J$3)/1000,0))</f>
        <v>-12</v>
      </c>
      <c r="V4" s="27">
        <f t="shared" ref="V4:V30" si="4">IF($O4="","",ROUND(($O4-$O$3)/1000,0))</f>
        <v>-12</v>
      </c>
      <c r="W4" s="28">
        <f t="shared" ref="W4:W30" si="5">IF($T4="","",ROUND(($T4-$T$3)/1000,0))</f>
        <v>24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1</v>
      </c>
      <c r="C5" s="33">
        <f>IF($E5="","",IF($E4=$E5,C4+1,0))</f>
        <v>1</v>
      </c>
      <c r="D5" s="33">
        <f>IF($E5="","",IF(OR($F4="流局",$F4="チョンボ"),D4+($H4+$M4+$R4)/-1000,0))</f>
        <v>0</v>
      </c>
      <c r="E5" s="5" t="s">
        <v>26</v>
      </c>
      <c r="F5" s="10"/>
      <c r="G5" s="11"/>
      <c r="H5" s="11"/>
      <c r="I5" s="12" t="str">
        <f>IF(OR(F5="ロン",F5="ツモ"),$C5*1000,IF(F5="放銃",$C5*-1000,IF(F5="ツモ支払",$C5*-500,"")))</f>
        <v/>
      </c>
      <c r="J5" s="36">
        <f t="shared" si="0"/>
        <v>23000</v>
      </c>
      <c r="K5" s="10" t="s">
        <v>30</v>
      </c>
      <c r="L5" s="11">
        <v>-12000</v>
      </c>
      <c r="M5" s="11"/>
      <c r="N5" s="12">
        <f t="shared" ref="N5:N30" si="6">IF(OR(K5="ロン",K5="ツモ"),$C5*1000,IF(K5="放銃",$C5*-1000,IF(K5="ツモ支払",$C5*-500,"")))</f>
        <v>-1000</v>
      </c>
      <c r="O5" s="36">
        <f t="shared" si="1"/>
        <v>10000</v>
      </c>
      <c r="P5" s="10" t="s">
        <v>29</v>
      </c>
      <c r="Q5" s="11">
        <v>12000</v>
      </c>
      <c r="R5" s="11"/>
      <c r="S5" s="12">
        <f t="shared" ref="S5:S30" si="7">IF(OR(P5="ロン",P5="ツモ"),$C5*1000,IF(P5="放銃",$C5*-1000,IF(P5="ツモ支払",$C5*-500,"")))</f>
        <v>1000</v>
      </c>
      <c r="T5" s="36">
        <f t="shared" si="2"/>
        <v>72000</v>
      </c>
      <c r="U5" s="26">
        <f t="shared" si="3"/>
        <v>-12</v>
      </c>
      <c r="V5" s="27">
        <f t="shared" si="4"/>
        <v>-25</v>
      </c>
      <c r="W5" s="28">
        <f t="shared" si="5"/>
        <v>37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1</v>
      </c>
      <c r="C6" s="33">
        <f t="shared" ref="C6:C30" si="10">IF($E6="","",IF($E5=$E6,C5+1,0))</f>
        <v>2</v>
      </c>
      <c r="D6" s="33">
        <f t="shared" ref="D6:D30" si="11">IF($E6="","",IF(OR($F5="流局",$F5="チョンボ"),D5+($H5+$M5+$R5)/-1000,0))</f>
        <v>0</v>
      </c>
      <c r="E6" s="5" t="s">
        <v>26</v>
      </c>
      <c r="F6" s="10" t="s">
        <v>30</v>
      </c>
      <c r="G6" s="11">
        <v>-8000</v>
      </c>
      <c r="H6" s="11"/>
      <c r="I6" s="12">
        <f t="shared" ref="I6:I30" si="12">IF(OR(F6="ロン",F6="ツモ"),$C6*1000,IF(F6="放銃",$C6*-1000,IF(F6="ツモ支払",$C6*-500,"")))</f>
        <v>-2000</v>
      </c>
      <c r="J6" s="36">
        <f t="shared" si="0"/>
        <v>13000</v>
      </c>
      <c r="K6" s="10" t="s">
        <v>29</v>
      </c>
      <c r="L6" s="11">
        <v>8000</v>
      </c>
      <c r="M6" s="11"/>
      <c r="N6" s="12">
        <f t="shared" si="6"/>
        <v>2000</v>
      </c>
      <c r="O6" s="36">
        <f t="shared" si="1"/>
        <v>20000</v>
      </c>
      <c r="P6" s="10"/>
      <c r="Q6" s="11"/>
      <c r="R6" s="11"/>
      <c r="S6" s="12" t="str">
        <f t="shared" si="7"/>
        <v/>
      </c>
      <c r="T6" s="36">
        <f t="shared" si="2"/>
        <v>72000</v>
      </c>
      <c r="U6" s="26">
        <f t="shared" si="3"/>
        <v>-22</v>
      </c>
      <c r="V6" s="27">
        <f t="shared" si="4"/>
        <v>-15</v>
      </c>
      <c r="W6" s="28">
        <f t="shared" si="5"/>
        <v>37</v>
      </c>
    </row>
    <row r="7" spans="1:23" x14ac:dyDescent="0.4">
      <c r="A7" s="17" t="str">
        <f t="shared" si="8"/>
        <v>東</v>
      </c>
      <c r="B7" s="33">
        <f t="shared" si="9"/>
        <v>2</v>
      </c>
      <c r="C7" s="33">
        <f t="shared" si="10"/>
        <v>0</v>
      </c>
      <c r="D7" s="33">
        <f t="shared" si="11"/>
        <v>0</v>
      </c>
      <c r="E7" s="5" t="s">
        <v>22</v>
      </c>
      <c r="F7" s="10" t="s">
        <v>29</v>
      </c>
      <c r="G7" s="11">
        <v>18000</v>
      </c>
      <c r="H7" s="11"/>
      <c r="I7" s="12">
        <f t="shared" si="12"/>
        <v>0</v>
      </c>
      <c r="J7" s="36">
        <f t="shared" si="0"/>
        <v>31000</v>
      </c>
      <c r="K7" s="10"/>
      <c r="L7" s="11"/>
      <c r="M7" s="11"/>
      <c r="N7" s="12" t="str">
        <f t="shared" si="6"/>
        <v/>
      </c>
      <c r="O7" s="36">
        <f t="shared" si="1"/>
        <v>20000</v>
      </c>
      <c r="P7" s="10" t="s">
        <v>30</v>
      </c>
      <c r="Q7" s="11">
        <v>-18000</v>
      </c>
      <c r="R7" s="11"/>
      <c r="S7" s="12">
        <f t="shared" si="7"/>
        <v>0</v>
      </c>
      <c r="T7" s="36">
        <f t="shared" si="2"/>
        <v>54000</v>
      </c>
      <c r="U7" s="26">
        <f t="shared" si="3"/>
        <v>-4</v>
      </c>
      <c r="V7" s="27">
        <f t="shared" si="4"/>
        <v>-15</v>
      </c>
      <c r="W7" s="28">
        <f t="shared" si="5"/>
        <v>19</v>
      </c>
    </row>
    <row r="8" spans="1:23" x14ac:dyDescent="0.4">
      <c r="A8" s="17" t="str">
        <f t="shared" si="8"/>
        <v>東</v>
      </c>
      <c r="B8" s="33">
        <f t="shared" si="9"/>
        <v>2</v>
      </c>
      <c r="C8" s="33">
        <f t="shared" si="10"/>
        <v>1</v>
      </c>
      <c r="D8" s="33">
        <f t="shared" si="11"/>
        <v>0</v>
      </c>
      <c r="E8" s="5" t="s">
        <v>22</v>
      </c>
      <c r="F8" s="10" t="s">
        <v>32</v>
      </c>
      <c r="G8" s="11">
        <v>-5000</v>
      </c>
      <c r="H8" s="11"/>
      <c r="I8" s="12">
        <f t="shared" si="12"/>
        <v>-500</v>
      </c>
      <c r="J8" s="36">
        <f t="shared" si="0"/>
        <v>25500</v>
      </c>
      <c r="K8" s="10" t="s">
        <v>32</v>
      </c>
      <c r="L8" s="11">
        <v>-3000</v>
      </c>
      <c r="M8" s="11"/>
      <c r="N8" s="12">
        <f t="shared" si="6"/>
        <v>-500</v>
      </c>
      <c r="O8" s="36">
        <f t="shared" si="1"/>
        <v>16500</v>
      </c>
      <c r="P8" s="10" t="s">
        <v>31</v>
      </c>
      <c r="Q8" s="11">
        <v>8000</v>
      </c>
      <c r="R8" s="11"/>
      <c r="S8" s="12">
        <f t="shared" si="7"/>
        <v>1000</v>
      </c>
      <c r="T8" s="36">
        <f t="shared" si="2"/>
        <v>63000</v>
      </c>
      <c r="U8" s="26">
        <f t="shared" si="3"/>
        <v>-10</v>
      </c>
      <c r="V8" s="27">
        <f t="shared" si="4"/>
        <v>-19</v>
      </c>
      <c r="W8" s="28">
        <f t="shared" si="5"/>
        <v>28</v>
      </c>
    </row>
    <row r="9" spans="1:23" x14ac:dyDescent="0.4">
      <c r="A9" s="17" t="str">
        <f t="shared" si="8"/>
        <v>東</v>
      </c>
      <c r="B9" s="33">
        <f t="shared" si="9"/>
        <v>3</v>
      </c>
      <c r="C9" s="33">
        <f t="shared" si="10"/>
        <v>0</v>
      </c>
      <c r="D9" s="33">
        <f t="shared" si="11"/>
        <v>0</v>
      </c>
      <c r="E9" s="5" t="s">
        <v>24</v>
      </c>
      <c r="F9" s="10" t="s">
        <v>32</v>
      </c>
      <c r="G9" s="11">
        <v>-4500</v>
      </c>
      <c r="H9" s="11"/>
      <c r="I9" s="12">
        <f t="shared" si="12"/>
        <v>0</v>
      </c>
      <c r="J9" s="36">
        <f t="shared" si="0"/>
        <v>21000</v>
      </c>
      <c r="K9" s="10" t="s">
        <v>32</v>
      </c>
      <c r="L9" s="11">
        <v>-7500</v>
      </c>
      <c r="M9" s="11"/>
      <c r="N9" s="12">
        <f t="shared" si="6"/>
        <v>0</v>
      </c>
      <c r="O9" s="36">
        <f t="shared" si="1"/>
        <v>9000</v>
      </c>
      <c r="P9" s="10" t="s">
        <v>31</v>
      </c>
      <c r="Q9" s="11">
        <v>12000</v>
      </c>
      <c r="R9" s="11"/>
      <c r="S9" s="12">
        <f t="shared" si="7"/>
        <v>0</v>
      </c>
      <c r="T9" s="36">
        <f t="shared" si="2"/>
        <v>75000</v>
      </c>
      <c r="U9" s="26">
        <f t="shared" si="3"/>
        <v>-14</v>
      </c>
      <c r="V9" s="27">
        <f t="shared" si="4"/>
        <v>-26</v>
      </c>
      <c r="W9" s="28">
        <f t="shared" si="5"/>
        <v>40</v>
      </c>
    </row>
    <row r="10" spans="1:23" x14ac:dyDescent="0.4">
      <c r="A10" s="17" t="str">
        <f t="shared" si="8"/>
        <v>南</v>
      </c>
      <c r="B10" s="33">
        <f t="shared" si="9"/>
        <v>1</v>
      </c>
      <c r="C10" s="33">
        <f t="shared" si="10"/>
        <v>0</v>
      </c>
      <c r="D10" s="33">
        <f t="shared" si="11"/>
        <v>0</v>
      </c>
      <c r="E10" s="5" t="s">
        <v>26</v>
      </c>
      <c r="F10" s="10" t="s">
        <v>32</v>
      </c>
      <c r="G10" s="11">
        <v>-9000</v>
      </c>
      <c r="H10" s="11"/>
      <c r="I10" s="12">
        <f t="shared" si="12"/>
        <v>0</v>
      </c>
      <c r="J10" s="36">
        <f t="shared" si="0"/>
        <v>12000</v>
      </c>
      <c r="K10" s="10" t="s">
        <v>32</v>
      </c>
      <c r="L10" s="11">
        <v>-9000</v>
      </c>
      <c r="M10" s="11"/>
      <c r="N10" s="12">
        <f t="shared" si="6"/>
        <v>0</v>
      </c>
      <c r="O10" s="36">
        <f t="shared" si="1"/>
        <v>0</v>
      </c>
      <c r="P10" s="10" t="s">
        <v>31</v>
      </c>
      <c r="Q10" s="11">
        <v>18000</v>
      </c>
      <c r="R10" s="11"/>
      <c r="S10" s="12">
        <f t="shared" si="7"/>
        <v>0</v>
      </c>
      <c r="T10" s="36">
        <f t="shared" si="2"/>
        <v>93000</v>
      </c>
      <c r="U10" s="26">
        <f t="shared" si="3"/>
        <v>-23</v>
      </c>
      <c r="V10" s="27">
        <f t="shared" si="4"/>
        <v>-35</v>
      </c>
      <c r="W10" s="28">
        <f t="shared" si="5"/>
        <v>58</v>
      </c>
    </row>
    <row r="11" spans="1:23" x14ac:dyDescent="0.4">
      <c r="A11" s="17" t="str">
        <f t="shared" si="8"/>
        <v>南</v>
      </c>
      <c r="B11" s="33">
        <f t="shared" si="9"/>
        <v>1</v>
      </c>
      <c r="C11" s="33">
        <f t="shared" si="10"/>
        <v>1</v>
      </c>
      <c r="D11" s="33">
        <f t="shared" si="11"/>
        <v>0</v>
      </c>
      <c r="E11" s="5" t="s">
        <v>26</v>
      </c>
      <c r="F11" s="10" t="s">
        <v>31</v>
      </c>
      <c r="G11" s="11">
        <v>8000</v>
      </c>
      <c r="H11" s="11"/>
      <c r="I11" s="12">
        <f t="shared" si="12"/>
        <v>1000</v>
      </c>
      <c r="J11" s="36">
        <f t="shared" si="0"/>
        <v>21000</v>
      </c>
      <c r="K11" s="10" t="s">
        <v>32</v>
      </c>
      <c r="L11" s="11">
        <v>-3000</v>
      </c>
      <c r="M11" s="11"/>
      <c r="N11" s="12">
        <f t="shared" si="6"/>
        <v>-500</v>
      </c>
      <c r="O11" s="36">
        <f t="shared" si="1"/>
        <v>-3500</v>
      </c>
      <c r="P11" s="10" t="s">
        <v>32</v>
      </c>
      <c r="Q11" s="11">
        <v>-5000</v>
      </c>
      <c r="R11" s="11"/>
      <c r="S11" s="12">
        <f t="shared" si="7"/>
        <v>-500</v>
      </c>
      <c r="T11" s="36">
        <f t="shared" si="2"/>
        <v>87500</v>
      </c>
      <c r="U11" s="26">
        <f t="shared" si="3"/>
        <v>-14</v>
      </c>
      <c r="V11" s="27">
        <f t="shared" si="4"/>
        <v>-39</v>
      </c>
      <c r="W11" s="28">
        <f t="shared" si="5"/>
        <v>53</v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5" priority="2">
      <formula>IF(AND(G4&lt;&gt;"",F4&lt;&gt;"流局",F4&lt;&gt;"チョンボ"),SUM($G4:$I4,$L4:$N4,$Q4:$S4)-$D4*1000)</formula>
    </cfRule>
  </conditionalFormatting>
  <conditionalFormatting sqref="F1:T1">
    <cfRule type="duplicateValues" dxfId="14" priority="1"/>
  </conditionalFormatting>
  <dataValidations count="2">
    <dataValidation type="list" showInputMessage="1" showErrorMessage="1" sqref="K4:K30 P4:P30 F4:F30" xr:uid="{A644E720-9370-4E01-8923-1FA3CEAA0913}">
      <formula1>"ロン,ツモ,放銃,ツモ支払,流局,チョンボ"</formula1>
    </dataValidation>
    <dataValidation type="list" allowBlank="1" showErrorMessage="1" sqref="E4:E30" xr:uid="{C9055DC4-537A-4E51-A961-50A03451C0C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A524-CC15-4938-B788-5B54519E629D}">
  <sheetPr codeName="Sheet13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たかの</v>
      </c>
      <c r="W2" s="22" t="str">
        <f>$P$1</f>
        <v>やがさき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26</v>
      </c>
      <c r="F4" s="10" t="s">
        <v>29</v>
      </c>
      <c r="G4" s="11">
        <v>8000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43000</v>
      </c>
      <c r="K4" s="10" t="s">
        <v>30</v>
      </c>
      <c r="L4" s="11">
        <v>-8000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27000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36">
        <f t="shared" ref="T4:T30" si="2">IF(COUNTA($F4,$K4,$P4)&gt;0,T3+SUM(Q4:S4),"")</f>
        <v>35000</v>
      </c>
      <c r="U4" s="26">
        <f t="shared" ref="U4:U30" si="3">IF($J4="","",ROUND(($J4-$J$3)/1000,0))</f>
        <v>8</v>
      </c>
      <c r="V4" s="27">
        <f t="shared" ref="V4:V30" si="4">IF($O4="","",ROUND(($O4-$O$3)/1000,0))</f>
        <v>-8</v>
      </c>
      <c r="W4" s="28">
        <f t="shared" ref="W4:W30" si="5">IF($T4="","",ROUND(($T4-$T$3)/1000,0))</f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0</v>
      </c>
      <c r="E5" s="5" t="s">
        <v>22</v>
      </c>
      <c r="F5" s="10" t="s">
        <v>32</v>
      </c>
      <c r="G5" s="11">
        <v>-5000</v>
      </c>
      <c r="H5" s="11"/>
      <c r="I5" s="12">
        <f>IF(OR(F5="ロン",F5="ツモ"),$C5*1000,IF(F5="放銃",$C5*-1000,IF(F5="ツモ支払",$C5*-500,"")))</f>
        <v>0</v>
      </c>
      <c r="J5" s="36">
        <f t="shared" si="0"/>
        <v>38000</v>
      </c>
      <c r="K5" s="10" t="s">
        <v>32</v>
      </c>
      <c r="L5" s="11">
        <v>-3000</v>
      </c>
      <c r="M5" s="11"/>
      <c r="N5" s="12">
        <f t="shared" ref="N5:N30" si="6">IF(OR(K5="ロン",K5="ツモ"),$C5*1000,IF(K5="放銃",$C5*-1000,IF(K5="ツモ支払",$C5*-500,"")))</f>
        <v>0</v>
      </c>
      <c r="O5" s="36">
        <f t="shared" si="1"/>
        <v>24000</v>
      </c>
      <c r="P5" s="10" t="s">
        <v>31</v>
      </c>
      <c r="Q5" s="11">
        <v>8000</v>
      </c>
      <c r="R5" s="11"/>
      <c r="S5" s="12">
        <f t="shared" ref="S5:S30" si="7">IF(OR(P5="ロン",P5="ツモ"),$C5*1000,IF(P5="放銃",$C5*-1000,IF(P5="ツモ支払",$C5*-500,"")))</f>
        <v>0</v>
      </c>
      <c r="T5" s="36">
        <f t="shared" si="2"/>
        <v>43000</v>
      </c>
      <c r="U5" s="26">
        <f t="shared" si="3"/>
        <v>3</v>
      </c>
      <c r="V5" s="27">
        <f t="shared" si="4"/>
        <v>-11</v>
      </c>
      <c r="W5" s="28">
        <f t="shared" si="5"/>
        <v>8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3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24</v>
      </c>
      <c r="F6" s="10" t="s">
        <v>29</v>
      </c>
      <c r="G6" s="11">
        <v>2600</v>
      </c>
      <c r="H6" s="11">
        <v>1000</v>
      </c>
      <c r="I6" s="12">
        <f t="shared" ref="I6:I30" si="12">IF(OR(F6="ロン",F6="ツモ"),$C6*1000,IF(F6="放銃",$C6*-1000,IF(F6="ツモ支払",$C6*-500,"")))</f>
        <v>0</v>
      </c>
      <c r="J6" s="36">
        <f t="shared" si="0"/>
        <v>41600</v>
      </c>
      <c r="K6" s="10"/>
      <c r="L6" s="11"/>
      <c r="M6" s="11"/>
      <c r="N6" s="12" t="str">
        <f t="shared" si="6"/>
        <v/>
      </c>
      <c r="O6" s="36">
        <f t="shared" si="1"/>
        <v>24000</v>
      </c>
      <c r="P6" s="10" t="s">
        <v>30</v>
      </c>
      <c r="Q6" s="11">
        <v>-2600</v>
      </c>
      <c r="R6" s="11">
        <v>-1000</v>
      </c>
      <c r="S6" s="12">
        <f t="shared" si="7"/>
        <v>0</v>
      </c>
      <c r="T6" s="36">
        <f t="shared" si="2"/>
        <v>39400</v>
      </c>
      <c r="U6" s="26">
        <f t="shared" si="3"/>
        <v>7</v>
      </c>
      <c r="V6" s="27">
        <f t="shared" si="4"/>
        <v>-11</v>
      </c>
      <c r="W6" s="28">
        <f t="shared" si="5"/>
        <v>4</v>
      </c>
    </row>
    <row r="7" spans="1:23" x14ac:dyDescent="0.4">
      <c r="A7" s="17" t="str">
        <f t="shared" si="8"/>
        <v>南</v>
      </c>
      <c r="B7" s="33">
        <f t="shared" si="9"/>
        <v>1</v>
      </c>
      <c r="C7" s="33">
        <f t="shared" si="10"/>
        <v>0</v>
      </c>
      <c r="D7" s="33">
        <f t="shared" si="11"/>
        <v>0</v>
      </c>
      <c r="E7" s="5" t="s">
        <v>26</v>
      </c>
      <c r="F7" s="10"/>
      <c r="G7" s="11"/>
      <c r="H7" s="11"/>
      <c r="I7" s="12" t="str">
        <f t="shared" si="12"/>
        <v/>
      </c>
      <c r="J7" s="36">
        <f t="shared" si="0"/>
        <v>41600</v>
      </c>
      <c r="K7" s="10" t="s">
        <v>30</v>
      </c>
      <c r="L7" s="11">
        <v>-9600</v>
      </c>
      <c r="M7" s="11"/>
      <c r="N7" s="12">
        <f t="shared" si="6"/>
        <v>0</v>
      </c>
      <c r="O7" s="36">
        <f t="shared" si="1"/>
        <v>14400</v>
      </c>
      <c r="P7" s="10" t="s">
        <v>29</v>
      </c>
      <c r="Q7" s="11">
        <v>9600</v>
      </c>
      <c r="R7" s="11"/>
      <c r="S7" s="12">
        <f t="shared" si="7"/>
        <v>0</v>
      </c>
      <c r="T7" s="36">
        <f t="shared" si="2"/>
        <v>49000</v>
      </c>
      <c r="U7" s="26">
        <f t="shared" si="3"/>
        <v>7</v>
      </c>
      <c r="V7" s="27">
        <f t="shared" si="4"/>
        <v>-21</v>
      </c>
      <c r="W7" s="28">
        <f t="shared" si="5"/>
        <v>14</v>
      </c>
    </row>
    <row r="8" spans="1:23" x14ac:dyDescent="0.4">
      <c r="A8" s="17" t="str">
        <f t="shared" si="8"/>
        <v>南</v>
      </c>
      <c r="B8" s="33">
        <f t="shared" si="9"/>
        <v>1</v>
      </c>
      <c r="C8" s="33">
        <f t="shared" si="10"/>
        <v>1</v>
      </c>
      <c r="D8" s="33">
        <f t="shared" si="11"/>
        <v>0</v>
      </c>
      <c r="E8" s="5" t="s">
        <v>26</v>
      </c>
      <c r="F8" s="10" t="s">
        <v>32</v>
      </c>
      <c r="G8" s="11">
        <v>-4500</v>
      </c>
      <c r="H8" s="11"/>
      <c r="I8" s="12">
        <f t="shared" si="12"/>
        <v>-500</v>
      </c>
      <c r="J8" s="36">
        <f t="shared" si="0"/>
        <v>36600</v>
      </c>
      <c r="K8" s="10" t="s">
        <v>31</v>
      </c>
      <c r="L8" s="11">
        <v>12000</v>
      </c>
      <c r="M8" s="11"/>
      <c r="N8" s="12">
        <f t="shared" si="6"/>
        <v>1000</v>
      </c>
      <c r="O8" s="36">
        <f t="shared" si="1"/>
        <v>27400</v>
      </c>
      <c r="P8" s="10" t="s">
        <v>32</v>
      </c>
      <c r="Q8" s="11">
        <v>-7500</v>
      </c>
      <c r="R8" s="11"/>
      <c r="S8" s="12">
        <f t="shared" si="7"/>
        <v>-500</v>
      </c>
      <c r="T8" s="36">
        <f t="shared" si="2"/>
        <v>41000</v>
      </c>
      <c r="U8" s="26">
        <f t="shared" si="3"/>
        <v>2</v>
      </c>
      <c r="V8" s="27">
        <f t="shared" si="4"/>
        <v>-8</v>
      </c>
      <c r="W8" s="28">
        <f t="shared" si="5"/>
        <v>6</v>
      </c>
    </row>
    <row r="9" spans="1:23" x14ac:dyDescent="0.4">
      <c r="A9" s="17" t="str">
        <f t="shared" si="8"/>
        <v>南</v>
      </c>
      <c r="B9" s="33">
        <f t="shared" si="9"/>
        <v>2</v>
      </c>
      <c r="C9" s="33">
        <f t="shared" si="10"/>
        <v>0</v>
      </c>
      <c r="D9" s="33">
        <f t="shared" si="11"/>
        <v>0</v>
      </c>
      <c r="E9" s="5" t="s">
        <v>22</v>
      </c>
      <c r="F9" s="10" t="s">
        <v>32</v>
      </c>
      <c r="G9" s="11">
        <v>-5000</v>
      </c>
      <c r="H9" s="11"/>
      <c r="I9" s="12">
        <f t="shared" si="12"/>
        <v>0</v>
      </c>
      <c r="J9" s="36">
        <f t="shared" si="0"/>
        <v>31600</v>
      </c>
      <c r="K9" s="10" t="s">
        <v>31</v>
      </c>
      <c r="L9" s="11">
        <v>8000</v>
      </c>
      <c r="M9" s="11"/>
      <c r="N9" s="12">
        <f t="shared" si="6"/>
        <v>0</v>
      </c>
      <c r="O9" s="36">
        <f t="shared" si="1"/>
        <v>35400</v>
      </c>
      <c r="P9" s="10" t="s">
        <v>32</v>
      </c>
      <c r="Q9" s="11">
        <v>-3000</v>
      </c>
      <c r="R9" s="11"/>
      <c r="S9" s="12">
        <f t="shared" si="7"/>
        <v>0</v>
      </c>
      <c r="T9" s="36">
        <f t="shared" si="2"/>
        <v>38000</v>
      </c>
      <c r="U9" s="26">
        <f t="shared" si="3"/>
        <v>-3</v>
      </c>
      <c r="V9" s="27">
        <f t="shared" si="4"/>
        <v>0</v>
      </c>
      <c r="W9" s="28">
        <f t="shared" si="5"/>
        <v>3</v>
      </c>
    </row>
    <row r="10" spans="1:23" x14ac:dyDescent="0.4">
      <c r="A10" s="17" t="str">
        <f t="shared" si="8"/>
        <v>南</v>
      </c>
      <c r="B10" s="33">
        <f t="shared" si="9"/>
        <v>3</v>
      </c>
      <c r="C10" s="33">
        <f t="shared" si="10"/>
        <v>0</v>
      </c>
      <c r="D10" s="33">
        <f t="shared" si="11"/>
        <v>0</v>
      </c>
      <c r="E10" s="5" t="s">
        <v>24</v>
      </c>
      <c r="F10" s="10"/>
      <c r="G10" s="11"/>
      <c r="H10" s="11"/>
      <c r="I10" s="12" t="str">
        <f t="shared" si="12"/>
        <v/>
      </c>
      <c r="J10" s="36">
        <f t="shared" si="0"/>
        <v>31600</v>
      </c>
      <c r="K10" s="10" t="s">
        <v>30</v>
      </c>
      <c r="L10" s="11">
        <v>-12000</v>
      </c>
      <c r="M10" s="11"/>
      <c r="N10" s="12">
        <f t="shared" si="6"/>
        <v>0</v>
      </c>
      <c r="O10" s="36">
        <f t="shared" si="1"/>
        <v>23400</v>
      </c>
      <c r="P10" s="10" t="s">
        <v>29</v>
      </c>
      <c r="Q10" s="11">
        <v>12000</v>
      </c>
      <c r="R10" s="11"/>
      <c r="S10" s="12">
        <f t="shared" si="7"/>
        <v>0</v>
      </c>
      <c r="T10" s="36">
        <f t="shared" si="2"/>
        <v>50000</v>
      </c>
      <c r="U10" s="26">
        <f t="shared" si="3"/>
        <v>-3</v>
      </c>
      <c r="V10" s="27">
        <f t="shared" si="4"/>
        <v>-12</v>
      </c>
      <c r="W10" s="28">
        <f t="shared" si="5"/>
        <v>15</v>
      </c>
    </row>
    <row r="11" spans="1:23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1"/>
        <v/>
      </c>
      <c r="P11" s="10"/>
      <c r="Q11" s="11"/>
      <c r="R11" s="11"/>
      <c r="S11" s="12" t="str">
        <f t="shared" si="7"/>
        <v/>
      </c>
      <c r="T11" s="36" t="str">
        <f t="shared" si="2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3" priority="2">
      <formula>IF(AND(G4&lt;&gt;"",F4&lt;&gt;"流局",F4&lt;&gt;"チョンボ"),SUM($G4:$I4,$L4:$N4,$Q4:$S4)-$D4*1000)</formula>
    </cfRule>
  </conditionalFormatting>
  <conditionalFormatting sqref="F1:T1">
    <cfRule type="duplicateValues" dxfId="12" priority="1"/>
  </conditionalFormatting>
  <dataValidations count="2">
    <dataValidation type="list" allowBlank="1" showErrorMessage="1" sqref="E4:E30" xr:uid="{20CD3CEE-373C-42D6-BB80-4B2EBBB400F1}">
      <formula1>$U$2:$W$2</formula1>
    </dataValidation>
    <dataValidation type="list" showInputMessage="1" showErrorMessage="1" sqref="K4:K30 P4:P30 F4:F30" xr:uid="{A2449D7D-E492-44B4-9F38-E75D5F1B845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66B90-3AA9-4E33-B2CA-025ED15CA3CE}">
  <sheetPr codeName="Sheet14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たかの</v>
      </c>
      <c r="W2" s="22" t="str">
        <f>$P$1</f>
        <v>やがさき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24</v>
      </c>
      <c r="F4" s="10" t="s">
        <v>30</v>
      </c>
      <c r="G4" s="11">
        <v>-8000</v>
      </c>
      <c r="H4" s="11">
        <v>-1000</v>
      </c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26000</v>
      </c>
      <c r="K4" s="10"/>
      <c r="L4" s="11"/>
      <c r="M4" s="11"/>
      <c r="N4" s="12" t="str">
        <f>IF(OR(K4="ロン",K4="ツモ"),$C4*1000,IF(K4="放銃",$C4*-1000,IF(K4="ツモ支払",$C4*-500,"")))</f>
        <v/>
      </c>
      <c r="O4" s="36">
        <f t="shared" ref="O4:O30" si="1">IF(COUNTA($F4,$K4,$P4)&gt;0,O3+SUM(L4:N4),"")</f>
        <v>35000</v>
      </c>
      <c r="P4" s="10" t="s">
        <v>29</v>
      </c>
      <c r="Q4" s="11">
        <v>8000</v>
      </c>
      <c r="R4" s="11">
        <v>1000</v>
      </c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44000</v>
      </c>
      <c r="U4" s="26">
        <f t="shared" ref="U4:U30" si="3">IF($J4="","",ROUND(($J4-$J$3)/1000,0))</f>
        <v>-9</v>
      </c>
      <c r="V4" s="27">
        <f t="shared" ref="V4:V30" si="4">IF($O4="","",ROUND(($O4-$O$3)/1000,0))</f>
        <v>0</v>
      </c>
      <c r="W4" s="28">
        <f t="shared" ref="W4:W30" si="5">IF($T4="","",ROUND(($T4-$T$3)/1000,0))</f>
        <v>9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0</v>
      </c>
      <c r="E5" s="5" t="s">
        <v>26</v>
      </c>
      <c r="F5" s="10" t="s">
        <v>31</v>
      </c>
      <c r="G5" s="11">
        <v>12000</v>
      </c>
      <c r="H5" s="11"/>
      <c r="I5" s="12">
        <f>IF(OR(F5="ロン",F5="ツモ"),$C5*1000,IF(F5="放銃",$C5*-1000,IF(F5="ツモ支払",$C5*-500,"")))</f>
        <v>0</v>
      </c>
      <c r="J5" s="36">
        <f t="shared" si="0"/>
        <v>38000</v>
      </c>
      <c r="K5" s="10" t="s">
        <v>32</v>
      </c>
      <c r="L5" s="11">
        <v>-4500</v>
      </c>
      <c r="M5" s="11"/>
      <c r="N5" s="12">
        <f t="shared" ref="N5:N30" si="6">IF(OR(K5="ロン",K5="ツモ"),$C5*1000,IF(K5="放銃",$C5*-1000,IF(K5="ツモ支払",$C5*-500,"")))</f>
        <v>0</v>
      </c>
      <c r="O5" s="36">
        <f t="shared" si="1"/>
        <v>30500</v>
      </c>
      <c r="P5" s="10" t="s">
        <v>32</v>
      </c>
      <c r="Q5" s="11">
        <v>-7500</v>
      </c>
      <c r="R5" s="11"/>
      <c r="S5" s="12">
        <f t="shared" ref="S5:S30" si="7">IF(OR(P5="ロン",P5="ツモ"),$C5*1000,IF(P5="放銃",$C5*-1000,IF(P5="ツモ支払",$C5*-500,"")))</f>
        <v>0</v>
      </c>
      <c r="T5" s="36">
        <f t="shared" si="2"/>
        <v>36500</v>
      </c>
      <c r="U5" s="26">
        <f t="shared" si="3"/>
        <v>3</v>
      </c>
      <c r="V5" s="27">
        <f t="shared" si="4"/>
        <v>-5</v>
      </c>
      <c r="W5" s="28">
        <f t="shared" si="5"/>
        <v>2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3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22</v>
      </c>
      <c r="F6" s="10" t="s">
        <v>30</v>
      </c>
      <c r="G6" s="11">
        <v>-8000</v>
      </c>
      <c r="H6" s="11"/>
      <c r="I6" s="12">
        <f t="shared" ref="I6:I30" si="12">IF(OR(F6="ロン",F6="ツモ"),$C6*1000,IF(F6="放銃",$C6*-1000,IF(F6="ツモ支払",$C6*-500,"")))</f>
        <v>0</v>
      </c>
      <c r="J6" s="36">
        <f t="shared" si="0"/>
        <v>30000</v>
      </c>
      <c r="K6" s="10" t="s">
        <v>29</v>
      </c>
      <c r="L6" s="11">
        <v>8000</v>
      </c>
      <c r="M6" s="11"/>
      <c r="N6" s="12">
        <f t="shared" si="6"/>
        <v>0</v>
      </c>
      <c r="O6" s="36">
        <f t="shared" si="1"/>
        <v>38500</v>
      </c>
      <c r="P6" s="10"/>
      <c r="Q6" s="11"/>
      <c r="R6" s="11"/>
      <c r="S6" s="12" t="str">
        <f t="shared" si="7"/>
        <v/>
      </c>
      <c r="T6" s="36">
        <f t="shared" si="2"/>
        <v>36500</v>
      </c>
      <c r="U6" s="26">
        <f t="shared" si="3"/>
        <v>-5</v>
      </c>
      <c r="V6" s="27">
        <f t="shared" si="4"/>
        <v>4</v>
      </c>
      <c r="W6" s="28">
        <f t="shared" si="5"/>
        <v>2</v>
      </c>
    </row>
    <row r="7" spans="1:23" x14ac:dyDescent="0.4">
      <c r="A7" s="17" t="str">
        <f t="shared" si="8"/>
        <v>南</v>
      </c>
      <c r="B7" s="33">
        <f t="shared" si="9"/>
        <v>1</v>
      </c>
      <c r="C7" s="33">
        <f t="shared" si="10"/>
        <v>0</v>
      </c>
      <c r="D7" s="33">
        <f t="shared" si="11"/>
        <v>0</v>
      </c>
      <c r="E7" s="5" t="s">
        <v>24</v>
      </c>
      <c r="F7" s="10" t="s">
        <v>29</v>
      </c>
      <c r="G7" s="11">
        <v>2600</v>
      </c>
      <c r="H7" s="11"/>
      <c r="I7" s="12">
        <f t="shared" si="12"/>
        <v>0</v>
      </c>
      <c r="J7" s="36">
        <f t="shared" si="0"/>
        <v>32600</v>
      </c>
      <c r="K7" s="10" t="s">
        <v>30</v>
      </c>
      <c r="L7" s="11">
        <v>-2600</v>
      </c>
      <c r="M7" s="11"/>
      <c r="N7" s="12">
        <f t="shared" si="6"/>
        <v>0</v>
      </c>
      <c r="O7" s="36">
        <f t="shared" si="1"/>
        <v>35900</v>
      </c>
      <c r="P7" s="10"/>
      <c r="Q7" s="11"/>
      <c r="R7" s="11"/>
      <c r="S7" s="12" t="str">
        <f t="shared" si="7"/>
        <v/>
      </c>
      <c r="T7" s="36">
        <f t="shared" si="2"/>
        <v>36500</v>
      </c>
      <c r="U7" s="26">
        <f t="shared" si="3"/>
        <v>-2</v>
      </c>
      <c r="V7" s="27">
        <f t="shared" si="4"/>
        <v>1</v>
      </c>
      <c r="W7" s="28">
        <f t="shared" si="5"/>
        <v>2</v>
      </c>
    </row>
    <row r="8" spans="1:23" x14ac:dyDescent="0.4">
      <c r="A8" s="17" t="str">
        <f t="shared" si="8"/>
        <v>南</v>
      </c>
      <c r="B8" s="33">
        <f t="shared" si="9"/>
        <v>2</v>
      </c>
      <c r="C8" s="33">
        <f t="shared" si="10"/>
        <v>0</v>
      </c>
      <c r="D8" s="33">
        <f t="shared" si="11"/>
        <v>0</v>
      </c>
      <c r="E8" s="5" t="s">
        <v>26</v>
      </c>
      <c r="F8" s="10" t="s">
        <v>32</v>
      </c>
      <c r="G8" s="11">
        <v>-6000</v>
      </c>
      <c r="H8" s="11"/>
      <c r="I8" s="12">
        <f t="shared" si="12"/>
        <v>0</v>
      </c>
      <c r="J8" s="36">
        <f t="shared" si="0"/>
        <v>26600</v>
      </c>
      <c r="K8" s="10" t="s">
        <v>32</v>
      </c>
      <c r="L8" s="11">
        <v>-6000</v>
      </c>
      <c r="M8" s="11"/>
      <c r="N8" s="12">
        <f t="shared" si="6"/>
        <v>0</v>
      </c>
      <c r="O8" s="36">
        <f t="shared" si="1"/>
        <v>29900</v>
      </c>
      <c r="P8" s="10" t="s">
        <v>31</v>
      </c>
      <c r="Q8" s="11">
        <v>12000</v>
      </c>
      <c r="R8" s="11"/>
      <c r="S8" s="12">
        <f t="shared" si="7"/>
        <v>0</v>
      </c>
      <c r="T8" s="36">
        <f t="shared" si="2"/>
        <v>48500</v>
      </c>
      <c r="U8" s="26">
        <f t="shared" si="3"/>
        <v>-8</v>
      </c>
      <c r="V8" s="27">
        <f t="shared" si="4"/>
        <v>-5</v>
      </c>
      <c r="W8" s="28">
        <f t="shared" si="5"/>
        <v>14</v>
      </c>
    </row>
    <row r="9" spans="1:23" x14ac:dyDescent="0.4">
      <c r="A9" s="17" t="str">
        <f t="shared" si="8"/>
        <v>南</v>
      </c>
      <c r="B9" s="33">
        <f t="shared" si="9"/>
        <v>2</v>
      </c>
      <c r="C9" s="33">
        <f t="shared" si="10"/>
        <v>1</v>
      </c>
      <c r="D9" s="33">
        <f t="shared" si="11"/>
        <v>0</v>
      </c>
      <c r="E9" s="5" t="s">
        <v>26</v>
      </c>
      <c r="F9" s="10" t="s">
        <v>28</v>
      </c>
      <c r="G9" s="11">
        <v>-1500</v>
      </c>
      <c r="H9" s="11"/>
      <c r="I9" s="12" t="str">
        <f t="shared" si="12"/>
        <v/>
      </c>
      <c r="J9" s="36">
        <f t="shared" si="0"/>
        <v>25100</v>
      </c>
      <c r="K9" s="10" t="s">
        <v>28</v>
      </c>
      <c r="L9" s="11">
        <v>-1500</v>
      </c>
      <c r="M9" s="11"/>
      <c r="N9" s="12" t="str">
        <f t="shared" si="6"/>
        <v/>
      </c>
      <c r="O9" s="36">
        <f t="shared" si="1"/>
        <v>28400</v>
      </c>
      <c r="P9" s="10" t="s">
        <v>28</v>
      </c>
      <c r="Q9" s="11">
        <v>3000</v>
      </c>
      <c r="R9" s="11">
        <v>-1000</v>
      </c>
      <c r="S9" s="12" t="str">
        <f t="shared" si="7"/>
        <v/>
      </c>
      <c r="T9" s="36">
        <f t="shared" si="2"/>
        <v>50500</v>
      </c>
      <c r="U9" s="26">
        <f t="shared" si="3"/>
        <v>-10</v>
      </c>
      <c r="V9" s="27">
        <f t="shared" si="4"/>
        <v>-7</v>
      </c>
      <c r="W9" s="28">
        <f t="shared" si="5"/>
        <v>16</v>
      </c>
    </row>
    <row r="10" spans="1:23" x14ac:dyDescent="0.4">
      <c r="A10" s="17" t="str">
        <f t="shared" si="8"/>
        <v>南</v>
      </c>
      <c r="B10" s="33">
        <f t="shared" si="9"/>
        <v>2</v>
      </c>
      <c r="C10" s="33">
        <f t="shared" si="10"/>
        <v>2</v>
      </c>
      <c r="D10" s="33">
        <f t="shared" si="11"/>
        <v>1</v>
      </c>
      <c r="E10" s="5" t="s">
        <v>26</v>
      </c>
      <c r="F10" s="10" t="s">
        <v>30</v>
      </c>
      <c r="G10" s="11">
        <v>-5200</v>
      </c>
      <c r="H10" s="11"/>
      <c r="I10" s="12">
        <f t="shared" si="12"/>
        <v>-2000</v>
      </c>
      <c r="J10" s="36">
        <f t="shared" si="0"/>
        <v>17900</v>
      </c>
      <c r="K10" s="10" t="s">
        <v>29</v>
      </c>
      <c r="L10" s="11">
        <v>5200</v>
      </c>
      <c r="M10" s="11">
        <v>1000</v>
      </c>
      <c r="N10" s="12">
        <f t="shared" si="6"/>
        <v>2000</v>
      </c>
      <c r="O10" s="36">
        <f t="shared" si="1"/>
        <v>36600</v>
      </c>
      <c r="P10" s="10"/>
      <c r="Q10" s="11"/>
      <c r="R10" s="11"/>
      <c r="S10" s="12" t="str">
        <f t="shared" si="7"/>
        <v/>
      </c>
      <c r="T10" s="36">
        <f t="shared" si="2"/>
        <v>50500</v>
      </c>
      <c r="U10" s="26">
        <f t="shared" si="3"/>
        <v>-17</v>
      </c>
      <c r="V10" s="27">
        <f t="shared" si="4"/>
        <v>2</v>
      </c>
      <c r="W10" s="28">
        <f t="shared" si="5"/>
        <v>16</v>
      </c>
    </row>
    <row r="11" spans="1:23" x14ac:dyDescent="0.4">
      <c r="A11" s="17" t="str">
        <f t="shared" si="8"/>
        <v>南</v>
      </c>
      <c r="B11" s="33">
        <f t="shared" si="9"/>
        <v>3</v>
      </c>
      <c r="C11" s="33">
        <f t="shared" si="10"/>
        <v>0</v>
      </c>
      <c r="D11" s="33">
        <f t="shared" si="11"/>
        <v>0</v>
      </c>
      <c r="E11" s="5" t="s">
        <v>22</v>
      </c>
      <c r="F11" s="10"/>
      <c r="G11" s="11"/>
      <c r="H11" s="11"/>
      <c r="I11" s="12" t="str">
        <f t="shared" si="12"/>
        <v/>
      </c>
      <c r="J11" s="36">
        <f t="shared" si="0"/>
        <v>17900</v>
      </c>
      <c r="K11" s="10" t="s">
        <v>30</v>
      </c>
      <c r="L11" s="11">
        <v>-1300</v>
      </c>
      <c r="M11" s="11"/>
      <c r="N11" s="12">
        <f t="shared" si="6"/>
        <v>0</v>
      </c>
      <c r="O11" s="36">
        <f t="shared" si="1"/>
        <v>35300</v>
      </c>
      <c r="P11" s="10" t="s">
        <v>29</v>
      </c>
      <c r="Q11" s="11">
        <v>1300</v>
      </c>
      <c r="R11" s="11"/>
      <c r="S11" s="12">
        <f t="shared" si="7"/>
        <v>0</v>
      </c>
      <c r="T11" s="36">
        <f t="shared" si="2"/>
        <v>51800</v>
      </c>
      <c r="U11" s="26">
        <f t="shared" si="3"/>
        <v>-17</v>
      </c>
      <c r="V11" s="27">
        <f t="shared" si="4"/>
        <v>0</v>
      </c>
      <c r="W11" s="28">
        <f t="shared" si="5"/>
        <v>17</v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1" priority="2">
      <formula>IF(AND(G4&lt;&gt;"",F4&lt;&gt;"流局",F4&lt;&gt;"チョンボ"),SUM($G4:$I4,$L4:$N4,$Q4:$S4)-$D4*1000)</formula>
    </cfRule>
  </conditionalFormatting>
  <conditionalFormatting sqref="F1:T1">
    <cfRule type="duplicateValues" dxfId="10" priority="1"/>
  </conditionalFormatting>
  <dataValidations count="2">
    <dataValidation type="list" showInputMessage="1" showErrorMessage="1" sqref="K4:K30 P4:P30 F4:F30" xr:uid="{7653ED99-C520-4A98-B89E-BF83F7285806}">
      <formula1>"ロン,ツモ,放銃,ツモ支払,流局,チョンボ"</formula1>
    </dataValidation>
    <dataValidation type="list" allowBlank="1" showErrorMessage="1" sqref="E4:E30" xr:uid="{0B15415C-C344-46DA-B74C-18045B0DB7A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64831-3AA3-45E1-9802-7C69CC8F0A49}">
  <sheetPr codeName="Sheet15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たかの</v>
      </c>
      <c r="W2" s="22" t="str">
        <f>$P$1</f>
        <v>やがさき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22</v>
      </c>
      <c r="F4" s="10" t="s">
        <v>31</v>
      </c>
      <c r="G4" s="11">
        <v>4000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39000</v>
      </c>
      <c r="K4" s="10" t="s">
        <v>32</v>
      </c>
      <c r="L4" s="11">
        <v>-2000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33000</v>
      </c>
      <c r="P4" s="10" t="s">
        <v>32</v>
      </c>
      <c r="Q4" s="11">
        <v>-2000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33000</v>
      </c>
      <c r="U4" s="26">
        <f t="shared" ref="U4:U30" si="3">IF($J4="","",ROUND(($J4-$J$3)/1000,0))</f>
        <v>4</v>
      </c>
      <c r="V4" s="27">
        <f t="shared" ref="V4:V30" si="4">IF($O4="","",ROUND(($O4-$O$3)/1000,0))</f>
        <v>-2</v>
      </c>
      <c r="W4" s="28">
        <f t="shared" ref="W4:W30" si="5">IF($T4="","",ROUND(($T4-$T$3)/1000,0))</f>
        <v>-2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1</v>
      </c>
      <c r="C5" s="33">
        <f>IF($E5="","",IF($E4=$E5,C4+1,0))</f>
        <v>1</v>
      </c>
      <c r="D5" s="33">
        <f>IF($E5="","",IF(OR($F4="流局",$F4="チョンボ"),D4+($H4+$M4+$R4)/-1000,0))</f>
        <v>0</v>
      </c>
      <c r="E5" s="5" t="s">
        <v>22</v>
      </c>
      <c r="F5" s="10"/>
      <c r="G5" s="11"/>
      <c r="H5" s="11"/>
      <c r="I5" s="12" t="str">
        <f>IF(OR(F5="ロン",F5="ツモ"),$C5*1000,IF(F5="放銃",$C5*-1000,IF(F5="ツモ支払",$C5*-500,"")))</f>
        <v/>
      </c>
      <c r="J5" s="36">
        <f t="shared" si="0"/>
        <v>39000</v>
      </c>
      <c r="K5" s="10" t="s">
        <v>29</v>
      </c>
      <c r="L5" s="11">
        <v>8000</v>
      </c>
      <c r="M5" s="11"/>
      <c r="N5" s="12">
        <f t="shared" ref="N5:N30" si="6">IF(OR(K5="ロン",K5="ツモ"),$C5*1000,IF(K5="放銃",$C5*-1000,IF(K5="ツモ支払",$C5*-500,"")))</f>
        <v>1000</v>
      </c>
      <c r="O5" s="36">
        <f t="shared" si="1"/>
        <v>42000</v>
      </c>
      <c r="P5" s="10" t="s">
        <v>30</v>
      </c>
      <c r="Q5" s="11">
        <v>-8000</v>
      </c>
      <c r="R5" s="11"/>
      <c r="S5" s="12">
        <f t="shared" ref="S5:S30" si="7">IF(OR(P5="ロン",P5="ツモ"),$C5*1000,IF(P5="放銃",$C5*-1000,IF(P5="ツモ支払",$C5*-500,"")))</f>
        <v>-1000</v>
      </c>
      <c r="T5" s="36">
        <f t="shared" si="2"/>
        <v>24000</v>
      </c>
      <c r="U5" s="26">
        <f t="shared" si="3"/>
        <v>4</v>
      </c>
      <c r="V5" s="27">
        <f t="shared" si="4"/>
        <v>7</v>
      </c>
      <c r="W5" s="28">
        <f t="shared" si="5"/>
        <v>-11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2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24</v>
      </c>
      <c r="F6" s="10" t="s">
        <v>32</v>
      </c>
      <c r="G6" s="11">
        <v>-3000</v>
      </c>
      <c r="H6" s="11"/>
      <c r="I6" s="12">
        <f t="shared" ref="I6:I30" si="12">IF(OR(F6="ロン",F6="ツモ"),$C6*1000,IF(F6="放銃",$C6*-1000,IF(F6="ツモ支払",$C6*-500,"")))</f>
        <v>0</v>
      </c>
      <c r="J6" s="36">
        <f t="shared" si="0"/>
        <v>36000</v>
      </c>
      <c r="K6" s="10" t="s">
        <v>31</v>
      </c>
      <c r="L6" s="11">
        <v>6000</v>
      </c>
      <c r="M6" s="11"/>
      <c r="N6" s="12">
        <f t="shared" si="6"/>
        <v>0</v>
      </c>
      <c r="O6" s="36">
        <f t="shared" si="1"/>
        <v>48000</v>
      </c>
      <c r="P6" s="10" t="s">
        <v>32</v>
      </c>
      <c r="Q6" s="11">
        <v>-3000</v>
      </c>
      <c r="R6" s="11"/>
      <c r="S6" s="12">
        <f t="shared" si="7"/>
        <v>0</v>
      </c>
      <c r="T6" s="36">
        <f t="shared" si="2"/>
        <v>21000</v>
      </c>
      <c r="U6" s="26">
        <f t="shared" si="3"/>
        <v>1</v>
      </c>
      <c r="V6" s="27">
        <f t="shared" si="4"/>
        <v>13</v>
      </c>
      <c r="W6" s="28">
        <f t="shared" si="5"/>
        <v>-14</v>
      </c>
    </row>
    <row r="7" spans="1:23" x14ac:dyDescent="0.4">
      <c r="A7" s="17" t="str">
        <f t="shared" si="8"/>
        <v>東</v>
      </c>
      <c r="B7" s="33">
        <f t="shared" si="9"/>
        <v>2</v>
      </c>
      <c r="C7" s="33">
        <f t="shared" si="10"/>
        <v>1</v>
      </c>
      <c r="D7" s="33">
        <f t="shared" si="11"/>
        <v>0</v>
      </c>
      <c r="E7" s="5" t="s">
        <v>24</v>
      </c>
      <c r="F7" s="10" t="s">
        <v>32</v>
      </c>
      <c r="G7" s="11">
        <v>-6000</v>
      </c>
      <c r="H7" s="11"/>
      <c r="I7" s="12">
        <f t="shared" si="12"/>
        <v>-500</v>
      </c>
      <c r="J7" s="36">
        <f t="shared" si="0"/>
        <v>29500</v>
      </c>
      <c r="K7" s="10" t="s">
        <v>31</v>
      </c>
      <c r="L7" s="11">
        <v>12000</v>
      </c>
      <c r="M7" s="11"/>
      <c r="N7" s="12">
        <f t="shared" si="6"/>
        <v>1000</v>
      </c>
      <c r="O7" s="36">
        <f t="shared" si="1"/>
        <v>61000</v>
      </c>
      <c r="P7" s="10" t="s">
        <v>32</v>
      </c>
      <c r="Q7" s="11">
        <v>-6000</v>
      </c>
      <c r="R7" s="11"/>
      <c r="S7" s="12">
        <f t="shared" si="7"/>
        <v>-500</v>
      </c>
      <c r="T7" s="36">
        <f t="shared" si="2"/>
        <v>14500</v>
      </c>
      <c r="U7" s="26">
        <f t="shared" si="3"/>
        <v>-6</v>
      </c>
      <c r="V7" s="27">
        <f t="shared" si="4"/>
        <v>26</v>
      </c>
      <c r="W7" s="28">
        <f t="shared" si="5"/>
        <v>-21</v>
      </c>
    </row>
    <row r="8" spans="1:23" x14ac:dyDescent="0.4">
      <c r="A8" s="17" t="str">
        <f t="shared" si="8"/>
        <v>東</v>
      </c>
      <c r="B8" s="33">
        <f t="shared" si="9"/>
        <v>2</v>
      </c>
      <c r="C8" s="33">
        <f t="shared" si="10"/>
        <v>2</v>
      </c>
      <c r="D8" s="33">
        <f t="shared" si="11"/>
        <v>0</v>
      </c>
      <c r="E8" s="5" t="s">
        <v>24</v>
      </c>
      <c r="F8" s="10" t="s">
        <v>30</v>
      </c>
      <c r="G8" s="11">
        <v>-7700</v>
      </c>
      <c r="H8" s="11"/>
      <c r="I8" s="12">
        <f t="shared" si="12"/>
        <v>-2000</v>
      </c>
      <c r="J8" s="36">
        <f t="shared" si="0"/>
        <v>19800</v>
      </c>
      <c r="K8" s="10" t="s">
        <v>29</v>
      </c>
      <c r="L8" s="11">
        <v>7700</v>
      </c>
      <c r="M8" s="11"/>
      <c r="N8" s="12">
        <f t="shared" si="6"/>
        <v>2000</v>
      </c>
      <c r="O8" s="36">
        <f t="shared" si="1"/>
        <v>70700</v>
      </c>
      <c r="P8" s="10"/>
      <c r="Q8" s="11"/>
      <c r="R8" s="11"/>
      <c r="S8" s="12" t="str">
        <f t="shared" si="7"/>
        <v/>
      </c>
      <c r="T8" s="36">
        <f t="shared" si="2"/>
        <v>14500</v>
      </c>
      <c r="U8" s="26">
        <f t="shared" si="3"/>
        <v>-15</v>
      </c>
      <c r="V8" s="27">
        <f t="shared" si="4"/>
        <v>36</v>
      </c>
      <c r="W8" s="28">
        <f t="shared" si="5"/>
        <v>-21</v>
      </c>
    </row>
    <row r="9" spans="1:23" x14ac:dyDescent="0.4">
      <c r="A9" s="17" t="str">
        <f t="shared" si="8"/>
        <v>東</v>
      </c>
      <c r="B9" s="33">
        <f t="shared" si="9"/>
        <v>2</v>
      </c>
      <c r="C9" s="33">
        <f t="shared" si="10"/>
        <v>3</v>
      </c>
      <c r="D9" s="33">
        <f t="shared" si="11"/>
        <v>0</v>
      </c>
      <c r="E9" s="5" t="s">
        <v>24</v>
      </c>
      <c r="F9" s="10" t="s">
        <v>31</v>
      </c>
      <c r="G9" s="11">
        <v>16000</v>
      </c>
      <c r="H9" s="11"/>
      <c r="I9" s="12">
        <f t="shared" si="12"/>
        <v>3000</v>
      </c>
      <c r="J9" s="36">
        <f t="shared" si="0"/>
        <v>38800</v>
      </c>
      <c r="K9" s="10" t="s">
        <v>32</v>
      </c>
      <c r="L9" s="11">
        <v>-10000</v>
      </c>
      <c r="M9" s="11"/>
      <c r="N9" s="12">
        <f t="shared" si="6"/>
        <v>-1500</v>
      </c>
      <c r="O9" s="36">
        <f t="shared" si="1"/>
        <v>59200</v>
      </c>
      <c r="P9" s="10" t="s">
        <v>32</v>
      </c>
      <c r="Q9" s="11">
        <v>-6000</v>
      </c>
      <c r="R9" s="11"/>
      <c r="S9" s="12">
        <f t="shared" si="7"/>
        <v>-1500</v>
      </c>
      <c r="T9" s="36">
        <f t="shared" si="2"/>
        <v>7000</v>
      </c>
      <c r="U9" s="26">
        <f t="shared" si="3"/>
        <v>4</v>
      </c>
      <c r="V9" s="27">
        <f t="shared" si="4"/>
        <v>24</v>
      </c>
      <c r="W9" s="28">
        <f t="shared" si="5"/>
        <v>-28</v>
      </c>
    </row>
    <row r="10" spans="1:23" x14ac:dyDescent="0.4">
      <c r="A10" s="17" t="str">
        <f t="shared" si="8"/>
        <v>東</v>
      </c>
      <c r="B10" s="33">
        <f t="shared" si="9"/>
        <v>3</v>
      </c>
      <c r="C10" s="33">
        <f t="shared" si="10"/>
        <v>0</v>
      </c>
      <c r="D10" s="33">
        <f t="shared" si="11"/>
        <v>0</v>
      </c>
      <c r="E10" s="5" t="s">
        <v>26</v>
      </c>
      <c r="F10" s="10" t="s">
        <v>30</v>
      </c>
      <c r="G10" s="11">
        <v>-7700</v>
      </c>
      <c r="H10" s="11"/>
      <c r="I10" s="12">
        <f t="shared" si="12"/>
        <v>0</v>
      </c>
      <c r="J10" s="36">
        <f t="shared" si="0"/>
        <v>31100</v>
      </c>
      <c r="K10" s="10"/>
      <c r="L10" s="11"/>
      <c r="M10" s="11"/>
      <c r="N10" s="12" t="str">
        <f t="shared" si="6"/>
        <v/>
      </c>
      <c r="O10" s="36">
        <f t="shared" si="1"/>
        <v>59200</v>
      </c>
      <c r="P10" s="10" t="s">
        <v>29</v>
      </c>
      <c r="Q10" s="11">
        <v>7700</v>
      </c>
      <c r="R10" s="11"/>
      <c r="S10" s="12">
        <f t="shared" si="7"/>
        <v>0</v>
      </c>
      <c r="T10" s="36">
        <f t="shared" si="2"/>
        <v>14700</v>
      </c>
      <c r="U10" s="26">
        <f t="shared" si="3"/>
        <v>-4</v>
      </c>
      <c r="V10" s="27">
        <f t="shared" si="4"/>
        <v>24</v>
      </c>
      <c r="W10" s="28">
        <f t="shared" si="5"/>
        <v>-20</v>
      </c>
    </row>
    <row r="11" spans="1:23" x14ac:dyDescent="0.4">
      <c r="A11" s="17" t="str">
        <f t="shared" si="8"/>
        <v>東</v>
      </c>
      <c r="B11" s="33">
        <f t="shared" si="9"/>
        <v>3</v>
      </c>
      <c r="C11" s="33">
        <f t="shared" si="10"/>
        <v>1</v>
      </c>
      <c r="D11" s="33">
        <f t="shared" si="11"/>
        <v>0</v>
      </c>
      <c r="E11" s="5" t="s">
        <v>26</v>
      </c>
      <c r="F11" s="10" t="s">
        <v>31</v>
      </c>
      <c r="G11" s="11">
        <v>16000</v>
      </c>
      <c r="H11" s="11"/>
      <c r="I11" s="12">
        <f t="shared" si="12"/>
        <v>1000</v>
      </c>
      <c r="J11" s="36">
        <f t="shared" si="0"/>
        <v>48100</v>
      </c>
      <c r="K11" s="10" t="s">
        <v>32</v>
      </c>
      <c r="L11" s="11">
        <v>-6000</v>
      </c>
      <c r="M11" s="11"/>
      <c r="N11" s="12">
        <f t="shared" si="6"/>
        <v>-500</v>
      </c>
      <c r="O11" s="36">
        <f t="shared" si="1"/>
        <v>52700</v>
      </c>
      <c r="P11" s="10" t="s">
        <v>32</v>
      </c>
      <c r="Q11" s="11">
        <v>-10000</v>
      </c>
      <c r="R11" s="11"/>
      <c r="S11" s="12">
        <f t="shared" si="7"/>
        <v>-500</v>
      </c>
      <c r="T11" s="36">
        <f t="shared" si="2"/>
        <v>4200</v>
      </c>
      <c r="U11" s="26">
        <f t="shared" si="3"/>
        <v>13</v>
      </c>
      <c r="V11" s="27">
        <f t="shared" si="4"/>
        <v>18</v>
      </c>
      <c r="W11" s="28">
        <f t="shared" si="5"/>
        <v>-31</v>
      </c>
    </row>
    <row r="12" spans="1:23" x14ac:dyDescent="0.4">
      <c r="A12" s="17" t="str">
        <f t="shared" si="8"/>
        <v>南</v>
      </c>
      <c r="B12" s="33">
        <f t="shared" si="9"/>
        <v>1</v>
      </c>
      <c r="C12" s="33">
        <f t="shared" si="10"/>
        <v>0</v>
      </c>
      <c r="D12" s="33">
        <f t="shared" si="11"/>
        <v>0</v>
      </c>
      <c r="E12" s="5" t="s">
        <v>22</v>
      </c>
      <c r="F12" s="10"/>
      <c r="G12" s="11"/>
      <c r="H12" s="11"/>
      <c r="I12" s="12" t="str">
        <f t="shared" si="12"/>
        <v/>
      </c>
      <c r="J12" s="36">
        <f t="shared" si="0"/>
        <v>48100</v>
      </c>
      <c r="K12" s="10" t="s">
        <v>29</v>
      </c>
      <c r="L12" s="11">
        <v>2000</v>
      </c>
      <c r="M12" s="11"/>
      <c r="N12" s="12">
        <f t="shared" si="6"/>
        <v>0</v>
      </c>
      <c r="O12" s="36">
        <f t="shared" si="1"/>
        <v>54700</v>
      </c>
      <c r="P12" s="10" t="s">
        <v>30</v>
      </c>
      <c r="Q12" s="11">
        <v>-2000</v>
      </c>
      <c r="R12" s="11"/>
      <c r="S12" s="12">
        <f t="shared" si="7"/>
        <v>0</v>
      </c>
      <c r="T12" s="36">
        <f t="shared" si="2"/>
        <v>2200</v>
      </c>
      <c r="U12" s="26">
        <f t="shared" si="3"/>
        <v>13</v>
      </c>
      <c r="V12" s="27">
        <f t="shared" si="4"/>
        <v>20</v>
      </c>
      <c r="W12" s="28">
        <f t="shared" si="5"/>
        <v>-33</v>
      </c>
    </row>
    <row r="13" spans="1:23" x14ac:dyDescent="0.4">
      <c r="A13" s="17" t="str">
        <f t="shared" si="8"/>
        <v>南</v>
      </c>
      <c r="B13" s="33">
        <f t="shared" si="9"/>
        <v>2</v>
      </c>
      <c r="C13" s="33">
        <f t="shared" si="10"/>
        <v>0</v>
      </c>
      <c r="D13" s="33">
        <f t="shared" si="11"/>
        <v>0</v>
      </c>
      <c r="E13" s="5" t="s">
        <v>24</v>
      </c>
      <c r="F13" s="10" t="s">
        <v>31</v>
      </c>
      <c r="G13" s="11">
        <v>8000</v>
      </c>
      <c r="H13" s="11"/>
      <c r="I13" s="12">
        <f t="shared" si="12"/>
        <v>0</v>
      </c>
      <c r="J13" s="36">
        <f t="shared" si="0"/>
        <v>56100</v>
      </c>
      <c r="K13" s="10" t="s">
        <v>32</v>
      </c>
      <c r="L13" s="11">
        <v>-5000</v>
      </c>
      <c r="M13" s="11"/>
      <c r="N13" s="12">
        <f t="shared" si="6"/>
        <v>0</v>
      </c>
      <c r="O13" s="36">
        <f t="shared" si="1"/>
        <v>49700</v>
      </c>
      <c r="P13" s="10" t="s">
        <v>32</v>
      </c>
      <c r="Q13" s="11">
        <v>-3000</v>
      </c>
      <c r="R13" s="11"/>
      <c r="S13" s="12">
        <f t="shared" si="7"/>
        <v>0</v>
      </c>
      <c r="T13" s="36">
        <f t="shared" si="2"/>
        <v>-800</v>
      </c>
      <c r="U13" s="26">
        <f t="shared" si="3"/>
        <v>21</v>
      </c>
      <c r="V13" s="27">
        <f t="shared" si="4"/>
        <v>15</v>
      </c>
      <c r="W13" s="28">
        <f t="shared" si="5"/>
        <v>-36</v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2">
      <formula>IF(AND(G4&lt;&gt;"",F4&lt;&gt;"流局",F4&lt;&gt;"チョンボ"),SUM($G4:$I4,$L4:$N4,$Q4:$S4)-$D4*1000)</formula>
    </cfRule>
  </conditionalFormatting>
  <conditionalFormatting sqref="F1:T1">
    <cfRule type="duplicateValues" dxfId="8" priority="1"/>
  </conditionalFormatting>
  <dataValidations count="2">
    <dataValidation type="list" allowBlank="1" showErrorMessage="1" sqref="E4:E30" xr:uid="{C32B91E2-AFED-482F-9653-BC2A26897C6A}">
      <formula1>$U$2:$W$2</formula1>
    </dataValidation>
    <dataValidation type="list" showInputMessage="1" showErrorMessage="1" sqref="K4:K30 P4:P30 F4:F30" xr:uid="{DD612DF5-DF86-4D15-868E-CEC214C8C3D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E11B-DCEA-4CB3-AE4C-30E0C0B210F9}">
  <sheetPr codeName="Sheet16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たかの</v>
      </c>
      <c r="W2" s="22" t="str">
        <f>$P$1</f>
        <v>やがさき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24</v>
      </c>
      <c r="F4" s="10" t="s">
        <v>30</v>
      </c>
      <c r="G4" s="11">
        <v>-50600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-15600</v>
      </c>
      <c r="K4" s="10" t="s">
        <v>29</v>
      </c>
      <c r="L4" s="11">
        <v>48000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83000</v>
      </c>
      <c r="P4" s="10" t="s">
        <v>29</v>
      </c>
      <c r="Q4" s="11">
        <v>2600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37600</v>
      </c>
      <c r="U4" s="26">
        <f t="shared" ref="U4:U30" si="3">IF($J4="","",ROUND(($J4-$J$3)/1000,0))</f>
        <v>-51</v>
      </c>
      <c r="V4" s="27">
        <f t="shared" ref="V4:V30" si="4">IF($O4="","",ROUND(($O4-$O$3)/1000,0))</f>
        <v>48</v>
      </c>
      <c r="W4" s="28">
        <f t="shared" ref="W4:W30" si="5">IF($T4="","",ROUND(($T4-$T$3)/1000,0))</f>
        <v>3</v>
      </c>
    </row>
    <row r="5" spans="1:23" x14ac:dyDescent="0.4">
      <c r="A5" s="17" t="str">
        <f>IF($E5="","",IF(AND(B4=3,B5=1),IF(A4="東","南",IF(A4="南","西",IF(A4="西","北",IF(A4="北","東","")))),A4))</f>
        <v/>
      </c>
      <c r="B5" s="33" t="str">
        <f>IF($E5="","",IF($E4=$E5,B4,IF(B4=3,1,B4+1)))</f>
        <v/>
      </c>
      <c r="C5" s="33" t="str">
        <f>IF($E5="","",IF($E4=$E5,C4+1,0))</f>
        <v/>
      </c>
      <c r="D5" s="33" t="str">
        <f>IF($E5="","",IF(OR($F4="流局",$F4="チョンボ"),D4+($H4+$M4+$R4)/-1000,0))</f>
        <v/>
      </c>
      <c r="E5" s="5"/>
      <c r="F5" s="10"/>
      <c r="G5" s="11"/>
      <c r="H5" s="11"/>
      <c r="I5" s="12" t="str">
        <f>IF(OR(F5="ロン",F5="ツモ"),$C5*1000,IF(F5="放銃",$C5*-1000,IF(F5="ツモ支払",$C5*-500,"")))</f>
        <v/>
      </c>
      <c r="J5" s="36" t="str">
        <f t="shared" si="0"/>
        <v/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36" t="str">
        <f t="shared" si="1"/>
        <v/>
      </c>
      <c r="P5" s="10"/>
      <c r="Q5" s="11"/>
      <c r="R5" s="11"/>
      <c r="S5" s="12" t="str">
        <f t="shared" ref="S5:S30" si="7">IF(OR(P5="ロン",P5="ツモ"),$C5*1000,IF(P5="放銃",$C5*-1000,IF(P5="ツモ支払",$C5*-500,"")))</f>
        <v/>
      </c>
      <c r="T5" s="36" t="str">
        <f t="shared" si="2"/>
        <v/>
      </c>
      <c r="U5" s="26" t="str">
        <f t="shared" si="3"/>
        <v/>
      </c>
      <c r="V5" s="27" t="str">
        <f t="shared" si="4"/>
        <v/>
      </c>
      <c r="W5" s="28" t="str">
        <f t="shared" si="5"/>
        <v/>
      </c>
    </row>
    <row r="6" spans="1:23" x14ac:dyDescent="0.4">
      <c r="A6" s="17" t="str">
        <f t="shared" ref="A6:A30" si="8">IF($E6="","",IF(AND(B5=3,B6=1),IF(A5="東","南",IF(A5="南","西",IF(A5="西","北",IF(A5="北","東","")))),A5))</f>
        <v/>
      </c>
      <c r="B6" s="33" t="str">
        <f t="shared" ref="B6:B30" si="9">IF($E6="","",IF($E5=$E6,B5,IF(B5=3,1,B5+1)))</f>
        <v/>
      </c>
      <c r="C6" s="33" t="str">
        <f t="shared" ref="C6:C30" si="10">IF($E6="","",IF($E5=$E6,C5+1,0))</f>
        <v/>
      </c>
      <c r="D6" s="33" t="str">
        <f t="shared" ref="D6:D30" si="11">IF($E6="","",IF(OR($F5="流局",$F5="チョンボ"),D5+($H5+$M5+$R5)/-1000,0))</f>
        <v/>
      </c>
      <c r="E6" s="5"/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36" t="str">
        <f t="shared" si="0"/>
        <v/>
      </c>
      <c r="K6" s="10"/>
      <c r="L6" s="11"/>
      <c r="M6" s="11"/>
      <c r="N6" s="12" t="str">
        <f t="shared" si="6"/>
        <v/>
      </c>
      <c r="O6" s="36" t="str">
        <f t="shared" si="1"/>
        <v/>
      </c>
      <c r="P6" s="10"/>
      <c r="Q6" s="11"/>
      <c r="R6" s="11"/>
      <c r="S6" s="12" t="str">
        <f t="shared" si="7"/>
        <v/>
      </c>
      <c r="T6" s="36" t="str">
        <f t="shared" si="2"/>
        <v/>
      </c>
      <c r="U6" s="26" t="str">
        <f t="shared" si="3"/>
        <v/>
      </c>
      <c r="V6" s="27" t="str">
        <f t="shared" si="4"/>
        <v/>
      </c>
      <c r="W6" s="28" t="str">
        <f t="shared" si="5"/>
        <v/>
      </c>
    </row>
    <row r="7" spans="1:23" x14ac:dyDescent="0.4">
      <c r="A7" s="17" t="str">
        <f t="shared" si="8"/>
        <v/>
      </c>
      <c r="B7" s="33" t="str">
        <f t="shared" si="9"/>
        <v/>
      </c>
      <c r="C7" s="33" t="str">
        <f t="shared" si="10"/>
        <v/>
      </c>
      <c r="D7" s="33" t="str">
        <f t="shared" si="11"/>
        <v/>
      </c>
      <c r="E7" s="5"/>
      <c r="F7" s="10"/>
      <c r="G7" s="11"/>
      <c r="H7" s="11"/>
      <c r="I7" s="12" t="str">
        <f t="shared" si="12"/>
        <v/>
      </c>
      <c r="J7" s="36" t="str">
        <f t="shared" si="0"/>
        <v/>
      </c>
      <c r="K7" s="10"/>
      <c r="L7" s="11"/>
      <c r="M7" s="11"/>
      <c r="N7" s="12" t="str">
        <f t="shared" si="6"/>
        <v/>
      </c>
      <c r="O7" s="36" t="str">
        <f t="shared" si="1"/>
        <v/>
      </c>
      <c r="P7" s="10"/>
      <c r="Q7" s="11"/>
      <c r="R7" s="11"/>
      <c r="S7" s="12" t="str">
        <f t="shared" si="7"/>
        <v/>
      </c>
      <c r="T7" s="36" t="str">
        <f t="shared" si="2"/>
        <v/>
      </c>
      <c r="U7" s="26" t="str">
        <f t="shared" si="3"/>
        <v/>
      </c>
      <c r="V7" s="27" t="str">
        <f t="shared" si="4"/>
        <v/>
      </c>
      <c r="W7" s="28" t="str">
        <f t="shared" si="5"/>
        <v/>
      </c>
    </row>
    <row r="8" spans="1:23" x14ac:dyDescent="0.4">
      <c r="A8" s="17" t="str">
        <f t="shared" si="8"/>
        <v/>
      </c>
      <c r="B8" s="33" t="str">
        <f t="shared" si="9"/>
        <v/>
      </c>
      <c r="C8" s="33" t="str">
        <f t="shared" si="10"/>
        <v/>
      </c>
      <c r="D8" s="33" t="str">
        <f t="shared" si="11"/>
        <v/>
      </c>
      <c r="E8" s="5"/>
      <c r="F8" s="10"/>
      <c r="G8" s="11"/>
      <c r="H8" s="11"/>
      <c r="I8" s="12" t="str">
        <f t="shared" si="12"/>
        <v/>
      </c>
      <c r="J8" s="36" t="str">
        <f t="shared" si="0"/>
        <v/>
      </c>
      <c r="K8" s="10"/>
      <c r="L8" s="11"/>
      <c r="M8" s="11"/>
      <c r="N8" s="12" t="str">
        <f t="shared" si="6"/>
        <v/>
      </c>
      <c r="O8" s="36" t="str">
        <f t="shared" si="1"/>
        <v/>
      </c>
      <c r="P8" s="10"/>
      <c r="Q8" s="11"/>
      <c r="R8" s="11"/>
      <c r="S8" s="12" t="str">
        <f t="shared" si="7"/>
        <v/>
      </c>
      <c r="T8" s="36" t="str">
        <f t="shared" si="2"/>
        <v/>
      </c>
      <c r="U8" s="26" t="str">
        <f t="shared" si="3"/>
        <v/>
      </c>
      <c r="V8" s="27" t="str">
        <f t="shared" si="4"/>
        <v/>
      </c>
      <c r="W8" s="28" t="str">
        <f t="shared" si="5"/>
        <v/>
      </c>
    </row>
    <row r="9" spans="1:23" x14ac:dyDescent="0.4">
      <c r="A9" s="17" t="str">
        <f t="shared" si="8"/>
        <v/>
      </c>
      <c r="B9" s="33" t="str">
        <f t="shared" si="9"/>
        <v/>
      </c>
      <c r="C9" s="33" t="str">
        <f t="shared" si="10"/>
        <v/>
      </c>
      <c r="D9" s="33" t="str">
        <f t="shared" si="11"/>
        <v/>
      </c>
      <c r="E9" s="5"/>
      <c r="F9" s="10"/>
      <c r="G9" s="11"/>
      <c r="H9" s="11"/>
      <c r="I9" s="12" t="str">
        <f t="shared" si="12"/>
        <v/>
      </c>
      <c r="J9" s="36" t="str">
        <f t="shared" si="0"/>
        <v/>
      </c>
      <c r="K9" s="10"/>
      <c r="L9" s="11"/>
      <c r="M9" s="11"/>
      <c r="N9" s="12" t="str">
        <f t="shared" si="6"/>
        <v/>
      </c>
      <c r="O9" s="36" t="str">
        <f t="shared" si="1"/>
        <v/>
      </c>
      <c r="P9" s="10"/>
      <c r="Q9" s="11"/>
      <c r="R9" s="11"/>
      <c r="S9" s="12" t="str">
        <f t="shared" si="7"/>
        <v/>
      </c>
      <c r="T9" s="36" t="str">
        <f t="shared" si="2"/>
        <v/>
      </c>
      <c r="U9" s="26" t="str">
        <f t="shared" si="3"/>
        <v/>
      </c>
      <c r="V9" s="27" t="str">
        <f t="shared" si="4"/>
        <v/>
      </c>
      <c r="W9" s="28" t="str">
        <f t="shared" si="5"/>
        <v/>
      </c>
    </row>
    <row r="10" spans="1:23" x14ac:dyDescent="0.4">
      <c r="A10" s="17" t="str">
        <f t="shared" si="8"/>
        <v/>
      </c>
      <c r="B10" s="33" t="str">
        <f t="shared" si="9"/>
        <v/>
      </c>
      <c r="C10" s="33" t="str">
        <f t="shared" si="10"/>
        <v/>
      </c>
      <c r="D10" s="33" t="str">
        <f t="shared" si="11"/>
        <v/>
      </c>
      <c r="E10" s="5"/>
      <c r="F10" s="10"/>
      <c r="G10" s="11"/>
      <c r="H10" s="11"/>
      <c r="I10" s="12" t="str">
        <f t="shared" si="12"/>
        <v/>
      </c>
      <c r="J10" s="36" t="str">
        <f t="shared" si="0"/>
        <v/>
      </c>
      <c r="K10" s="10"/>
      <c r="L10" s="11"/>
      <c r="M10" s="11"/>
      <c r="N10" s="12" t="str">
        <f t="shared" si="6"/>
        <v/>
      </c>
      <c r="O10" s="36" t="str">
        <f t="shared" si="1"/>
        <v/>
      </c>
      <c r="P10" s="10"/>
      <c r="Q10" s="11"/>
      <c r="R10" s="11"/>
      <c r="S10" s="12" t="str">
        <f t="shared" si="7"/>
        <v/>
      </c>
      <c r="T10" s="36" t="str">
        <f t="shared" si="2"/>
        <v/>
      </c>
      <c r="U10" s="26" t="str">
        <f t="shared" si="3"/>
        <v/>
      </c>
      <c r="V10" s="27" t="str">
        <f t="shared" si="4"/>
        <v/>
      </c>
      <c r="W10" s="28" t="str">
        <f t="shared" si="5"/>
        <v/>
      </c>
    </row>
    <row r="11" spans="1:23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1"/>
        <v/>
      </c>
      <c r="P11" s="10"/>
      <c r="Q11" s="11"/>
      <c r="R11" s="11"/>
      <c r="S11" s="12" t="str">
        <f t="shared" si="7"/>
        <v/>
      </c>
      <c r="T11" s="36" t="str">
        <f t="shared" si="2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7" priority="2">
      <formula>IF(AND(G4&lt;&gt;"",F4&lt;&gt;"流局",F4&lt;&gt;"チョンボ"),SUM($G4:$I4,$L4:$N4,$Q4:$S4)-$D4*1000)</formula>
    </cfRule>
  </conditionalFormatting>
  <conditionalFormatting sqref="F1:T1">
    <cfRule type="duplicateValues" dxfId="6" priority="1"/>
  </conditionalFormatting>
  <dataValidations count="2">
    <dataValidation type="list" showInputMessage="1" showErrorMessage="1" sqref="K4:K30 P4:P30 F4:F30" xr:uid="{C7E8A0A2-5EDC-49D0-AAB3-CD19DA750CE6}">
      <formula1>"ロン,ツモ,放銃,ツモ支払,流局,チョンボ"</formula1>
    </dataValidation>
    <dataValidation type="list" allowBlank="1" showErrorMessage="1" sqref="E4:E30" xr:uid="{42B8AB7B-D867-44BE-95EC-4B6E0A3826E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F1A1D-ACAB-45C4-996F-1179B828B016}">
  <sheetPr codeName="Sheet17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たかの</v>
      </c>
      <c r="W2" s="22" t="str">
        <f>$P$1</f>
        <v>やがさき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24</v>
      </c>
      <c r="F4" s="10" t="s">
        <v>31</v>
      </c>
      <c r="G4" s="11">
        <v>12000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47000</v>
      </c>
      <c r="K4" s="10" t="s">
        <v>32</v>
      </c>
      <c r="L4" s="11">
        <v>-7500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27500</v>
      </c>
      <c r="P4" s="10" t="s">
        <v>32</v>
      </c>
      <c r="Q4" s="11">
        <v>-4500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30500</v>
      </c>
      <c r="U4" s="26">
        <f t="shared" ref="U4:U30" si="3">IF($J4="","",ROUND(($J4-$J$3)/1000,0))</f>
        <v>12</v>
      </c>
      <c r="V4" s="27">
        <f t="shared" ref="V4:V30" si="4">IF($O4="","",ROUND(($O4-$O$3)/1000,0))</f>
        <v>-8</v>
      </c>
      <c r="W4" s="28">
        <f t="shared" ref="W4:W30" si="5">IF($T4="","",ROUND(($T4-$T$3)/1000,0))</f>
        <v>-5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0</v>
      </c>
      <c r="E5" s="5" t="s">
        <v>26</v>
      </c>
      <c r="F5" s="10"/>
      <c r="G5" s="11"/>
      <c r="H5" s="11"/>
      <c r="I5" s="12" t="str">
        <f>IF(OR(F5="ロン",F5="ツモ"),$C5*1000,IF(F5="放銃",$C5*-1000,IF(F5="ツモ支払",$C5*-500,"")))</f>
        <v/>
      </c>
      <c r="J5" s="36">
        <f t="shared" si="0"/>
        <v>47000</v>
      </c>
      <c r="K5" s="10" t="s">
        <v>30</v>
      </c>
      <c r="L5" s="11">
        <v>-18000</v>
      </c>
      <c r="M5" s="11"/>
      <c r="N5" s="12">
        <f t="shared" ref="N5:N30" si="6">IF(OR(K5="ロン",K5="ツモ"),$C5*1000,IF(K5="放銃",$C5*-1000,IF(K5="ツモ支払",$C5*-500,"")))</f>
        <v>0</v>
      </c>
      <c r="O5" s="36">
        <f t="shared" si="1"/>
        <v>9500</v>
      </c>
      <c r="P5" s="10" t="s">
        <v>29</v>
      </c>
      <c r="Q5" s="11">
        <v>18000</v>
      </c>
      <c r="R5" s="11"/>
      <c r="S5" s="12">
        <f t="shared" ref="S5:S30" si="7">IF(OR(P5="ロン",P5="ツモ"),$C5*1000,IF(P5="放銃",$C5*-1000,IF(P5="ツモ支払",$C5*-500,"")))</f>
        <v>0</v>
      </c>
      <c r="T5" s="36">
        <f t="shared" si="2"/>
        <v>48500</v>
      </c>
      <c r="U5" s="26">
        <f t="shared" si="3"/>
        <v>12</v>
      </c>
      <c r="V5" s="27">
        <f t="shared" si="4"/>
        <v>-26</v>
      </c>
      <c r="W5" s="28">
        <f t="shared" si="5"/>
        <v>14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2</v>
      </c>
      <c r="C6" s="33">
        <f t="shared" ref="C6:C30" si="10">IF($E6="","",IF($E5=$E6,C5+1,0))</f>
        <v>1</v>
      </c>
      <c r="D6" s="33">
        <f t="shared" ref="D6:D30" si="11">IF($E6="","",IF(OR($F5="流局",$F5="チョンボ"),D5+($H5+$M5+$R5)/-1000,0))</f>
        <v>0</v>
      </c>
      <c r="E6" s="5" t="s">
        <v>26</v>
      </c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36">
        <f t="shared" si="0"/>
        <v>47000</v>
      </c>
      <c r="K6" s="10" t="s">
        <v>30</v>
      </c>
      <c r="L6" s="11">
        <v>-4800</v>
      </c>
      <c r="M6" s="11"/>
      <c r="N6" s="12">
        <f t="shared" si="6"/>
        <v>-1000</v>
      </c>
      <c r="O6" s="36">
        <f t="shared" si="1"/>
        <v>3700</v>
      </c>
      <c r="P6" s="10" t="s">
        <v>29</v>
      </c>
      <c r="Q6" s="11">
        <v>4800</v>
      </c>
      <c r="R6" s="11"/>
      <c r="S6" s="12">
        <f t="shared" si="7"/>
        <v>1000</v>
      </c>
      <c r="T6" s="36">
        <f t="shared" si="2"/>
        <v>54300</v>
      </c>
      <c r="U6" s="26">
        <f t="shared" si="3"/>
        <v>12</v>
      </c>
      <c r="V6" s="27">
        <f t="shared" si="4"/>
        <v>-31</v>
      </c>
      <c r="W6" s="28">
        <f t="shared" si="5"/>
        <v>19</v>
      </c>
    </row>
    <row r="7" spans="1:23" x14ac:dyDescent="0.4">
      <c r="A7" s="17" t="str">
        <f t="shared" si="8"/>
        <v>東</v>
      </c>
      <c r="B7" s="33">
        <f t="shared" si="9"/>
        <v>2</v>
      </c>
      <c r="C7" s="33">
        <f t="shared" si="10"/>
        <v>2</v>
      </c>
      <c r="D7" s="33">
        <f t="shared" si="11"/>
        <v>0</v>
      </c>
      <c r="E7" s="5" t="s">
        <v>26</v>
      </c>
      <c r="F7" s="10" t="s">
        <v>30</v>
      </c>
      <c r="G7" s="11">
        <v>-7700</v>
      </c>
      <c r="H7" s="11"/>
      <c r="I7" s="12">
        <f t="shared" si="12"/>
        <v>-2000</v>
      </c>
      <c r="J7" s="36">
        <f t="shared" si="0"/>
        <v>37300</v>
      </c>
      <c r="K7" s="10"/>
      <c r="L7" s="11"/>
      <c r="M7" s="11"/>
      <c r="N7" s="12" t="str">
        <f t="shared" si="6"/>
        <v/>
      </c>
      <c r="O7" s="36">
        <f t="shared" si="1"/>
        <v>3700</v>
      </c>
      <c r="P7" s="10" t="s">
        <v>29</v>
      </c>
      <c r="Q7" s="11">
        <v>7700</v>
      </c>
      <c r="R7" s="11"/>
      <c r="S7" s="12">
        <f t="shared" si="7"/>
        <v>2000</v>
      </c>
      <c r="T7" s="36">
        <f t="shared" si="2"/>
        <v>64000</v>
      </c>
      <c r="U7" s="26">
        <f t="shared" si="3"/>
        <v>2</v>
      </c>
      <c r="V7" s="27">
        <f t="shared" si="4"/>
        <v>-31</v>
      </c>
      <c r="W7" s="28">
        <f t="shared" si="5"/>
        <v>29</v>
      </c>
    </row>
    <row r="8" spans="1:23" x14ac:dyDescent="0.4">
      <c r="A8" s="17" t="str">
        <f t="shared" si="8"/>
        <v>東</v>
      </c>
      <c r="B8" s="33">
        <f t="shared" si="9"/>
        <v>2</v>
      </c>
      <c r="C8" s="33">
        <f t="shared" si="10"/>
        <v>3</v>
      </c>
      <c r="D8" s="33">
        <f t="shared" si="11"/>
        <v>0</v>
      </c>
      <c r="E8" s="5" t="s">
        <v>26</v>
      </c>
      <c r="F8" s="10" t="s">
        <v>32</v>
      </c>
      <c r="G8" s="11">
        <v>-9000</v>
      </c>
      <c r="H8" s="11"/>
      <c r="I8" s="12">
        <f t="shared" si="12"/>
        <v>-1500</v>
      </c>
      <c r="J8" s="36">
        <f t="shared" si="0"/>
        <v>26800</v>
      </c>
      <c r="K8" s="10" t="s">
        <v>32</v>
      </c>
      <c r="L8" s="11">
        <v>-9000</v>
      </c>
      <c r="M8" s="11"/>
      <c r="N8" s="12">
        <f t="shared" si="6"/>
        <v>-1500</v>
      </c>
      <c r="O8" s="36">
        <f t="shared" si="1"/>
        <v>-6800</v>
      </c>
      <c r="P8" s="10" t="s">
        <v>31</v>
      </c>
      <c r="Q8" s="11">
        <v>18000</v>
      </c>
      <c r="R8" s="11"/>
      <c r="S8" s="12">
        <f t="shared" si="7"/>
        <v>3000</v>
      </c>
      <c r="T8" s="36">
        <f t="shared" si="2"/>
        <v>85000</v>
      </c>
      <c r="U8" s="26">
        <f t="shared" si="3"/>
        <v>-8</v>
      </c>
      <c r="V8" s="27">
        <f t="shared" si="4"/>
        <v>-42</v>
      </c>
      <c r="W8" s="28">
        <f t="shared" si="5"/>
        <v>50</v>
      </c>
    </row>
    <row r="9" spans="1:23" x14ac:dyDescent="0.4">
      <c r="A9" s="17" t="str">
        <f t="shared" si="8"/>
        <v/>
      </c>
      <c r="B9" s="33" t="str">
        <f t="shared" si="9"/>
        <v/>
      </c>
      <c r="C9" s="33" t="str">
        <f t="shared" si="10"/>
        <v/>
      </c>
      <c r="D9" s="33" t="str">
        <f t="shared" si="11"/>
        <v/>
      </c>
      <c r="E9" s="5"/>
      <c r="F9" s="10"/>
      <c r="G9" s="11"/>
      <c r="H9" s="11"/>
      <c r="I9" s="12" t="str">
        <f t="shared" si="12"/>
        <v/>
      </c>
      <c r="J9" s="36" t="str">
        <f t="shared" si="0"/>
        <v/>
      </c>
      <c r="K9" s="10"/>
      <c r="L9" s="11"/>
      <c r="M9" s="11"/>
      <c r="N9" s="12" t="str">
        <f t="shared" si="6"/>
        <v/>
      </c>
      <c r="O9" s="36" t="str">
        <f t="shared" si="1"/>
        <v/>
      </c>
      <c r="P9" s="10"/>
      <c r="Q9" s="11"/>
      <c r="R9" s="11"/>
      <c r="S9" s="12" t="str">
        <f t="shared" si="7"/>
        <v/>
      </c>
      <c r="T9" s="36" t="str">
        <f t="shared" si="2"/>
        <v/>
      </c>
      <c r="U9" s="26" t="str">
        <f t="shared" si="3"/>
        <v/>
      </c>
      <c r="V9" s="27" t="str">
        <f t="shared" si="4"/>
        <v/>
      </c>
      <c r="W9" s="28" t="str">
        <f t="shared" si="5"/>
        <v/>
      </c>
    </row>
    <row r="10" spans="1:23" x14ac:dyDescent="0.4">
      <c r="A10" s="17" t="str">
        <f t="shared" si="8"/>
        <v/>
      </c>
      <c r="B10" s="33" t="str">
        <f t="shared" si="9"/>
        <v/>
      </c>
      <c r="C10" s="33" t="str">
        <f t="shared" si="10"/>
        <v/>
      </c>
      <c r="D10" s="33" t="str">
        <f t="shared" si="11"/>
        <v/>
      </c>
      <c r="E10" s="5"/>
      <c r="F10" s="10"/>
      <c r="G10" s="11"/>
      <c r="H10" s="11"/>
      <c r="I10" s="12" t="str">
        <f t="shared" si="12"/>
        <v/>
      </c>
      <c r="J10" s="36" t="str">
        <f t="shared" si="0"/>
        <v/>
      </c>
      <c r="K10" s="10"/>
      <c r="L10" s="11"/>
      <c r="M10" s="11"/>
      <c r="N10" s="12" t="str">
        <f t="shared" si="6"/>
        <v/>
      </c>
      <c r="O10" s="36" t="str">
        <f t="shared" si="1"/>
        <v/>
      </c>
      <c r="P10" s="10"/>
      <c r="Q10" s="11"/>
      <c r="R10" s="11"/>
      <c r="S10" s="12" t="str">
        <f t="shared" si="7"/>
        <v/>
      </c>
      <c r="T10" s="36" t="str">
        <f t="shared" si="2"/>
        <v/>
      </c>
      <c r="U10" s="26" t="str">
        <f t="shared" si="3"/>
        <v/>
      </c>
      <c r="V10" s="27" t="str">
        <f t="shared" si="4"/>
        <v/>
      </c>
      <c r="W10" s="28" t="str">
        <f t="shared" si="5"/>
        <v/>
      </c>
    </row>
    <row r="11" spans="1:23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1"/>
        <v/>
      </c>
      <c r="P11" s="10"/>
      <c r="Q11" s="11"/>
      <c r="R11" s="11"/>
      <c r="S11" s="12" t="str">
        <f t="shared" si="7"/>
        <v/>
      </c>
      <c r="T11" s="36" t="str">
        <f t="shared" si="2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allowBlank="1" showErrorMessage="1" sqref="E4:E30" xr:uid="{5113D4E6-83C2-4241-A136-5439DE23450B}">
      <formula1>$U$2:$W$2</formula1>
    </dataValidation>
    <dataValidation type="list" showInputMessage="1" showErrorMessage="1" sqref="K4:K30 P4:P30 F4:F30" xr:uid="{4AC787A2-211A-4994-8F89-5404D5586D4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695E4-5E67-4E64-97EA-109573F6320E}">
  <sheetPr codeName="Sheet18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たかの</v>
      </c>
      <c r="W2" s="22" t="str">
        <f>$P$1</f>
        <v>やがさき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24</v>
      </c>
      <c r="F4" s="10" t="s">
        <v>31</v>
      </c>
      <c r="G4" s="11">
        <v>8000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43000</v>
      </c>
      <c r="K4" s="10" t="s">
        <v>32</v>
      </c>
      <c r="L4" s="11">
        <v>-5000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30000</v>
      </c>
      <c r="P4" s="10" t="s">
        <v>32</v>
      </c>
      <c r="Q4" s="11">
        <v>-3000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32000</v>
      </c>
      <c r="U4" s="26">
        <f t="shared" ref="U4:U30" si="3">IF($J4="","",ROUND(($J4-$J$3)/1000,0))</f>
        <v>8</v>
      </c>
      <c r="V4" s="27">
        <f t="shared" ref="V4:V30" si="4">IF($O4="","",ROUND(($O4-$O$3)/1000,0))</f>
        <v>-5</v>
      </c>
      <c r="W4" s="28">
        <f t="shared" ref="W4:W30" si="5">IF($T4="","",ROUND(($T4-$T$3)/1000,0))</f>
        <v>-3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0</v>
      </c>
      <c r="E5" s="5" t="s">
        <v>26</v>
      </c>
      <c r="F5" s="10" t="s">
        <v>32</v>
      </c>
      <c r="G5" s="11">
        <v>-1100</v>
      </c>
      <c r="H5" s="11"/>
      <c r="I5" s="12">
        <f>IF(OR(F5="ロン",F5="ツモ"),$C5*1000,IF(F5="放銃",$C5*-1000,IF(F5="ツモ支払",$C5*-500,"")))</f>
        <v>0</v>
      </c>
      <c r="J5" s="36">
        <f t="shared" si="0"/>
        <v>41900</v>
      </c>
      <c r="K5" s="10" t="s">
        <v>31</v>
      </c>
      <c r="L5" s="11">
        <v>2800</v>
      </c>
      <c r="M5" s="11"/>
      <c r="N5" s="12">
        <f t="shared" ref="N5:N30" si="6">IF(OR(K5="ロン",K5="ツモ"),$C5*1000,IF(K5="放銃",$C5*-1000,IF(K5="ツモ支払",$C5*-500,"")))</f>
        <v>0</v>
      </c>
      <c r="O5" s="36">
        <f t="shared" si="1"/>
        <v>32800</v>
      </c>
      <c r="P5" s="10" t="s">
        <v>32</v>
      </c>
      <c r="Q5" s="11">
        <v>-1700</v>
      </c>
      <c r="R5" s="11"/>
      <c r="S5" s="12">
        <f t="shared" ref="S5:S30" si="7">IF(OR(P5="ロン",P5="ツモ"),$C5*1000,IF(P5="放銃",$C5*-1000,IF(P5="ツモ支払",$C5*-500,"")))</f>
        <v>0</v>
      </c>
      <c r="T5" s="36">
        <f t="shared" si="2"/>
        <v>30300</v>
      </c>
      <c r="U5" s="26">
        <f t="shared" si="3"/>
        <v>7</v>
      </c>
      <c r="V5" s="27">
        <f t="shared" si="4"/>
        <v>-2</v>
      </c>
      <c r="W5" s="28">
        <f t="shared" si="5"/>
        <v>-5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3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22</v>
      </c>
      <c r="F6" s="10" t="s">
        <v>32</v>
      </c>
      <c r="G6" s="11">
        <v>-700</v>
      </c>
      <c r="H6" s="11"/>
      <c r="I6" s="12">
        <f t="shared" ref="I6:I30" si="12">IF(OR(F6="ロン",F6="ツモ"),$C6*1000,IF(F6="放銃",$C6*-1000,IF(F6="ツモ支払",$C6*-500,"")))</f>
        <v>0</v>
      </c>
      <c r="J6" s="36">
        <f t="shared" si="0"/>
        <v>41200</v>
      </c>
      <c r="K6" s="10" t="s">
        <v>32</v>
      </c>
      <c r="L6" s="11">
        <v>-500</v>
      </c>
      <c r="M6" s="11"/>
      <c r="N6" s="12">
        <f t="shared" si="6"/>
        <v>0</v>
      </c>
      <c r="O6" s="36">
        <f t="shared" si="1"/>
        <v>32300</v>
      </c>
      <c r="P6" s="10" t="s">
        <v>31</v>
      </c>
      <c r="Q6" s="11">
        <v>1200</v>
      </c>
      <c r="R6" s="11"/>
      <c r="S6" s="12">
        <f t="shared" si="7"/>
        <v>0</v>
      </c>
      <c r="T6" s="36">
        <f t="shared" si="2"/>
        <v>31500</v>
      </c>
      <c r="U6" s="26">
        <f t="shared" si="3"/>
        <v>6</v>
      </c>
      <c r="V6" s="27">
        <f t="shared" si="4"/>
        <v>-3</v>
      </c>
      <c r="W6" s="28">
        <f t="shared" si="5"/>
        <v>-4</v>
      </c>
    </row>
    <row r="7" spans="1:23" x14ac:dyDescent="0.4">
      <c r="A7" s="17" t="str">
        <f t="shared" si="8"/>
        <v>南</v>
      </c>
      <c r="B7" s="33">
        <f t="shared" si="9"/>
        <v>1</v>
      </c>
      <c r="C7" s="33">
        <f t="shared" si="10"/>
        <v>0</v>
      </c>
      <c r="D7" s="33">
        <f t="shared" si="11"/>
        <v>0</v>
      </c>
      <c r="E7" s="5" t="s">
        <v>24</v>
      </c>
      <c r="F7" s="10" t="s">
        <v>30</v>
      </c>
      <c r="G7" s="11">
        <v>-8000</v>
      </c>
      <c r="H7" s="11"/>
      <c r="I7" s="12">
        <f t="shared" si="12"/>
        <v>0</v>
      </c>
      <c r="J7" s="36">
        <f t="shared" si="0"/>
        <v>33200</v>
      </c>
      <c r="K7" s="10"/>
      <c r="L7" s="11"/>
      <c r="M7" s="11"/>
      <c r="N7" s="12" t="str">
        <f t="shared" si="6"/>
        <v/>
      </c>
      <c r="O7" s="36">
        <f t="shared" si="1"/>
        <v>32300</v>
      </c>
      <c r="P7" s="10" t="s">
        <v>29</v>
      </c>
      <c r="Q7" s="11">
        <v>8000</v>
      </c>
      <c r="R7" s="11"/>
      <c r="S7" s="12">
        <f t="shared" si="7"/>
        <v>0</v>
      </c>
      <c r="T7" s="36">
        <f t="shared" si="2"/>
        <v>39500</v>
      </c>
      <c r="U7" s="26">
        <f t="shared" si="3"/>
        <v>-2</v>
      </c>
      <c r="V7" s="27">
        <f t="shared" si="4"/>
        <v>-3</v>
      </c>
      <c r="W7" s="28">
        <f t="shared" si="5"/>
        <v>5</v>
      </c>
    </row>
    <row r="8" spans="1:23" x14ac:dyDescent="0.4">
      <c r="A8" s="17" t="str">
        <f t="shared" si="8"/>
        <v>南</v>
      </c>
      <c r="B8" s="33">
        <f t="shared" si="9"/>
        <v>2</v>
      </c>
      <c r="C8" s="33">
        <f t="shared" si="10"/>
        <v>0</v>
      </c>
      <c r="D8" s="33">
        <f t="shared" si="11"/>
        <v>0</v>
      </c>
      <c r="E8" s="5" t="s">
        <v>26</v>
      </c>
      <c r="F8" s="10" t="s">
        <v>30</v>
      </c>
      <c r="G8" s="11">
        <v>-5200</v>
      </c>
      <c r="H8" s="11"/>
      <c r="I8" s="12">
        <f t="shared" si="12"/>
        <v>0</v>
      </c>
      <c r="J8" s="36">
        <f t="shared" si="0"/>
        <v>28000</v>
      </c>
      <c r="K8" s="10" t="s">
        <v>29</v>
      </c>
      <c r="L8" s="11">
        <v>5200</v>
      </c>
      <c r="M8" s="11"/>
      <c r="N8" s="12">
        <f t="shared" si="6"/>
        <v>0</v>
      </c>
      <c r="O8" s="36">
        <f t="shared" si="1"/>
        <v>37500</v>
      </c>
      <c r="P8" s="10"/>
      <c r="Q8" s="11"/>
      <c r="R8" s="11"/>
      <c r="S8" s="12" t="str">
        <f t="shared" si="7"/>
        <v/>
      </c>
      <c r="T8" s="36">
        <f t="shared" si="2"/>
        <v>39500</v>
      </c>
      <c r="U8" s="26">
        <f t="shared" si="3"/>
        <v>-7</v>
      </c>
      <c r="V8" s="27">
        <f t="shared" si="4"/>
        <v>3</v>
      </c>
      <c r="W8" s="28">
        <f t="shared" si="5"/>
        <v>5</v>
      </c>
    </row>
    <row r="9" spans="1:23" x14ac:dyDescent="0.4">
      <c r="A9" s="17" t="str">
        <f t="shared" si="8"/>
        <v>南</v>
      </c>
      <c r="B9" s="33">
        <f t="shared" si="9"/>
        <v>3</v>
      </c>
      <c r="C9" s="33">
        <f t="shared" si="10"/>
        <v>0</v>
      </c>
      <c r="D9" s="33">
        <f t="shared" si="11"/>
        <v>0</v>
      </c>
      <c r="E9" s="5" t="s">
        <v>22</v>
      </c>
      <c r="F9" s="10"/>
      <c r="G9" s="11"/>
      <c r="H9" s="11"/>
      <c r="I9" s="12" t="str">
        <f t="shared" si="12"/>
        <v/>
      </c>
      <c r="J9" s="36">
        <f t="shared" si="0"/>
        <v>28000</v>
      </c>
      <c r="K9" s="10" t="s">
        <v>30</v>
      </c>
      <c r="L9" s="11">
        <v>-8000</v>
      </c>
      <c r="M9" s="11"/>
      <c r="N9" s="12">
        <f t="shared" si="6"/>
        <v>0</v>
      </c>
      <c r="O9" s="36">
        <f t="shared" si="1"/>
        <v>29500</v>
      </c>
      <c r="P9" s="10" t="s">
        <v>29</v>
      </c>
      <c r="Q9" s="11">
        <v>8000</v>
      </c>
      <c r="R9" s="11"/>
      <c r="S9" s="12">
        <f t="shared" si="7"/>
        <v>0</v>
      </c>
      <c r="T9" s="36">
        <f t="shared" si="2"/>
        <v>47500</v>
      </c>
      <c r="U9" s="26">
        <f t="shared" si="3"/>
        <v>-7</v>
      </c>
      <c r="V9" s="27">
        <f t="shared" si="4"/>
        <v>-6</v>
      </c>
      <c r="W9" s="28">
        <f t="shared" si="5"/>
        <v>13</v>
      </c>
    </row>
    <row r="10" spans="1:23" x14ac:dyDescent="0.4">
      <c r="A10" s="17" t="str">
        <f t="shared" si="8"/>
        <v/>
      </c>
      <c r="B10" s="33" t="str">
        <f t="shared" si="9"/>
        <v/>
      </c>
      <c r="C10" s="33" t="str">
        <f t="shared" si="10"/>
        <v/>
      </c>
      <c r="D10" s="33" t="str">
        <f t="shared" si="11"/>
        <v/>
      </c>
      <c r="E10" s="5"/>
      <c r="F10" s="10"/>
      <c r="G10" s="11"/>
      <c r="H10" s="11"/>
      <c r="I10" s="12" t="str">
        <f t="shared" si="12"/>
        <v/>
      </c>
      <c r="J10" s="36" t="str">
        <f t="shared" si="0"/>
        <v/>
      </c>
      <c r="K10" s="10"/>
      <c r="L10" s="11"/>
      <c r="M10" s="11"/>
      <c r="N10" s="12" t="str">
        <f t="shared" si="6"/>
        <v/>
      </c>
      <c r="O10" s="36" t="str">
        <f t="shared" si="1"/>
        <v/>
      </c>
      <c r="P10" s="10"/>
      <c r="Q10" s="11"/>
      <c r="R10" s="11"/>
      <c r="S10" s="12" t="str">
        <f t="shared" si="7"/>
        <v/>
      </c>
      <c r="T10" s="36" t="str">
        <f t="shared" si="2"/>
        <v/>
      </c>
      <c r="U10" s="26" t="str">
        <f t="shared" si="3"/>
        <v/>
      </c>
      <c r="V10" s="27" t="str">
        <f t="shared" si="4"/>
        <v/>
      </c>
      <c r="W10" s="28" t="str">
        <f t="shared" si="5"/>
        <v/>
      </c>
    </row>
    <row r="11" spans="1:23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1"/>
        <v/>
      </c>
      <c r="P11" s="10"/>
      <c r="Q11" s="11"/>
      <c r="R11" s="11"/>
      <c r="S11" s="12" t="str">
        <f t="shared" si="7"/>
        <v/>
      </c>
      <c r="T11" s="36" t="str">
        <f t="shared" si="2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showInputMessage="1" showErrorMessage="1" sqref="K4:K30 P4:P30 F4:F30" xr:uid="{C76F6BF0-1229-41EE-992B-72B069351003}">
      <formula1>"ロン,ツモ,放銃,ツモ支払,流局,チョンボ"</formula1>
    </dataValidation>
    <dataValidation type="list" allowBlank="1" showErrorMessage="1" sqref="E4:E30" xr:uid="{25CFACFB-C11C-44A3-889F-005E6B1F984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54451-E6A9-4405-AF53-68899007333E}">
  <sheetPr codeName="Sheet19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たかの</v>
      </c>
      <c r="W2" s="22" t="str">
        <f>$P$1</f>
        <v>やがさき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26</v>
      </c>
      <c r="F4" s="10" t="s">
        <v>30</v>
      </c>
      <c r="G4" s="11">
        <v>-8000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27000</v>
      </c>
      <c r="K4" s="10" t="s">
        <v>29</v>
      </c>
      <c r="L4" s="11">
        <v>8000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43000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36">
        <f t="shared" ref="T4:T30" si="2">IF(COUNTA($F4,$K4,$P4)&gt;0,T3+SUM(Q4:S4),"")</f>
        <v>35000</v>
      </c>
      <c r="U4" s="26">
        <f t="shared" ref="U4:U30" si="3">IF($J4="","",ROUND(($J4-$J$3)/1000,0))</f>
        <v>-8</v>
      </c>
      <c r="V4" s="27">
        <f t="shared" ref="V4:V30" si="4">IF($O4="","",ROUND(($O4-$O$3)/1000,0))</f>
        <v>8</v>
      </c>
      <c r="W4" s="28">
        <f t="shared" ref="W4:W30" si="5">IF($T4="","",ROUND(($T4-$T$3)/1000,0))</f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0</v>
      </c>
      <c r="E5" s="5" t="s">
        <v>22</v>
      </c>
      <c r="F5" s="10" t="s">
        <v>32</v>
      </c>
      <c r="G5" s="11">
        <v>-1300</v>
      </c>
      <c r="H5" s="11"/>
      <c r="I5" s="12">
        <f>IF(OR(F5="ロン",F5="ツモ"),$C5*1000,IF(F5="放銃",$C5*-1000,IF(F5="ツモ支払",$C5*-500,"")))</f>
        <v>0</v>
      </c>
      <c r="J5" s="36">
        <f t="shared" si="0"/>
        <v>25700</v>
      </c>
      <c r="K5" s="10" t="s">
        <v>31</v>
      </c>
      <c r="L5" s="11">
        <v>2100</v>
      </c>
      <c r="M5" s="11"/>
      <c r="N5" s="12">
        <f t="shared" ref="N5:N30" si="6">IF(OR(K5="ロン",K5="ツモ"),$C5*1000,IF(K5="放銃",$C5*-1000,IF(K5="ツモ支払",$C5*-500,"")))</f>
        <v>0</v>
      </c>
      <c r="O5" s="36">
        <f t="shared" si="1"/>
        <v>45100</v>
      </c>
      <c r="P5" s="10" t="s">
        <v>32</v>
      </c>
      <c r="Q5" s="11">
        <v>-800</v>
      </c>
      <c r="R5" s="11"/>
      <c r="S5" s="12">
        <f t="shared" ref="S5:S30" si="7">IF(OR(P5="ロン",P5="ツモ"),$C5*1000,IF(P5="放銃",$C5*-1000,IF(P5="ツモ支払",$C5*-500,"")))</f>
        <v>0</v>
      </c>
      <c r="T5" s="36">
        <f t="shared" si="2"/>
        <v>34200</v>
      </c>
      <c r="U5" s="26">
        <f t="shared" si="3"/>
        <v>-9</v>
      </c>
      <c r="V5" s="27">
        <f t="shared" si="4"/>
        <v>10</v>
      </c>
      <c r="W5" s="28">
        <f t="shared" si="5"/>
        <v>-1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3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24</v>
      </c>
      <c r="F6" s="10" t="s">
        <v>29</v>
      </c>
      <c r="G6" s="11">
        <v>5200</v>
      </c>
      <c r="H6" s="11"/>
      <c r="I6" s="12">
        <f t="shared" ref="I6:I30" si="12">IF(OR(F6="ロン",F6="ツモ"),$C6*1000,IF(F6="放銃",$C6*-1000,IF(F6="ツモ支払",$C6*-500,"")))</f>
        <v>0</v>
      </c>
      <c r="J6" s="36">
        <f t="shared" si="0"/>
        <v>30900</v>
      </c>
      <c r="K6" s="10" t="s">
        <v>30</v>
      </c>
      <c r="L6" s="11">
        <v>-5200</v>
      </c>
      <c r="M6" s="11"/>
      <c r="N6" s="12">
        <f t="shared" si="6"/>
        <v>0</v>
      </c>
      <c r="O6" s="36">
        <f t="shared" si="1"/>
        <v>39900</v>
      </c>
      <c r="P6" s="10"/>
      <c r="Q6" s="11"/>
      <c r="R6" s="11"/>
      <c r="S6" s="12" t="str">
        <f t="shared" si="7"/>
        <v/>
      </c>
      <c r="T6" s="36">
        <f t="shared" si="2"/>
        <v>34200</v>
      </c>
      <c r="U6" s="26">
        <f t="shared" si="3"/>
        <v>-4</v>
      </c>
      <c r="V6" s="27">
        <f t="shared" si="4"/>
        <v>5</v>
      </c>
      <c r="W6" s="28">
        <f t="shared" si="5"/>
        <v>-1</v>
      </c>
    </row>
    <row r="7" spans="1:23" x14ac:dyDescent="0.4">
      <c r="A7" s="17" t="str">
        <f t="shared" si="8"/>
        <v>南</v>
      </c>
      <c r="B7" s="33">
        <f t="shared" si="9"/>
        <v>1</v>
      </c>
      <c r="C7" s="33">
        <f t="shared" si="10"/>
        <v>0</v>
      </c>
      <c r="D7" s="33">
        <f t="shared" si="11"/>
        <v>0</v>
      </c>
      <c r="E7" s="5" t="s">
        <v>26</v>
      </c>
      <c r="F7" s="10" t="s">
        <v>28</v>
      </c>
      <c r="G7" s="11">
        <v>-1500</v>
      </c>
      <c r="H7" s="11"/>
      <c r="I7" s="12" t="str">
        <f t="shared" si="12"/>
        <v/>
      </c>
      <c r="J7" s="36">
        <f t="shared" si="0"/>
        <v>29400</v>
      </c>
      <c r="K7" s="10" t="s">
        <v>28</v>
      </c>
      <c r="L7" s="11">
        <v>3000</v>
      </c>
      <c r="M7" s="11">
        <v>-1000</v>
      </c>
      <c r="N7" s="12" t="str">
        <f t="shared" si="6"/>
        <v/>
      </c>
      <c r="O7" s="36">
        <f t="shared" si="1"/>
        <v>41900</v>
      </c>
      <c r="P7" s="10" t="s">
        <v>28</v>
      </c>
      <c r="Q7" s="11">
        <v>-1500</v>
      </c>
      <c r="R7" s="11"/>
      <c r="S7" s="12" t="str">
        <f t="shared" si="7"/>
        <v/>
      </c>
      <c r="T7" s="36">
        <f t="shared" si="2"/>
        <v>32700</v>
      </c>
      <c r="U7" s="26">
        <f t="shared" si="3"/>
        <v>-6</v>
      </c>
      <c r="V7" s="27">
        <f t="shared" si="4"/>
        <v>7</v>
      </c>
      <c r="W7" s="28">
        <f t="shared" si="5"/>
        <v>-2</v>
      </c>
    </row>
    <row r="8" spans="1:23" x14ac:dyDescent="0.4">
      <c r="A8" s="17" t="str">
        <f t="shared" si="8"/>
        <v>南</v>
      </c>
      <c r="B8" s="33">
        <f t="shared" si="9"/>
        <v>1</v>
      </c>
      <c r="C8" s="33">
        <f t="shared" si="10"/>
        <v>1</v>
      </c>
      <c r="D8" s="33">
        <f t="shared" si="11"/>
        <v>1</v>
      </c>
      <c r="E8" s="5" t="s">
        <v>26</v>
      </c>
      <c r="F8" s="10" t="s">
        <v>32</v>
      </c>
      <c r="G8" s="11">
        <v>-800</v>
      </c>
      <c r="H8" s="11"/>
      <c r="I8" s="12">
        <f t="shared" si="12"/>
        <v>-500</v>
      </c>
      <c r="J8" s="36">
        <f t="shared" si="0"/>
        <v>28100</v>
      </c>
      <c r="K8" s="10" t="s">
        <v>31</v>
      </c>
      <c r="L8" s="11">
        <v>2100</v>
      </c>
      <c r="M8" s="11"/>
      <c r="N8" s="12">
        <f t="shared" si="6"/>
        <v>1000</v>
      </c>
      <c r="O8" s="36">
        <f t="shared" si="1"/>
        <v>45000</v>
      </c>
      <c r="P8" s="10" t="s">
        <v>32</v>
      </c>
      <c r="Q8" s="11">
        <v>-1300</v>
      </c>
      <c r="R8" s="11">
        <v>1000</v>
      </c>
      <c r="S8" s="12">
        <f t="shared" si="7"/>
        <v>-500</v>
      </c>
      <c r="T8" s="36">
        <f t="shared" si="2"/>
        <v>31900</v>
      </c>
      <c r="U8" s="26">
        <f t="shared" si="3"/>
        <v>-7</v>
      </c>
      <c r="V8" s="27">
        <f t="shared" si="4"/>
        <v>10</v>
      </c>
      <c r="W8" s="28">
        <f t="shared" si="5"/>
        <v>-3</v>
      </c>
    </row>
    <row r="9" spans="1:23" x14ac:dyDescent="0.4">
      <c r="A9" s="17" t="str">
        <f t="shared" si="8"/>
        <v>南</v>
      </c>
      <c r="B9" s="33">
        <f t="shared" si="9"/>
        <v>1</v>
      </c>
      <c r="C9" s="33">
        <f t="shared" si="10"/>
        <v>2</v>
      </c>
      <c r="D9" s="33">
        <f t="shared" si="11"/>
        <v>0</v>
      </c>
      <c r="E9" s="5" t="s">
        <v>26</v>
      </c>
      <c r="F9" s="10" t="s">
        <v>30</v>
      </c>
      <c r="G9" s="11">
        <v>-5800</v>
      </c>
      <c r="H9" s="11"/>
      <c r="I9" s="12">
        <f t="shared" si="12"/>
        <v>-2000</v>
      </c>
      <c r="J9" s="36">
        <f t="shared" si="0"/>
        <v>20300</v>
      </c>
      <c r="K9" s="10"/>
      <c r="L9" s="11"/>
      <c r="M9" s="11"/>
      <c r="N9" s="12" t="str">
        <f t="shared" si="6"/>
        <v/>
      </c>
      <c r="O9" s="36">
        <f t="shared" si="1"/>
        <v>45000</v>
      </c>
      <c r="P9" s="10" t="s">
        <v>29</v>
      </c>
      <c r="Q9" s="11">
        <v>5800</v>
      </c>
      <c r="R9" s="11"/>
      <c r="S9" s="12">
        <f t="shared" si="7"/>
        <v>2000</v>
      </c>
      <c r="T9" s="36">
        <f t="shared" si="2"/>
        <v>39700</v>
      </c>
      <c r="U9" s="26">
        <f t="shared" si="3"/>
        <v>-15</v>
      </c>
      <c r="V9" s="27">
        <f t="shared" si="4"/>
        <v>10</v>
      </c>
      <c r="W9" s="28">
        <f t="shared" si="5"/>
        <v>5</v>
      </c>
    </row>
    <row r="10" spans="1:23" x14ac:dyDescent="0.4">
      <c r="A10" s="17" t="str">
        <f t="shared" si="8"/>
        <v>南</v>
      </c>
      <c r="B10" s="33">
        <f t="shared" si="9"/>
        <v>1</v>
      </c>
      <c r="C10" s="33">
        <f t="shared" si="10"/>
        <v>3</v>
      </c>
      <c r="D10" s="33">
        <f t="shared" si="11"/>
        <v>0</v>
      </c>
      <c r="E10" s="5" t="s">
        <v>26</v>
      </c>
      <c r="F10" s="10" t="s">
        <v>32</v>
      </c>
      <c r="G10" s="11">
        <v>-6000</v>
      </c>
      <c r="H10" s="11"/>
      <c r="I10" s="12">
        <f t="shared" si="12"/>
        <v>-1500</v>
      </c>
      <c r="J10" s="36">
        <f t="shared" si="0"/>
        <v>12800</v>
      </c>
      <c r="K10" s="10" t="s">
        <v>32</v>
      </c>
      <c r="L10" s="11">
        <v>-6000</v>
      </c>
      <c r="M10" s="11"/>
      <c r="N10" s="12">
        <f t="shared" si="6"/>
        <v>-1500</v>
      </c>
      <c r="O10" s="36">
        <f t="shared" si="1"/>
        <v>37500</v>
      </c>
      <c r="P10" s="10" t="s">
        <v>31</v>
      </c>
      <c r="Q10" s="11">
        <v>12000</v>
      </c>
      <c r="R10" s="11"/>
      <c r="S10" s="12">
        <f t="shared" si="7"/>
        <v>3000</v>
      </c>
      <c r="T10" s="36">
        <f t="shared" si="2"/>
        <v>54700</v>
      </c>
      <c r="U10" s="26">
        <f t="shared" si="3"/>
        <v>-22</v>
      </c>
      <c r="V10" s="27">
        <f t="shared" si="4"/>
        <v>3</v>
      </c>
      <c r="W10" s="28">
        <f t="shared" si="5"/>
        <v>20</v>
      </c>
    </row>
    <row r="11" spans="1:23" x14ac:dyDescent="0.4">
      <c r="A11" s="17" t="str">
        <f t="shared" si="8"/>
        <v>南</v>
      </c>
      <c r="B11" s="33">
        <f t="shared" si="9"/>
        <v>1</v>
      </c>
      <c r="C11" s="33">
        <f t="shared" si="10"/>
        <v>4</v>
      </c>
      <c r="D11" s="33">
        <f t="shared" si="11"/>
        <v>0</v>
      </c>
      <c r="E11" s="5" t="s">
        <v>26</v>
      </c>
      <c r="F11" s="10" t="s">
        <v>32</v>
      </c>
      <c r="G11" s="11">
        <v>-4500</v>
      </c>
      <c r="H11" s="11"/>
      <c r="I11" s="12">
        <f t="shared" si="12"/>
        <v>-2000</v>
      </c>
      <c r="J11" s="36">
        <f t="shared" si="0"/>
        <v>6300</v>
      </c>
      <c r="K11" s="10" t="s">
        <v>31</v>
      </c>
      <c r="L11" s="11">
        <v>12000</v>
      </c>
      <c r="M11" s="11"/>
      <c r="N11" s="12">
        <f t="shared" si="6"/>
        <v>4000</v>
      </c>
      <c r="O11" s="36">
        <f t="shared" si="1"/>
        <v>53500</v>
      </c>
      <c r="P11" s="10" t="s">
        <v>32</v>
      </c>
      <c r="Q11" s="11">
        <v>-7500</v>
      </c>
      <c r="R11" s="11"/>
      <c r="S11" s="12">
        <f t="shared" si="7"/>
        <v>-2000</v>
      </c>
      <c r="T11" s="36">
        <f t="shared" si="2"/>
        <v>45200</v>
      </c>
      <c r="U11" s="26">
        <f t="shared" si="3"/>
        <v>-29</v>
      </c>
      <c r="V11" s="27">
        <f t="shared" si="4"/>
        <v>19</v>
      </c>
      <c r="W11" s="28">
        <f t="shared" si="5"/>
        <v>10</v>
      </c>
    </row>
    <row r="12" spans="1:23" x14ac:dyDescent="0.4">
      <c r="A12" s="17" t="str">
        <f t="shared" si="8"/>
        <v>南</v>
      </c>
      <c r="B12" s="33">
        <f t="shared" si="9"/>
        <v>2</v>
      </c>
      <c r="C12" s="33">
        <f t="shared" si="10"/>
        <v>0</v>
      </c>
      <c r="D12" s="33">
        <f t="shared" si="11"/>
        <v>0</v>
      </c>
      <c r="E12" s="5" t="s">
        <v>22</v>
      </c>
      <c r="F12" s="10"/>
      <c r="G12" s="11"/>
      <c r="H12" s="11"/>
      <c r="I12" s="12" t="str">
        <f t="shared" si="12"/>
        <v/>
      </c>
      <c r="J12" s="36">
        <f t="shared" si="0"/>
        <v>6300</v>
      </c>
      <c r="K12" s="10" t="s">
        <v>30</v>
      </c>
      <c r="L12" s="11">
        <v>-1300</v>
      </c>
      <c r="M12" s="11"/>
      <c r="N12" s="12">
        <f t="shared" si="6"/>
        <v>0</v>
      </c>
      <c r="O12" s="36">
        <f t="shared" si="1"/>
        <v>52200</v>
      </c>
      <c r="P12" s="10" t="s">
        <v>29</v>
      </c>
      <c r="Q12" s="11">
        <v>1300</v>
      </c>
      <c r="R12" s="11"/>
      <c r="S12" s="12">
        <f t="shared" si="7"/>
        <v>0</v>
      </c>
      <c r="T12" s="36">
        <f t="shared" si="2"/>
        <v>46500</v>
      </c>
      <c r="U12" s="26">
        <f t="shared" si="3"/>
        <v>-29</v>
      </c>
      <c r="V12" s="27">
        <f t="shared" si="4"/>
        <v>17</v>
      </c>
      <c r="W12" s="28">
        <f t="shared" si="5"/>
        <v>12</v>
      </c>
    </row>
    <row r="13" spans="1:23" x14ac:dyDescent="0.4">
      <c r="A13" s="17" t="str">
        <f t="shared" si="8"/>
        <v>南</v>
      </c>
      <c r="B13" s="33">
        <f t="shared" si="9"/>
        <v>3</v>
      </c>
      <c r="C13" s="33">
        <f t="shared" si="10"/>
        <v>0</v>
      </c>
      <c r="D13" s="33">
        <f t="shared" si="11"/>
        <v>0</v>
      </c>
      <c r="E13" s="5" t="s">
        <v>24</v>
      </c>
      <c r="F13" s="10" t="s">
        <v>30</v>
      </c>
      <c r="G13" s="11">
        <v>-7700</v>
      </c>
      <c r="H13" s="11"/>
      <c r="I13" s="12">
        <f t="shared" si="12"/>
        <v>0</v>
      </c>
      <c r="J13" s="36">
        <f t="shared" si="0"/>
        <v>-1400</v>
      </c>
      <c r="K13" s="10" t="s">
        <v>29</v>
      </c>
      <c r="L13" s="11">
        <v>7700</v>
      </c>
      <c r="M13" s="11"/>
      <c r="N13" s="12">
        <f t="shared" si="6"/>
        <v>0</v>
      </c>
      <c r="O13" s="36">
        <f t="shared" si="1"/>
        <v>59900</v>
      </c>
      <c r="P13" s="10"/>
      <c r="Q13" s="11"/>
      <c r="R13" s="11"/>
      <c r="S13" s="12" t="str">
        <f t="shared" si="7"/>
        <v/>
      </c>
      <c r="T13" s="36">
        <f t="shared" si="2"/>
        <v>46500</v>
      </c>
      <c r="U13" s="26">
        <f t="shared" si="3"/>
        <v>-36</v>
      </c>
      <c r="V13" s="27">
        <f t="shared" si="4"/>
        <v>25</v>
      </c>
      <c r="W13" s="28">
        <f t="shared" si="5"/>
        <v>12</v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allowBlank="1" showErrorMessage="1" sqref="E4:E30" xr:uid="{F24DB969-5FDD-4952-950C-C51CA4669B4A}">
      <formula1>$U$2:$W$2</formula1>
    </dataValidation>
    <dataValidation type="list" showInputMessage="1" showErrorMessage="1" sqref="K4:K30 P4:P30 F4:F30" xr:uid="{85CAF71D-41F6-4DBF-8B4B-F16136EDAB6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2018-12-01T22:10:14Z</dcterms:modified>
</cp:coreProperties>
</file>