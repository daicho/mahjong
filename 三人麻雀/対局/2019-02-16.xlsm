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3_ncr:1_{3BF2ADE8-20E4-468E-A8AA-68C347877084}" xr6:coauthVersionLast="36" xr6:coauthVersionMax="36" xr10:uidLastSave="{00000000-0000-0000-0000-000000000000}"/>
  <bookViews>
    <workbookView xWindow="0" yWindow="0" windowWidth="28800" windowHeight="12720" activeTab="7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Sheet5" sheetId="19" r:id="rId5"/>
    <sheet name="Sheet6" sheetId="20" r:id="rId6"/>
    <sheet name="Sheet7" sheetId="21" r:id="rId7"/>
    <sheet name="Sheet8" sheetId="22" r:id="rId8"/>
    <sheet name="役一覧" sheetId="15" state="hidden" r:id="rId9"/>
    <sheet name="点数表(親ロン)" sheetId="4" state="hidden" r:id="rId10"/>
    <sheet name="点数表(親ツモ)" sheetId="9" state="hidden" r:id="rId11"/>
    <sheet name="点数表(子→親)" sheetId="7" state="hidden" r:id="rId12"/>
    <sheet name="点数表(子ロン)" sheetId="3" state="hidden" r:id="rId13"/>
    <sheet name="点数表(子ツモ)" sheetId="10" state="hidden" r:id="rId14"/>
    <sheet name="点数表(子→子)" sheetId="5" state="hidden" r:id="rId15"/>
    <sheet name="点数表(親→子)" sheetId="6" state="hidden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2" l="1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 s="1"/>
  <c r="T11" i="22"/>
  <c r="W11" i="22" s="1"/>
  <c r="O11" i="22"/>
  <c r="V11" i="22" s="1"/>
  <c r="J11" i="22"/>
  <c r="U11" i="22" s="1"/>
  <c r="D11" i="22"/>
  <c r="C11" i="22"/>
  <c r="B11" i="22"/>
  <c r="A11" i="22" s="1"/>
  <c r="D10" i="22"/>
  <c r="C10" i="22"/>
  <c r="D9" i="22"/>
  <c r="C9" i="22"/>
  <c r="D8" i="22"/>
  <c r="C8" i="22"/>
  <c r="D7" i="22"/>
  <c r="D6" i="22"/>
  <c r="C6" i="22"/>
  <c r="C7" i="22" s="1"/>
  <c r="O5" i="22"/>
  <c r="O6" i="22" s="1"/>
  <c r="J5" i="22"/>
  <c r="U5" i="22" s="1"/>
  <c r="D5" i="22"/>
  <c r="C5" i="22"/>
  <c r="B5" i="22"/>
  <c r="B6" i="22" s="1"/>
  <c r="T4" i="22"/>
  <c r="W4" i="22" s="1"/>
  <c r="O4" i="22"/>
  <c r="V4" i="22" s="1"/>
  <c r="J4" i="22"/>
  <c r="U4" i="22" s="1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W11" i="21" s="1"/>
  <c r="O11" i="21"/>
  <c r="V11" i="21" s="1"/>
  <c r="J11" i="21"/>
  <c r="U11" i="21" s="1"/>
  <c r="D11" i="21"/>
  <c r="C11" i="21"/>
  <c r="B11" i="21"/>
  <c r="A11" i="21" s="1"/>
  <c r="T10" i="21"/>
  <c r="W10" i="21" s="1"/>
  <c r="O10" i="21"/>
  <c r="V10" i="21" s="1"/>
  <c r="J10" i="21"/>
  <c r="U10" i="21" s="1"/>
  <c r="D10" i="21"/>
  <c r="C10" i="21"/>
  <c r="B10" i="21"/>
  <c r="A10" i="21"/>
  <c r="T9" i="21"/>
  <c r="W9" i="21" s="1"/>
  <c r="O9" i="21"/>
  <c r="V9" i="21" s="1"/>
  <c r="J9" i="21"/>
  <c r="U9" i="21" s="1"/>
  <c r="D9" i="21"/>
  <c r="C9" i="21"/>
  <c r="B9" i="21"/>
  <c r="A9" i="21" s="1"/>
  <c r="D8" i="21"/>
  <c r="D7" i="21"/>
  <c r="D6" i="21"/>
  <c r="C6" i="21"/>
  <c r="C7" i="21" s="1"/>
  <c r="C8" i="21" s="1"/>
  <c r="O5" i="21"/>
  <c r="O6" i="21" s="1"/>
  <c r="J5" i="21"/>
  <c r="U5" i="21" s="1"/>
  <c r="D5" i="21"/>
  <c r="C5" i="21"/>
  <c r="B5" i="21"/>
  <c r="B6" i="21" s="1"/>
  <c r="T4" i="21"/>
  <c r="W4" i="21" s="1"/>
  <c r="O4" i="21"/>
  <c r="V4" i="21" s="1"/>
  <c r="J4" i="21"/>
  <c r="U4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D13" i="20"/>
  <c r="C13" i="20"/>
  <c r="D12" i="20"/>
  <c r="C12" i="20"/>
  <c r="D11" i="20"/>
  <c r="D10" i="20"/>
  <c r="D9" i="20"/>
  <c r="D8" i="20"/>
  <c r="C8" i="20"/>
  <c r="C9" i="20" s="1"/>
  <c r="C10" i="20" s="1"/>
  <c r="C11" i="20" s="1"/>
  <c r="D7" i="20"/>
  <c r="C7" i="20"/>
  <c r="D6" i="20"/>
  <c r="C6" i="20"/>
  <c r="O5" i="20"/>
  <c r="O6" i="20" s="1"/>
  <c r="J5" i="20"/>
  <c r="U5" i="20" s="1"/>
  <c r="D5" i="20"/>
  <c r="C5" i="20"/>
  <c r="B5" i="20"/>
  <c r="B6" i="20" s="1"/>
  <c r="A5" i="20"/>
  <c r="T4" i="20"/>
  <c r="W4" i="20" s="1"/>
  <c r="O4" i="20"/>
  <c r="V4" i="20" s="1"/>
  <c r="J4" i="20"/>
  <c r="U4" i="20" s="1"/>
  <c r="W3" i="20"/>
  <c r="V3" i="20"/>
  <c r="U3" i="20"/>
  <c r="W2" i="20"/>
  <c r="V2" i="20"/>
  <c r="U2" i="20"/>
  <c r="BO1" i="20"/>
  <c r="AT1" i="20"/>
  <c r="Y1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 s="1"/>
  <c r="T12" i="19"/>
  <c r="W12" i="19" s="1"/>
  <c r="O12" i="19"/>
  <c r="V12" i="19" s="1"/>
  <c r="J12" i="19"/>
  <c r="U12" i="19" s="1"/>
  <c r="D12" i="19"/>
  <c r="C12" i="19"/>
  <c r="B12" i="19"/>
  <c r="A12" i="19" s="1"/>
  <c r="T11" i="19"/>
  <c r="W11" i="19" s="1"/>
  <c r="O11" i="19"/>
  <c r="V11" i="19" s="1"/>
  <c r="J11" i="19"/>
  <c r="U11" i="19" s="1"/>
  <c r="D11" i="19"/>
  <c r="C11" i="19"/>
  <c r="B11" i="19"/>
  <c r="A11" i="19" s="1"/>
  <c r="T10" i="19"/>
  <c r="W10" i="19" s="1"/>
  <c r="O10" i="19"/>
  <c r="V10" i="19" s="1"/>
  <c r="J10" i="19"/>
  <c r="U10" i="19" s="1"/>
  <c r="D10" i="19"/>
  <c r="C10" i="19"/>
  <c r="B10" i="19"/>
  <c r="A10" i="19" s="1"/>
  <c r="D9" i="19"/>
  <c r="D8" i="19"/>
  <c r="C8" i="19"/>
  <c r="C9" i="19" s="1"/>
  <c r="D7" i="19"/>
  <c r="C7" i="19"/>
  <c r="D6" i="19"/>
  <c r="C6" i="19"/>
  <c r="O5" i="19"/>
  <c r="O6" i="19" s="1"/>
  <c r="J5" i="19"/>
  <c r="U5" i="19" s="1"/>
  <c r="D5" i="19"/>
  <c r="C5" i="19"/>
  <c r="B5" i="19"/>
  <c r="B6" i="19" s="1"/>
  <c r="T4" i="19"/>
  <c r="W4" i="19" s="1"/>
  <c r="O4" i="19"/>
  <c r="V4" i="19" s="1"/>
  <c r="J4" i="19"/>
  <c r="U4" i="19" s="1"/>
  <c r="W3" i="19"/>
  <c r="V3" i="19"/>
  <c r="U3" i="19"/>
  <c r="W2" i="19"/>
  <c r="V2" i="19"/>
  <c r="U2" i="19"/>
  <c r="BO1" i="19"/>
  <c r="AT1" i="19"/>
  <c r="Y1" i="19"/>
  <c r="T30" i="18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/>
  <c r="T15" i="18"/>
  <c r="W15" i="18" s="1"/>
  <c r="O15" i="18"/>
  <c r="V15" i="18" s="1"/>
  <c r="J15" i="18"/>
  <c r="U15" i="18" s="1"/>
  <c r="D15" i="18"/>
  <c r="C15" i="18"/>
  <c r="B15" i="18"/>
  <c r="A15" i="18"/>
  <c r="T14" i="18"/>
  <c r="W14" i="18" s="1"/>
  <c r="O14" i="18"/>
  <c r="V14" i="18" s="1"/>
  <c r="J14" i="18"/>
  <c r="U14" i="18" s="1"/>
  <c r="D14" i="18"/>
  <c r="C14" i="18"/>
  <c r="B14" i="18"/>
  <c r="A14" i="18"/>
  <c r="T13" i="18"/>
  <c r="W13" i="18" s="1"/>
  <c r="O13" i="18"/>
  <c r="V13" i="18" s="1"/>
  <c r="J13" i="18"/>
  <c r="U13" i="18" s="1"/>
  <c r="D13" i="18"/>
  <c r="C13" i="18"/>
  <c r="B13" i="18"/>
  <c r="A13" i="18"/>
  <c r="T12" i="18"/>
  <c r="W12" i="18" s="1"/>
  <c r="O12" i="18"/>
  <c r="V12" i="18" s="1"/>
  <c r="J12" i="18"/>
  <c r="U12" i="18" s="1"/>
  <c r="D12" i="18"/>
  <c r="C12" i="18"/>
  <c r="B12" i="18"/>
  <c r="A12" i="18"/>
  <c r="T11" i="18"/>
  <c r="W11" i="18" s="1"/>
  <c r="O11" i="18"/>
  <c r="V11" i="18" s="1"/>
  <c r="J11" i="18"/>
  <c r="U11" i="18" s="1"/>
  <c r="D11" i="18"/>
  <c r="C11" i="18"/>
  <c r="B11" i="18"/>
  <c r="A11" i="18"/>
  <c r="T10" i="18"/>
  <c r="W10" i="18" s="1"/>
  <c r="O10" i="18"/>
  <c r="V10" i="18" s="1"/>
  <c r="J10" i="18"/>
  <c r="U10" i="18" s="1"/>
  <c r="D10" i="18"/>
  <c r="C10" i="18"/>
  <c r="B10" i="18"/>
  <c r="A10" i="18" s="1"/>
  <c r="T9" i="18"/>
  <c r="W9" i="18" s="1"/>
  <c r="O9" i="18"/>
  <c r="V9" i="18" s="1"/>
  <c r="J9" i="18"/>
  <c r="U9" i="18" s="1"/>
  <c r="D9" i="18"/>
  <c r="C9" i="18"/>
  <c r="B9" i="18"/>
  <c r="A9" i="18" s="1"/>
  <c r="T8" i="18"/>
  <c r="W8" i="18" s="1"/>
  <c r="O8" i="18"/>
  <c r="V8" i="18" s="1"/>
  <c r="J8" i="18"/>
  <c r="U8" i="18" s="1"/>
  <c r="D8" i="18"/>
  <c r="C8" i="18"/>
  <c r="B8" i="18"/>
  <c r="A8" i="18" s="1"/>
  <c r="T7" i="18"/>
  <c r="W7" i="18" s="1"/>
  <c r="O7" i="18"/>
  <c r="V7" i="18" s="1"/>
  <c r="J7" i="18"/>
  <c r="U7" i="18" s="1"/>
  <c r="D7" i="18"/>
  <c r="C7" i="18"/>
  <c r="B7" i="18"/>
  <c r="A7" i="18" s="1"/>
  <c r="D6" i="18"/>
  <c r="C6" i="18"/>
  <c r="O5" i="18"/>
  <c r="O6" i="18" s="1"/>
  <c r="V6" i="18" s="1"/>
  <c r="J5" i="18"/>
  <c r="U5" i="18" s="1"/>
  <c r="D5" i="18"/>
  <c r="C5" i="18"/>
  <c r="B5" i="18"/>
  <c r="B6" i="18" s="1"/>
  <c r="T4" i="18"/>
  <c r="W4" i="18" s="1"/>
  <c r="O4" i="18"/>
  <c r="V4" i="18" s="1"/>
  <c r="J4" i="18"/>
  <c r="U4" i="18" s="1"/>
  <c r="W3" i="18"/>
  <c r="V3" i="18"/>
  <c r="U3" i="18"/>
  <c r="W2" i="18"/>
  <c r="V2" i="18"/>
  <c r="U2" i="18"/>
  <c r="BO1" i="18"/>
  <c r="AT1" i="18"/>
  <c r="Y1" i="18"/>
  <c r="T30" i="17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T13" i="17"/>
  <c r="W13" i="17" s="1"/>
  <c r="O13" i="17"/>
  <c r="V13" i="17" s="1"/>
  <c r="J13" i="17"/>
  <c r="U13" i="17" s="1"/>
  <c r="D13" i="17"/>
  <c r="C13" i="17"/>
  <c r="B13" i="17"/>
  <c r="A13" i="17"/>
  <c r="T12" i="17"/>
  <c r="W12" i="17" s="1"/>
  <c r="O12" i="17"/>
  <c r="V12" i="17" s="1"/>
  <c r="J12" i="17"/>
  <c r="U12" i="17" s="1"/>
  <c r="D12" i="17"/>
  <c r="C12" i="17"/>
  <c r="B12" i="17"/>
  <c r="A12" i="17"/>
  <c r="D11" i="17"/>
  <c r="C11" i="17"/>
  <c r="D10" i="17"/>
  <c r="C10" i="17"/>
  <c r="D9" i="17"/>
  <c r="D8" i="17"/>
  <c r="C8" i="17"/>
  <c r="C9" i="17" s="1"/>
  <c r="D7" i="17"/>
  <c r="C7" i="17"/>
  <c r="D6" i="17"/>
  <c r="C6" i="17"/>
  <c r="O5" i="17"/>
  <c r="O6" i="17" s="1"/>
  <c r="J5" i="17"/>
  <c r="U5" i="17" s="1"/>
  <c r="D5" i="17"/>
  <c r="C5" i="17"/>
  <c r="B5" i="17"/>
  <c r="B6" i="17" s="1"/>
  <c r="T4" i="17"/>
  <c r="W4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D13" i="16"/>
  <c r="D12" i="16"/>
  <c r="D11" i="16"/>
  <c r="D8" i="16"/>
  <c r="D9" i="16" s="1"/>
  <c r="D10" i="16" s="1"/>
  <c r="C8" i="16"/>
  <c r="C9" i="16" s="1"/>
  <c r="C10" i="16" s="1"/>
  <c r="C11" i="16" s="1"/>
  <c r="C12" i="16" s="1"/>
  <c r="C13" i="16" s="1"/>
  <c r="D7" i="16"/>
  <c r="C7" i="16"/>
  <c r="D6" i="16"/>
  <c r="C6" i="16"/>
  <c r="O5" i="16"/>
  <c r="O6" i="16" s="1"/>
  <c r="J5" i="16"/>
  <c r="U5" i="16" s="1"/>
  <c r="D5" i="16"/>
  <c r="C5" i="16"/>
  <c r="B5" i="16"/>
  <c r="B6" i="16" s="1"/>
  <c r="T4" i="16"/>
  <c r="W4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A5" i="22" l="1"/>
  <c r="V5" i="22"/>
  <c r="O7" i="22"/>
  <c r="V6" i="22"/>
  <c r="B7" i="22"/>
  <c r="A6" i="22"/>
  <c r="J6" i="22"/>
  <c r="T5" i="22"/>
  <c r="A5" i="21"/>
  <c r="V5" i="21"/>
  <c r="B7" i="21"/>
  <c r="V6" i="21"/>
  <c r="O7" i="21"/>
  <c r="T5" i="21"/>
  <c r="A6" i="21"/>
  <c r="J6" i="21"/>
  <c r="V5" i="20"/>
  <c r="B7" i="20"/>
  <c r="V6" i="20"/>
  <c r="O7" i="20"/>
  <c r="T5" i="20"/>
  <c r="J6" i="20"/>
  <c r="A6" i="20"/>
  <c r="A5" i="19"/>
  <c r="V5" i="19"/>
  <c r="B7" i="19"/>
  <c r="A7" i="19" s="1"/>
  <c r="V6" i="19"/>
  <c r="O7" i="19"/>
  <c r="T5" i="19"/>
  <c r="A6" i="19"/>
  <c r="J6" i="19"/>
  <c r="A5" i="18"/>
  <c r="V5" i="18"/>
  <c r="J6" i="18"/>
  <c r="U6" i="18" s="1"/>
  <c r="T5" i="18"/>
  <c r="A6" i="18"/>
  <c r="A5" i="17"/>
  <c r="V5" i="17"/>
  <c r="B7" i="17"/>
  <c r="A7" i="17" s="1"/>
  <c r="V6" i="17"/>
  <c r="O7" i="17"/>
  <c r="J6" i="17"/>
  <c r="T5" i="17"/>
  <c r="A6" i="17"/>
  <c r="A5" i="16"/>
  <c r="V5" i="16"/>
  <c r="B7" i="16"/>
  <c r="O7" i="16"/>
  <c r="V6" i="16"/>
  <c r="T5" i="16"/>
  <c r="A6" i="16"/>
  <c r="J6" i="16"/>
  <c r="B8" i="22" l="1"/>
  <c r="W5" i="22"/>
  <c r="T6" i="22"/>
  <c r="U6" i="22"/>
  <c r="J7" i="22"/>
  <c r="A7" i="22"/>
  <c r="O8" i="22"/>
  <c r="V7" i="22"/>
  <c r="B8" i="21"/>
  <c r="A8" i="21" s="1"/>
  <c r="O8" i="21"/>
  <c r="V8" i="21" s="1"/>
  <c r="V7" i="21"/>
  <c r="J7" i="21"/>
  <c r="U6" i="21"/>
  <c r="W5" i="21"/>
  <c r="T6" i="21"/>
  <c r="A7" i="21"/>
  <c r="A7" i="20"/>
  <c r="O8" i="20"/>
  <c r="V7" i="20"/>
  <c r="J7" i="20"/>
  <c r="U6" i="20"/>
  <c r="W5" i="20"/>
  <c r="T6" i="20"/>
  <c r="B8" i="20"/>
  <c r="A8" i="20" s="1"/>
  <c r="O8" i="19"/>
  <c r="V7" i="19"/>
  <c r="U6" i="19"/>
  <c r="J7" i="19"/>
  <c r="W5" i="19"/>
  <c r="T6" i="19"/>
  <c r="B8" i="19"/>
  <c r="W5" i="18"/>
  <c r="T6" i="18"/>
  <c r="W6" i="18" s="1"/>
  <c r="O8" i="17"/>
  <c r="V7" i="17"/>
  <c r="W5" i="17"/>
  <c r="T6" i="17"/>
  <c r="J7" i="17"/>
  <c r="U6" i="17"/>
  <c r="B8" i="17"/>
  <c r="A8" i="17"/>
  <c r="A7" i="16"/>
  <c r="T6" i="16"/>
  <c r="W5" i="16"/>
  <c r="B8" i="16"/>
  <c r="A8" i="16" s="1"/>
  <c r="J7" i="16"/>
  <c r="U6" i="16"/>
  <c r="O8" i="16"/>
  <c r="V7" i="16"/>
  <c r="A8" i="22" l="1"/>
  <c r="U7" i="22"/>
  <c r="J8" i="22"/>
  <c r="O9" i="22"/>
  <c r="V8" i="22"/>
  <c r="W6" i="22"/>
  <c r="T7" i="22"/>
  <c r="B9" i="22"/>
  <c r="A9" i="22" s="1"/>
  <c r="W6" i="21"/>
  <c r="T7" i="21"/>
  <c r="U7" i="21"/>
  <c r="J8" i="21"/>
  <c r="U8" i="21" s="1"/>
  <c r="B9" i="20"/>
  <c r="U7" i="20"/>
  <c r="J8" i="20"/>
  <c r="W6" i="20"/>
  <c r="T7" i="20"/>
  <c r="V8" i="20"/>
  <c r="O9" i="20"/>
  <c r="B9" i="19"/>
  <c r="A9" i="19" s="1"/>
  <c r="A8" i="19"/>
  <c r="W6" i="19"/>
  <c r="T7" i="19"/>
  <c r="U7" i="19"/>
  <c r="J8" i="19"/>
  <c r="V8" i="19"/>
  <c r="O9" i="19"/>
  <c r="V9" i="19" s="1"/>
  <c r="W6" i="17"/>
  <c r="T7" i="17"/>
  <c r="B9" i="17"/>
  <c r="U7" i="17"/>
  <c r="J8" i="17"/>
  <c r="V8" i="17"/>
  <c r="O9" i="17"/>
  <c r="B9" i="16"/>
  <c r="A9" i="16" s="1"/>
  <c r="O9" i="16"/>
  <c r="V8" i="16"/>
  <c r="U7" i="16"/>
  <c r="J8" i="16"/>
  <c r="W6" i="16"/>
  <c r="T7" i="16"/>
  <c r="B10" i="22" l="1"/>
  <c r="A10" i="22" s="1"/>
  <c r="O10" i="22"/>
  <c r="V10" i="22" s="1"/>
  <c r="V9" i="22"/>
  <c r="W7" i="22"/>
  <c r="T8" i="22"/>
  <c r="U8" i="22"/>
  <c r="J9" i="22"/>
  <c r="W7" i="21"/>
  <c r="T8" i="21"/>
  <c r="W8" i="21" s="1"/>
  <c r="B10" i="20"/>
  <c r="A10" i="20"/>
  <c r="O10" i="20"/>
  <c r="V9" i="20"/>
  <c r="U8" i="20"/>
  <c r="J9" i="20"/>
  <c r="T8" i="20"/>
  <c r="W7" i="20"/>
  <c r="A9" i="20"/>
  <c r="U8" i="19"/>
  <c r="J9" i="19"/>
  <c r="U9" i="19" s="1"/>
  <c r="W7" i="19"/>
  <c r="T8" i="19"/>
  <c r="B10" i="17"/>
  <c r="W7" i="17"/>
  <c r="T8" i="17"/>
  <c r="O10" i="17"/>
  <c r="V9" i="17"/>
  <c r="A9" i="17"/>
  <c r="A10" i="17" s="1"/>
  <c r="U8" i="17"/>
  <c r="J9" i="17"/>
  <c r="W7" i="16"/>
  <c r="T8" i="16"/>
  <c r="O10" i="16"/>
  <c r="V9" i="16"/>
  <c r="U8" i="16"/>
  <c r="J9" i="16"/>
  <c r="B10" i="16"/>
  <c r="A10" i="16" s="1"/>
  <c r="U9" i="22" l="1"/>
  <c r="J10" i="22"/>
  <c r="U10" i="22" s="1"/>
  <c r="W8" i="22"/>
  <c r="T9" i="22"/>
  <c r="W8" i="20"/>
  <c r="T9" i="20"/>
  <c r="U9" i="20"/>
  <c r="J10" i="20"/>
  <c r="V10" i="20"/>
  <c r="O11" i="20"/>
  <c r="B11" i="20"/>
  <c r="A11" i="20" s="1"/>
  <c r="W8" i="19"/>
  <c r="T9" i="19"/>
  <c r="W9" i="19" s="1"/>
  <c r="W8" i="17"/>
  <c r="T9" i="17"/>
  <c r="U9" i="17"/>
  <c r="J10" i="17"/>
  <c r="V10" i="17"/>
  <c r="O11" i="17"/>
  <c r="V11" i="17" s="1"/>
  <c r="B11" i="17"/>
  <c r="A11" i="17"/>
  <c r="O11" i="16"/>
  <c r="V10" i="16"/>
  <c r="U9" i="16"/>
  <c r="J10" i="16"/>
  <c r="W8" i="16"/>
  <c r="T9" i="16"/>
  <c r="B11" i="16"/>
  <c r="T10" i="22" l="1"/>
  <c r="W10" i="22" s="1"/>
  <c r="W9" i="22"/>
  <c r="B12" i="20"/>
  <c r="A12" i="20" s="1"/>
  <c r="O12" i="20"/>
  <c r="V11" i="20"/>
  <c r="T10" i="20"/>
  <c r="W9" i="20"/>
  <c r="U10" i="20"/>
  <c r="J11" i="20"/>
  <c r="U10" i="17"/>
  <c r="J11" i="17"/>
  <c r="U11" i="17" s="1"/>
  <c r="W9" i="17"/>
  <c r="T10" i="17"/>
  <c r="B12" i="16"/>
  <c r="U10" i="16"/>
  <c r="J11" i="16"/>
  <c r="W9" i="16"/>
  <c r="T10" i="16"/>
  <c r="A11" i="16"/>
  <c r="O12" i="16"/>
  <c r="V11" i="16"/>
  <c r="V12" i="20" l="1"/>
  <c r="O13" i="20"/>
  <c r="V13" i="20" s="1"/>
  <c r="U11" i="20"/>
  <c r="J12" i="20"/>
  <c r="W10" i="20"/>
  <c r="T11" i="20"/>
  <c r="B13" i="20"/>
  <c r="A13" i="20" s="1"/>
  <c r="W10" i="17"/>
  <c r="T11" i="17"/>
  <c r="W11" i="17" s="1"/>
  <c r="A12" i="16"/>
  <c r="V12" i="16"/>
  <c r="O13" i="16"/>
  <c r="V13" i="16" s="1"/>
  <c r="U11" i="16"/>
  <c r="J12" i="16"/>
  <c r="W10" i="16"/>
  <c r="T11" i="16"/>
  <c r="B13" i="16"/>
  <c r="A13" i="16" s="1"/>
  <c r="U12" i="20" l="1"/>
  <c r="J13" i="20"/>
  <c r="U13" i="20" s="1"/>
  <c r="W11" i="20"/>
  <c r="T12" i="20"/>
  <c r="J13" i="16"/>
  <c r="U13" i="16" s="1"/>
  <c r="U12" i="16"/>
  <c r="W11" i="16"/>
  <c r="T12" i="16"/>
  <c r="W12" i="20" l="1"/>
  <c r="T13" i="20"/>
  <c r="W13" i="20" s="1"/>
  <c r="W12" i="16"/>
  <c r="T13" i="16"/>
  <c r="W13" i="16" s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W3" i="1" l="1"/>
  <c r="V3" i="1"/>
  <c r="U3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U4" i="1" l="1"/>
  <c r="B8" i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5" i="1" l="1"/>
  <c r="W4" i="1"/>
  <c r="V4" i="1"/>
  <c r="J6" i="1"/>
  <c r="T5" i="1"/>
  <c r="O6" i="1"/>
  <c r="B10" i="1"/>
  <c r="W5" i="1" l="1"/>
  <c r="O7" i="1"/>
  <c r="V6" i="1"/>
  <c r="J7" i="1"/>
  <c r="U6" i="1"/>
  <c r="J8" i="1"/>
  <c r="U8" i="1" s="1"/>
  <c r="B11" i="1"/>
  <c r="A11" i="1" s="1"/>
  <c r="A10" i="1"/>
  <c r="O8" i="1"/>
  <c r="V8" i="1" s="1"/>
  <c r="T6" i="1"/>
  <c r="B12" i="1"/>
  <c r="A12" i="1" s="1"/>
  <c r="U7" i="1" l="1"/>
  <c r="V7" i="1"/>
  <c r="T7" i="1"/>
  <c r="W6" i="1"/>
  <c r="J9" i="1"/>
  <c r="T8" i="1"/>
  <c r="W8" i="1" s="1"/>
  <c r="O9" i="1"/>
  <c r="B13" i="1"/>
  <c r="A13" i="1" s="1"/>
  <c r="V9" i="1" l="1"/>
  <c r="U9" i="1"/>
  <c r="W7" i="1"/>
  <c r="J10" i="1"/>
  <c r="J11" i="1"/>
  <c r="U11" i="1" s="1"/>
  <c r="O10" i="1"/>
  <c r="T9" i="1"/>
  <c r="B14" i="1"/>
  <c r="A14" i="1" s="1"/>
  <c r="U10" i="1" l="1"/>
  <c r="V10" i="1"/>
  <c r="W9" i="1"/>
  <c r="O11" i="1"/>
  <c r="J12" i="1"/>
  <c r="T10" i="1"/>
  <c r="U12" i="1" l="1"/>
  <c r="V11" i="1"/>
  <c r="W10" i="1"/>
  <c r="J13" i="1"/>
  <c r="O12" i="1"/>
  <c r="T11" i="1"/>
  <c r="U13" i="1" l="1"/>
  <c r="V12" i="1"/>
  <c r="W11" i="1"/>
  <c r="J14" i="1"/>
  <c r="O13" i="1"/>
  <c r="T12" i="1"/>
  <c r="U14" i="1" l="1"/>
  <c r="V13" i="1"/>
  <c r="W12" i="1"/>
  <c r="O14" i="1"/>
  <c r="J15" i="1"/>
  <c r="U15" i="1" s="1"/>
  <c r="T13" i="1"/>
  <c r="V14" i="1" l="1"/>
  <c r="W13" i="1"/>
  <c r="T14" i="1"/>
  <c r="O15" i="1"/>
  <c r="V15" i="1" s="1"/>
  <c r="W14" i="1" l="1"/>
  <c r="T15" i="1"/>
  <c r="W15" i="1" s="1"/>
</calcChain>
</file>

<file path=xl/sharedStrings.xml><?xml version="1.0" encoding="utf-8"?>
<sst xmlns="http://schemas.openxmlformats.org/spreadsheetml/2006/main" count="1234" uniqueCount="159">
  <si>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</si>
  <si>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</si>
  <si>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</si>
  <si>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</si>
  <si>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</si>
  <si>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</si>
  <si>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</si>
  <si>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</si>
  <si>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</si>
  <si>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</si>
  <si>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</si>
  <si>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</si>
  <si>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</si>
  <si>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</si>
  <si>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</si>
  <si>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</si>
  <si>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</si>
  <si>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</si>
  <si>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</si>
  <si>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</si>
  <si>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</si>
  <si>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</si>
  <si>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</si>
  <si>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</si>
  <si>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</si>
  <si>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</si>
  <si>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</si>
  <si>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</si>
  <si>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</si>
  <si>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</si>
  <si>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</si>
  <si>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</si>
  <si>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</si>
  <si>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</si>
  <si>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</si>
  <si>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</si>
  <si>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</si>
  <si>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</si>
  <si>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</si>
  <si>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</si>
  <si>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</si>
  <si>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</si>
  <si>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</si>
  <si>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</si>
  <si>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</si>
  <si>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</si>
  <si>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</si>
  <si>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</si>
  <si>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</si>
  <si>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</si>
  <si>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</si>
  <si>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</si>
  <si>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</si>
  <si>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</si>
  <si>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</si>
  <si>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</si>
  <si>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</si>
  <si>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</si>
  <si>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</si>
  <si>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</si>
  <si>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</si>
  <si>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</si>
  <si>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</si>
  <si>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</si>
  <si>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</si>
  <si>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</si>
  <si>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</si>
  <si>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</si>
  <si>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</si>
  <si>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</si>
  <si>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</si>
  <si>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</si>
  <si>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</si>
  <si>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</si>
  <si>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</si>
  <si>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</si>
  <si>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</si>
  <si>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</si>
  <si>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</si>
  <si>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</si>
  <si>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</si>
  <si>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</si>
  <si>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</si>
  <si>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</si>
  <si>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</si>
  <si>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</si>
  <si>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</si>
  <si>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</si>
  <si>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</si>
  <si>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</si>
  <si>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</si>
  <si>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</si>
  <si>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</si>
  <si>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</si>
  <si>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</si>
  <si>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</si>
  <si>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</si>
  <si>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</si>
  <si>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</si>
  <si>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</si>
  <si>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</si>
  <si>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</si>
  <si>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</si>
  <si>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</si>
  <si>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</si>
  <si>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</si>
  <si>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</si>
  <si>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</si>
  <si>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</si>
  <si>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</si>
  <si>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</si>
  <si>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</si>
  <si>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</si>
  <si>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</si>
  <si>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</si>
  <si>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</si>
  <si>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</si>
  <si>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</si>
  <si>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</si>
  <si>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</si>
  <si>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</si>
  <si>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</si>
  <si>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</si>
  <si>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</si>
  <si>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</si>
  <si>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</si>
  <si>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</si>
  <si>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</si>
  <si>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</si>
  <si>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</si>
  <si>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</si>
  <si>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</si>
  <si>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</si>
  <si>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</si>
  <si>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</si>
  <si>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</si>
  <si>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</si>
  <si>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たかの</t>
  </si>
  <si>
    <t>たかの</t>
    <phoneticPr fontId="1"/>
  </si>
  <si>
    <t>れんたろう</t>
  </si>
  <si>
    <t>れんたろう</t>
    <phoneticPr fontId="1"/>
  </si>
  <si>
    <t>放銃</t>
  </si>
  <si>
    <t>ロン</t>
  </si>
  <si>
    <t>*</t>
  </si>
  <si>
    <t>01</t>
  </si>
  <si>
    <t>ツモ支払</t>
  </si>
  <si>
    <t>ツモ</t>
  </si>
  <si>
    <t>T</t>
  </si>
  <si>
    <t>N</t>
  </si>
  <si>
    <t>流局</t>
    <phoneticPr fontId="1"/>
  </si>
  <si>
    <t>02</t>
  </si>
  <si>
    <t>ただ</t>
  </si>
  <si>
    <t>ただ</t>
    <phoneticPr fontId="1"/>
  </si>
  <si>
    <t>まっつん</t>
  </si>
  <si>
    <t>まっつん</t>
    <phoneticPr fontId="1"/>
  </si>
  <si>
    <t>流局</t>
    <phoneticPr fontId="1"/>
  </si>
  <si>
    <t>チョンボ</t>
  </si>
  <si>
    <t>りくと</t>
  </si>
  <si>
    <t>りくと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</si>
</sst>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4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たかの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たかの</v>
      </c>
      <c r="W2" s="16" t="str">
        <f>$P$1</f>
        <v>れんたろう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 t="s">
        <v>141</v>
      </c>
      <c r="G4" s="9">
        <v>-8000</v>
      </c>
      <c r="H4" s="9"/>
      <c r="I4" s="55">
        <v>0</v>
      </c>
      <c r="J4" s="21">
        <f>IF(COUNTA($F4,$K4,$P4)&gt;0,J3+SUM(G4:I4),"")</f>
        <v>27000</v>
      </c>
      <c r="K4" s="8"/>
      <c r="L4" s="9"/>
      <c r="M4" s="9"/>
      <c r="N4" s="55"/>
      <c r="O4" s="21">
        <f>IF(COUNTA($F4,$K4,$P4)&gt;0,O3+SUM(L4:N4),"")</f>
        <v>35000</v>
      </c>
      <c r="P4" s="8" t="s">
        <v>142</v>
      </c>
      <c r="Q4" s="9">
        <v>8000</v>
      </c>
      <c r="R4" s="9"/>
      <c r="S4" s="55">
        <v>0</v>
      </c>
      <c r="T4" s="21">
        <f>IF(COUNTA($F4,$K4,$P4)&gt;0,T3+SUM(Q4:S4),"")</f>
        <v>43000</v>
      </c>
      <c r="U4" s="60">
        <f t="shared" ref="U4:U30" si="0">IF($J4="","",ROUND(($J4-$J$3)/1000,1))</f>
        <v>-8</v>
      </c>
      <c r="V4" s="61">
        <f t="shared" ref="V4:V30" si="1">IF($O4="","",ROUND(($O4-$O$3)/1000,1))</f>
        <v>0</v>
      </c>
      <c r="W4" s="62">
        <f t="shared" ref="W4:W30" si="2">IF($T4="","",ROUND(($T4-$T$3)/1000,1))</f>
        <v>8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5</v>
      </c>
      <c r="BT4" s="36" t="s">
        <v>143</v>
      </c>
      <c r="BU4" s="47" t="s">
        <v>144</v>
      </c>
      <c r="BV4" s="48" t="s">
        <v>94</v>
      </c>
      <c r="BW4" s="48" t="s">
        <v>81</v>
      </c>
      <c r="BX4" s="48" t="s">
        <v>82</v>
      </c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137</v>
      </c>
      <c r="F5" s="8" t="s">
        <v>145</v>
      </c>
      <c r="G5" s="9">
        <v>-3000</v>
      </c>
      <c r="H5" s="9"/>
      <c r="I5" s="55">
        <v>0</v>
      </c>
      <c r="J5" s="21">
        <f t="shared" ref="J5:J30" si="5">IF(COUNTA($F5,$K5,$P5)&gt;0,J4+SUM(G5:I5),"")</f>
        <v>24000</v>
      </c>
      <c r="K5" s="8" t="s">
        <v>145</v>
      </c>
      <c r="L5" s="9">
        <v>-5000</v>
      </c>
      <c r="M5" s="9">
        <v>-1000</v>
      </c>
      <c r="N5" s="55">
        <v>0</v>
      </c>
      <c r="O5" s="21">
        <f t="shared" ref="O5:O30" si="6">IF(COUNTA($F5,$K5,$P5)&gt;0,O4+SUM(L5:N5),"")</f>
        <v>29000</v>
      </c>
      <c r="P5" s="8" t="s">
        <v>146</v>
      </c>
      <c r="Q5" s="9">
        <v>8000</v>
      </c>
      <c r="R5" s="9">
        <v>1000</v>
      </c>
      <c r="S5" s="55">
        <v>0</v>
      </c>
      <c r="T5" s="21">
        <f t="shared" ref="T5:T30" si="7">IF(COUNTA($F5,$K5,$P5)&gt;0,T4+SUM(Q5:S5),"")</f>
        <v>52000</v>
      </c>
      <c r="U5" s="60">
        <f t="shared" si="0"/>
        <v>-11</v>
      </c>
      <c r="V5" s="61">
        <f t="shared" si="1"/>
        <v>-6</v>
      </c>
      <c r="W5" s="62">
        <f t="shared" si="2"/>
        <v>17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>
        <v>5</v>
      </c>
      <c r="BT5" s="36" t="s">
        <v>143</v>
      </c>
      <c r="BU5" s="47" t="s">
        <v>83</v>
      </c>
      <c r="BV5" s="48" t="s">
        <v>80</v>
      </c>
      <c r="BW5" s="48" t="s">
        <v>80</v>
      </c>
      <c r="BX5" s="48" t="s">
        <v>102</v>
      </c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139</v>
      </c>
      <c r="F6" s="8" t="s">
        <v>142</v>
      </c>
      <c r="G6" s="9">
        <v>8000</v>
      </c>
      <c r="H6" s="9"/>
      <c r="I6" s="55">
        <v>0</v>
      </c>
      <c r="J6" s="21">
        <f t="shared" si="5"/>
        <v>32000</v>
      </c>
      <c r="K6" s="8"/>
      <c r="L6" s="9"/>
      <c r="M6" s="9"/>
      <c r="N6" s="55"/>
      <c r="O6" s="21">
        <f t="shared" si="6"/>
        <v>29000</v>
      </c>
      <c r="P6" s="8" t="s">
        <v>141</v>
      </c>
      <c r="Q6" s="9">
        <v>-8000</v>
      </c>
      <c r="R6" s="9"/>
      <c r="S6" s="55">
        <v>0</v>
      </c>
      <c r="T6" s="21">
        <f t="shared" si="7"/>
        <v>44000</v>
      </c>
      <c r="U6" s="60">
        <f t="shared" si="0"/>
        <v>-3</v>
      </c>
      <c r="V6" s="61">
        <f t="shared" si="1"/>
        <v>-6</v>
      </c>
      <c r="W6" s="62">
        <f t="shared" si="2"/>
        <v>9</v>
      </c>
      <c r="Y6" s="8"/>
      <c r="Z6" s="41"/>
      <c r="AA6" s="32"/>
      <c r="AB6" s="32">
        <v>1</v>
      </c>
      <c r="AC6" s="32">
        <v>5</v>
      </c>
      <c r="AD6" s="36" t="s">
        <v>143</v>
      </c>
      <c r="AE6" s="47" t="s">
        <v>87</v>
      </c>
      <c r="AF6" s="48" t="s">
        <v>82</v>
      </c>
      <c r="AG6" s="48" t="s">
        <v>80</v>
      </c>
      <c r="AH6" s="48" t="s">
        <v>80</v>
      </c>
      <c r="AI6" s="48" t="s">
        <v>80</v>
      </c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南</v>
      </c>
      <c r="B7" s="18">
        <f t="shared" si="8"/>
        <v>1</v>
      </c>
      <c r="C7" s="18">
        <f t="shared" si="9"/>
        <v>0</v>
      </c>
      <c r="D7" s="18">
        <f t="shared" si="4"/>
        <v>0</v>
      </c>
      <c r="E7" s="4" t="s">
        <v>135</v>
      </c>
      <c r="F7" s="8" t="s">
        <v>149</v>
      </c>
      <c r="G7" s="9">
        <v>1500</v>
      </c>
      <c r="H7" s="9">
        <v>-1000</v>
      </c>
      <c r="I7" s="55"/>
      <c r="J7" s="21">
        <f t="shared" si="5"/>
        <v>32500</v>
      </c>
      <c r="K7" s="8" t="s">
        <v>149</v>
      </c>
      <c r="L7" s="9">
        <v>1500</v>
      </c>
      <c r="M7" s="9"/>
      <c r="N7" s="55"/>
      <c r="O7" s="21">
        <f t="shared" si="6"/>
        <v>30500</v>
      </c>
      <c r="P7" s="8" t="s">
        <v>149</v>
      </c>
      <c r="Q7" s="9">
        <v>-3000</v>
      </c>
      <c r="R7" s="9"/>
      <c r="S7" s="55"/>
      <c r="T7" s="21">
        <f t="shared" si="7"/>
        <v>41000</v>
      </c>
      <c r="U7" s="60">
        <f t="shared" si="0"/>
        <v>-2.5</v>
      </c>
      <c r="V7" s="61">
        <f t="shared" si="1"/>
        <v>-4.5</v>
      </c>
      <c r="W7" s="62">
        <f t="shared" si="2"/>
        <v>6</v>
      </c>
      <c r="Y7" s="8" t="s">
        <v>147</v>
      </c>
      <c r="Z7" s="41"/>
      <c r="AA7" s="32">
        <v>1</v>
      </c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 t="s">
        <v>147</v>
      </c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 t="s">
        <v>148</v>
      </c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南</v>
      </c>
      <c r="B8" s="18">
        <f t="shared" si="8"/>
        <v>1</v>
      </c>
      <c r="C8" s="18">
        <f t="shared" si="9"/>
        <v>1</v>
      </c>
      <c r="D8" s="18">
        <f t="shared" si="4"/>
        <v>1</v>
      </c>
      <c r="E8" s="4" t="s">
        <v>135</v>
      </c>
      <c r="F8" s="8" t="s">
        <v>149</v>
      </c>
      <c r="G8" s="9">
        <v>-1500</v>
      </c>
      <c r="H8" s="9"/>
      <c r="I8" s="55"/>
      <c r="J8" s="21">
        <f t="shared" si="5"/>
        <v>31000</v>
      </c>
      <c r="K8" s="8" t="s">
        <v>149</v>
      </c>
      <c r="L8" s="9">
        <v>-1500</v>
      </c>
      <c r="M8" s="9"/>
      <c r="N8" s="55"/>
      <c r="O8" s="21">
        <f t="shared" si="6"/>
        <v>29000</v>
      </c>
      <c r="P8" s="8" t="s">
        <v>149</v>
      </c>
      <c r="Q8" s="9">
        <v>3000</v>
      </c>
      <c r="R8" s="9">
        <v>-1000</v>
      </c>
      <c r="S8" s="55"/>
      <c r="T8" s="21">
        <f t="shared" si="7"/>
        <v>43000</v>
      </c>
      <c r="U8" s="60">
        <f t="shared" si="0"/>
        <v>-4</v>
      </c>
      <c r="V8" s="61">
        <f t="shared" si="1"/>
        <v>-6</v>
      </c>
      <c r="W8" s="62">
        <f t="shared" si="2"/>
        <v>8</v>
      </c>
      <c r="Y8" s="8" t="s">
        <v>148</v>
      </c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 t="s">
        <v>148</v>
      </c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 t="s">
        <v>147</v>
      </c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南</v>
      </c>
      <c r="B9" s="18">
        <f t="shared" si="8"/>
        <v>2</v>
      </c>
      <c r="C9" s="18">
        <f t="shared" si="9"/>
        <v>2</v>
      </c>
      <c r="D9" s="18">
        <f t="shared" si="4"/>
        <v>2</v>
      </c>
      <c r="E9" s="4" t="s">
        <v>137</v>
      </c>
      <c r="F9" s="8" t="s">
        <v>149</v>
      </c>
      <c r="G9" s="9">
        <v>1500</v>
      </c>
      <c r="H9" s="9"/>
      <c r="I9" s="55"/>
      <c r="J9" s="21">
        <f t="shared" si="5"/>
        <v>32500</v>
      </c>
      <c r="K9" s="8" t="s">
        <v>149</v>
      </c>
      <c r="L9" s="9">
        <v>1500</v>
      </c>
      <c r="M9" s="9"/>
      <c r="N9" s="55"/>
      <c r="O9" s="21">
        <f t="shared" si="6"/>
        <v>30500</v>
      </c>
      <c r="P9" s="8" t="s">
        <v>149</v>
      </c>
      <c r="Q9" s="9">
        <v>-3000</v>
      </c>
      <c r="R9" s="9"/>
      <c r="S9" s="55"/>
      <c r="T9" s="21">
        <f t="shared" si="7"/>
        <v>40000</v>
      </c>
      <c r="U9" s="60">
        <f t="shared" si="0"/>
        <v>-2.5</v>
      </c>
      <c r="V9" s="61">
        <f t="shared" si="1"/>
        <v>-4.5</v>
      </c>
      <c r="W9" s="62">
        <f t="shared" si="2"/>
        <v>5</v>
      </c>
      <c r="Y9" s="8" t="s">
        <v>147</v>
      </c>
      <c r="Z9" s="41"/>
      <c r="AA9" s="32"/>
      <c r="AB9" s="32">
        <v>1</v>
      </c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147</v>
      </c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148</v>
      </c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>南</v>
      </c>
      <c r="B10" s="18">
        <f t="shared" si="8"/>
        <v>2</v>
      </c>
      <c r="C10" s="18">
        <f t="shared" si="9"/>
        <v>3</v>
      </c>
      <c r="D10" s="18">
        <f t="shared" si="4"/>
        <v>2</v>
      </c>
      <c r="E10" s="4" t="s">
        <v>137</v>
      </c>
      <c r="F10" s="8" t="s">
        <v>145</v>
      </c>
      <c r="G10" s="9">
        <v>-12000</v>
      </c>
      <c r="H10" s="9"/>
      <c r="I10" s="55">
        <v>-1500</v>
      </c>
      <c r="J10" s="21">
        <f t="shared" si="5"/>
        <v>19000</v>
      </c>
      <c r="K10" s="8" t="s">
        <v>146</v>
      </c>
      <c r="L10" s="9">
        <v>24000</v>
      </c>
      <c r="M10" s="9">
        <v>2000</v>
      </c>
      <c r="N10" s="55">
        <v>3000</v>
      </c>
      <c r="O10" s="21">
        <f t="shared" si="6"/>
        <v>59500</v>
      </c>
      <c r="P10" s="8" t="s">
        <v>145</v>
      </c>
      <c r="Q10" s="9">
        <v>-12000</v>
      </c>
      <c r="R10" s="9"/>
      <c r="S10" s="55">
        <v>-1500</v>
      </c>
      <c r="T10" s="21">
        <f t="shared" si="7"/>
        <v>26500</v>
      </c>
      <c r="U10" s="60">
        <f t="shared" si="0"/>
        <v>-16</v>
      </c>
      <c r="V10" s="61">
        <f t="shared" si="1"/>
        <v>24.5</v>
      </c>
      <c r="W10" s="62">
        <f t="shared" si="2"/>
        <v>-8.5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8</v>
      </c>
      <c r="AY10" s="36" t="s">
        <v>143</v>
      </c>
      <c r="AZ10" s="47" t="s">
        <v>144</v>
      </c>
      <c r="BA10" s="48" t="s">
        <v>83</v>
      </c>
      <c r="BB10" s="48" t="s">
        <v>82</v>
      </c>
      <c r="BC10" s="48" t="s">
        <v>82</v>
      </c>
      <c r="BD10" s="48" t="s">
        <v>82</v>
      </c>
      <c r="BE10" s="48" t="s">
        <v>80</v>
      </c>
      <c r="BF10" s="48" t="s">
        <v>80</v>
      </c>
      <c r="BG10" s="48" t="s">
        <v>80</v>
      </c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>南</v>
      </c>
      <c r="B11" s="18">
        <f t="shared" si="8"/>
        <v>2</v>
      </c>
      <c r="C11" s="18">
        <f t="shared" si="9"/>
        <v>4</v>
      </c>
      <c r="D11" s="18">
        <f t="shared" si="4"/>
        <v>0</v>
      </c>
      <c r="E11" s="4" t="s">
        <v>137</v>
      </c>
      <c r="F11" s="8" t="s">
        <v>145</v>
      </c>
      <c r="G11" s="9">
        <v>-6000</v>
      </c>
      <c r="H11" s="9">
        <v>-1000</v>
      </c>
      <c r="I11" s="55">
        <v>-2000</v>
      </c>
      <c r="J11" s="21">
        <f t="shared" si="5"/>
        <v>10000</v>
      </c>
      <c r="K11" s="8" t="s">
        <v>146</v>
      </c>
      <c r="L11" s="9">
        <v>12000</v>
      </c>
      <c r="M11" s="9">
        <v>2000</v>
      </c>
      <c r="N11" s="55">
        <v>4000</v>
      </c>
      <c r="O11" s="21">
        <f t="shared" si="6"/>
        <v>77500</v>
      </c>
      <c r="P11" s="8" t="s">
        <v>145</v>
      </c>
      <c r="Q11" s="9">
        <v>-6000</v>
      </c>
      <c r="R11" s="9">
        <v>-1000</v>
      </c>
      <c r="S11" s="55">
        <v>-2000</v>
      </c>
      <c r="T11" s="21">
        <f t="shared" si="7"/>
        <v>17500</v>
      </c>
      <c r="U11" s="60">
        <f t="shared" si="0"/>
        <v>-25</v>
      </c>
      <c r="V11" s="61">
        <f t="shared" si="1"/>
        <v>42.5</v>
      </c>
      <c r="W11" s="62">
        <f t="shared" si="2"/>
        <v>-17.5</v>
      </c>
      <c r="Y11" s="8"/>
      <c r="Z11" s="41"/>
      <c r="AA11" s="32">
        <v>1</v>
      </c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>
        <v>5</v>
      </c>
      <c r="AY11" s="36" t="s">
        <v>143</v>
      </c>
      <c r="AZ11" s="47" t="s">
        <v>144</v>
      </c>
      <c r="BA11" s="48" t="s">
        <v>83</v>
      </c>
      <c r="BB11" s="48" t="s">
        <v>150</v>
      </c>
      <c r="BC11" s="48" t="s">
        <v>82</v>
      </c>
      <c r="BD11" s="48" t="s">
        <v>80</v>
      </c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>南</v>
      </c>
      <c r="B12" s="18">
        <f t="shared" si="8"/>
        <v>2</v>
      </c>
      <c r="C12" s="18">
        <f t="shared" si="9"/>
        <v>5</v>
      </c>
      <c r="D12" s="18">
        <f t="shared" si="4"/>
        <v>0</v>
      </c>
      <c r="E12" s="4" t="s">
        <v>137</v>
      </c>
      <c r="F12" s="8" t="s">
        <v>145</v>
      </c>
      <c r="G12" s="9">
        <v>-3900</v>
      </c>
      <c r="H12" s="9"/>
      <c r="I12" s="55">
        <v>-2500</v>
      </c>
      <c r="J12" s="21">
        <f t="shared" si="5"/>
        <v>3600</v>
      </c>
      <c r="K12" s="8" t="s">
        <v>146</v>
      </c>
      <c r="L12" s="9">
        <v>7800</v>
      </c>
      <c r="M12" s="9"/>
      <c r="N12" s="55">
        <v>5000</v>
      </c>
      <c r="O12" s="21">
        <f t="shared" si="6"/>
        <v>90300</v>
      </c>
      <c r="P12" s="8" t="s">
        <v>145</v>
      </c>
      <c r="Q12" s="9">
        <v>-3900</v>
      </c>
      <c r="R12" s="9"/>
      <c r="S12" s="55">
        <v>-2500</v>
      </c>
      <c r="T12" s="21">
        <f t="shared" si="7"/>
        <v>11100</v>
      </c>
      <c r="U12" s="60">
        <f t="shared" si="0"/>
        <v>-31.4</v>
      </c>
      <c r="V12" s="61">
        <f t="shared" si="1"/>
        <v>55.3</v>
      </c>
      <c r="W12" s="62">
        <f t="shared" si="2"/>
        <v>-23.9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>
        <v>1</v>
      </c>
      <c r="AW12" s="32"/>
      <c r="AX12" s="32">
        <v>4</v>
      </c>
      <c r="AY12" s="36">
        <v>20</v>
      </c>
      <c r="AZ12" s="47" t="s">
        <v>144</v>
      </c>
      <c r="BA12" s="48" t="s">
        <v>84</v>
      </c>
      <c r="BB12" s="48" t="s">
        <v>83</v>
      </c>
      <c r="BC12" s="48" t="s">
        <v>82</v>
      </c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>南</v>
      </c>
      <c r="B13" s="18">
        <f t="shared" si="8"/>
        <v>2</v>
      </c>
      <c r="C13" s="18">
        <f t="shared" si="9"/>
        <v>6</v>
      </c>
      <c r="D13" s="18">
        <f t="shared" si="4"/>
        <v>0</v>
      </c>
      <c r="E13" s="4" t="s">
        <v>137</v>
      </c>
      <c r="F13" s="8" t="s">
        <v>145</v>
      </c>
      <c r="G13" s="9">
        <v>-6000</v>
      </c>
      <c r="H13" s="9"/>
      <c r="I13" s="55">
        <v>-3000</v>
      </c>
      <c r="J13" s="21">
        <f t="shared" si="5"/>
        <v>-5400</v>
      </c>
      <c r="K13" s="8" t="s">
        <v>145</v>
      </c>
      <c r="L13" s="9">
        <v>-10000</v>
      </c>
      <c r="M13" s="9">
        <v>-1000</v>
      </c>
      <c r="N13" s="55">
        <v>-3000</v>
      </c>
      <c r="O13" s="21">
        <f t="shared" si="6"/>
        <v>76300</v>
      </c>
      <c r="P13" s="8" t="s">
        <v>146</v>
      </c>
      <c r="Q13" s="9">
        <v>16000</v>
      </c>
      <c r="R13" s="9">
        <v>1000</v>
      </c>
      <c r="S13" s="55">
        <v>6000</v>
      </c>
      <c r="T13" s="21">
        <f t="shared" si="7"/>
        <v>34100</v>
      </c>
      <c r="U13" s="60">
        <f t="shared" si="0"/>
        <v>-40.4</v>
      </c>
      <c r="V13" s="61">
        <f t="shared" si="1"/>
        <v>41.3</v>
      </c>
      <c r="W13" s="62">
        <f t="shared" si="2"/>
        <v>-0.9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>
        <v>1</v>
      </c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>
        <v>1</v>
      </c>
      <c r="BS13" s="32">
        <v>8</v>
      </c>
      <c r="BT13" s="36" t="s">
        <v>143</v>
      </c>
      <c r="BU13" s="47" t="s">
        <v>82</v>
      </c>
      <c r="BV13" s="48" t="s">
        <v>82</v>
      </c>
      <c r="BW13" s="48" t="s">
        <v>82</v>
      </c>
      <c r="BX13" s="48" t="s">
        <v>87</v>
      </c>
      <c r="BY13" s="48" t="s">
        <v>99</v>
      </c>
      <c r="BZ13" s="48" t="s">
        <v>97</v>
      </c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39" priority="5">
      <formula>IF(G4&lt;&gt;"",SUM($G4:$I4,$L4:$N4,$Q4:$S4)-$D4*1000+$D5*1000)</formula>
    </cfRule>
  </conditionalFormatting>
  <conditionalFormatting sqref="F1:G1 I1:L1 S1:T1 N1:Q1">
    <cfRule type="duplicateValues" dxfId="38" priority="4"/>
  </conditionalFormatting>
  <conditionalFormatting sqref="H1">
    <cfRule type="duplicateValues" dxfId="37" priority="3"/>
  </conditionalFormatting>
  <conditionalFormatting sqref="R1">
    <cfRule type="duplicateValues" dxfId="36" priority="2"/>
  </conditionalFormatting>
  <conditionalFormatting sqref="M1">
    <cfRule type="duplicateValues" dxfId="3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3AFD6-06A7-45F3-830C-3227EBF989A6}">
  <sheetPr codeName="Sheet10">
    <pageSetUpPr fitToPage="1"/>
  </sheetPr>
  <dimension ref="A1:CI30"/>
  <sheetViews>
    <sheetView zoomScaleNormal="100" workbookViewId="0">
      <selection activeCell="G7" sqref="G7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152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154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ただ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たかの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まっつん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ただ</v>
      </c>
      <c r="V2" s="71" t="str">
        <f>$K$1</f>
        <v>たかの</v>
      </c>
      <c r="W2" s="16" t="str">
        <f>$P$1</f>
        <v>まっつん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145</v>
      </c>
      <c r="G4" s="9">
        <v>-1500</v>
      </c>
      <c r="H4" s="9"/>
      <c r="I4" s="55">
        <v>0</v>
      </c>
      <c r="J4" s="21">
        <f>IF(COUNTA($F4,$K4,$P4)&gt;0,J3+SUM(G4:I4),"")</f>
        <v>33500</v>
      </c>
      <c r="K4" s="8" t="s">
        <v>145</v>
      </c>
      <c r="L4" s="9">
        <v>-2500</v>
      </c>
      <c r="M4" s="9"/>
      <c r="N4" s="55">
        <v>0</v>
      </c>
      <c r="O4" s="21">
        <f>IF(COUNTA($F4,$K4,$P4)&gt;0,O3+SUM(L4:N4),"")</f>
        <v>32500</v>
      </c>
      <c r="P4" s="8" t="s">
        <v>146</v>
      </c>
      <c r="Q4" s="9">
        <v>4000</v>
      </c>
      <c r="R4" s="9"/>
      <c r="S4" s="55">
        <v>0</v>
      </c>
      <c r="T4" s="21">
        <f>IF(COUNTA($F4,$K4,$P4)&gt;0,T3+SUM(Q4:S4),"")</f>
        <v>39000</v>
      </c>
      <c r="U4" s="60">
        <f t="shared" ref="U4:U30" si="0">IF($J4="","",ROUND(($J4-$J$3)/1000,1))</f>
        <v>-1.5</v>
      </c>
      <c r="V4" s="61">
        <f t="shared" ref="V4:V30" si="1">IF($O4="","",ROUND(($O4-$O$3)/1000,1))</f>
        <v>-2.5</v>
      </c>
      <c r="W4" s="62">
        <f t="shared" ref="W4:W30" si="2">IF($T4="","",ROUND(($T4-$T$3)/1000,1))</f>
        <v>4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>
        <v>3</v>
      </c>
      <c r="BT4" s="36">
        <v>30</v>
      </c>
      <c r="BU4" s="47" t="s">
        <v>87</v>
      </c>
      <c r="BV4" s="48" t="s">
        <v>82</v>
      </c>
      <c r="BW4" s="48" t="s">
        <v>93</v>
      </c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153</v>
      </c>
      <c r="F5" s="8" t="s">
        <v>146</v>
      </c>
      <c r="G5" s="9">
        <v>12000</v>
      </c>
      <c r="H5" s="9"/>
      <c r="I5" s="55">
        <v>0</v>
      </c>
      <c r="J5" s="21">
        <f t="shared" ref="J5:J30" si="5">IF(COUNTA($F5,$K5,$P5)&gt;0,J4+SUM(G5:I5),"")</f>
        <v>45500</v>
      </c>
      <c r="K5" s="8" t="s">
        <v>145</v>
      </c>
      <c r="L5" s="9">
        <v>-4500</v>
      </c>
      <c r="M5" s="9"/>
      <c r="N5" s="55">
        <v>0</v>
      </c>
      <c r="O5" s="21">
        <f t="shared" ref="O5:O30" si="6">IF(COUNTA($F5,$K5,$P5)&gt;0,O4+SUM(L5:N5),"")</f>
        <v>28000</v>
      </c>
      <c r="P5" s="8" t="s">
        <v>145</v>
      </c>
      <c r="Q5" s="9">
        <v>-7500</v>
      </c>
      <c r="R5" s="9"/>
      <c r="S5" s="55">
        <v>0</v>
      </c>
      <c r="T5" s="21">
        <f t="shared" ref="T5:T30" si="7">IF(COUNTA($F5,$K5,$P5)&gt;0,T4+SUM(Q5:S5),"")</f>
        <v>31500</v>
      </c>
      <c r="U5" s="60">
        <f t="shared" si="0"/>
        <v>10.5</v>
      </c>
      <c r="V5" s="61">
        <f t="shared" si="1"/>
        <v>-7</v>
      </c>
      <c r="W5" s="62">
        <f t="shared" si="2"/>
        <v>-3.5</v>
      </c>
      <c r="Y5" s="8"/>
      <c r="Z5" s="41"/>
      <c r="AA5" s="32">
        <v>1</v>
      </c>
      <c r="AB5" s="32"/>
      <c r="AC5" s="32">
        <v>7</v>
      </c>
      <c r="AD5" s="36" t="s">
        <v>143</v>
      </c>
      <c r="AE5" s="47" t="s">
        <v>144</v>
      </c>
      <c r="AF5" s="48" t="s">
        <v>83</v>
      </c>
      <c r="AG5" s="48" t="s">
        <v>97</v>
      </c>
      <c r="AH5" s="48" t="s">
        <v>80</v>
      </c>
      <c r="AI5" s="48" t="s">
        <v>82</v>
      </c>
      <c r="AJ5" s="48" t="s">
        <v>82</v>
      </c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151</v>
      </c>
      <c r="F6" s="8" t="s">
        <v>145</v>
      </c>
      <c r="G6" s="9">
        <v>-3300</v>
      </c>
      <c r="H6" s="9">
        <v>-1000</v>
      </c>
      <c r="I6" s="55">
        <v>0</v>
      </c>
      <c r="J6" s="21">
        <f t="shared" si="5"/>
        <v>41200</v>
      </c>
      <c r="K6" s="8" t="s">
        <v>146</v>
      </c>
      <c r="L6" s="9">
        <v>5300</v>
      </c>
      <c r="M6" s="9">
        <v>1000</v>
      </c>
      <c r="N6" s="55">
        <v>0</v>
      </c>
      <c r="O6" s="21">
        <f t="shared" si="6"/>
        <v>34300</v>
      </c>
      <c r="P6" s="8" t="s">
        <v>145</v>
      </c>
      <c r="Q6" s="9">
        <v>-2000</v>
      </c>
      <c r="R6" s="9"/>
      <c r="S6" s="55">
        <v>0</v>
      </c>
      <c r="T6" s="21">
        <f t="shared" si="7"/>
        <v>29500</v>
      </c>
      <c r="U6" s="60">
        <f t="shared" si="0"/>
        <v>6.2</v>
      </c>
      <c r="V6" s="61">
        <f t="shared" si="1"/>
        <v>-0.7</v>
      </c>
      <c r="W6" s="62">
        <f t="shared" si="2"/>
        <v>-5.5</v>
      </c>
      <c r="Y6" s="8"/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>
        <v>4</v>
      </c>
      <c r="AY6" s="36">
        <v>20</v>
      </c>
      <c r="AZ6" s="47" t="s">
        <v>144</v>
      </c>
      <c r="BA6" s="48" t="s">
        <v>86</v>
      </c>
      <c r="BB6" s="48" t="s">
        <v>84</v>
      </c>
      <c r="BC6" s="48" t="s">
        <v>85</v>
      </c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南</v>
      </c>
      <c r="B7" s="18">
        <f t="shared" si="8"/>
        <v>1</v>
      </c>
      <c r="C7" s="18">
        <f t="shared" si="9"/>
        <v>0</v>
      </c>
      <c r="D7" s="18">
        <f t="shared" si="4"/>
        <v>0</v>
      </c>
      <c r="E7" s="4" t="s">
        <v>137</v>
      </c>
      <c r="F7" s="8"/>
      <c r="G7" s="9"/>
      <c r="H7" s="9"/>
      <c r="I7" s="55"/>
      <c r="J7" s="21">
        <f t="shared" si="5"/>
        <v>41200</v>
      </c>
      <c r="K7" s="8" t="s">
        <v>142</v>
      </c>
      <c r="L7" s="9">
        <v>12000</v>
      </c>
      <c r="M7" s="9">
        <v>1000</v>
      </c>
      <c r="N7" s="55">
        <v>0</v>
      </c>
      <c r="O7" s="21">
        <f t="shared" si="6"/>
        <v>47300</v>
      </c>
      <c r="P7" s="8" t="s">
        <v>141</v>
      </c>
      <c r="Q7" s="9">
        <v>-12000</v>
      </c>
      <c r="R7" s="9">
        <v>-1000</v>
      </c>
      <c r="S7" s="55">
        <v>0</v>
      </c>
      <c r="T7" s="21">
        <f t="shared" si="7"/>
        <v>16500</v>
      </c>
      <c r="U7" s="60">
        <f t="shared" si="0"/>
        <v>6.2</v>
      </c>
      <c r="V7" s="61">
        <f t="shared" si="1"/>
        <v>12.3</v>
      </c>
      <c r="W7" s="62">
        <f t="shared" si="2"/>
        <v>-18.5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>
        <v>4</v>
      </c>
      <c r="AY7" s="36">
        <v>30</v>
      </c>
      <c r="AZ7" s="47" t="s">
        <v>105</v>
      </c>
      <c r="BA7" s="48" t="s">
        <v>87</v>
      </c>
      <c r="BB7" s="48" t="s">
        <v>82</v>
      </c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1</v>
      </c>
      <c r="D8" s="18">
        <f t="shared" si="4"/>
        <v>0</v>
      </c>
      <c r="E8" s="4" t="s">
        <v>137</v>
      </c>
      <c r="F8" s="8" t="s">
        <v>141</v>
      </c>
      <c r="G8" s="9">
        <v>-5800</v>
      </c>
      <c r="H8" s="9"/>
      <c r="I8" s="55">
        <v>-1000</v>
      </c>
      <c r="J8" s="21">
        <f t="shared" si="5"/>
        <v>34400</v>
      </c>
      <c r="K8" s="8" t="s">
        <v>142</v>
      </c>
      <c r="L8" s="9">
        <v>5800</v>
      </c>
      <c r="M8" s="9"/>
      <c r="N8" s="55">
        <v>1000</v>
      </c>
      <c r="O8" s="21">
        <f t="shared" si="6"/>
        <v>54100</v>
      </c>
      <c r="P8" s="8"/>
      <c r="Q8" s="9"/>
      <c r="R8" s="9"/>
      <c r="S8" s="55"/>
      <c r="T8" s="21">
        <f t="shared" si="7"/>
        <v>16500</v>
      </c>
      <c r="U8" s="60">
        <f t="shared" si="0"/>
        <v>-0.6</v>
      </c>
      <c r="V8" s="61">
        <f t="shared" si="1"/>
        <v>19.100000000000001</v>
      </c>
      <c r="W8" s="62">
        <f t="shared" si="2"/>
        <v>-18.5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>
        <v>3</v>
      </c>
      <c r="AY8" s="36">
        <v>30</v>
      </c>
      <c r="AZ8" s="47" t="s">
        <v>87</v>
      </c>
      <c r="BA8" s="48" t="s">
        <v>82</v>
      </c>
      <c r="BB8" s="48" t="s">
        <v>80</v>
      </c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1</v>
      </c>
      <c r="C9" s="18">
        <f t="shared" si="9"/>
        <v>2</v>
      </c>
      <c r="D9" s="18">
        <f t="shared" si="4"/>
        <v>0</v>
      </c>
      <c r="E9" s="4" t="s">
        <v>137</v>
      </c>
      <c r="F9" s="8" t="s">
        <v>145</v>
      </c>
      <c r="G9" s="9">
        <v>-800</v>
      </c>
      <c r="H9" s="9"/>
      <c r="I9" s="55">
        <v>-1000</v>
      </c>
      <c r="J9" s="21">
        <f t="shared" si="5"/>
        <v>32600</v>
      </c>
      <c r="K9" s="8" t="s">
        <v>145</v>
      </c>
      <c r="L9" s="9">
        <v>-1300</v>
      </c>
      <c r="M9" s="9"/>
      <c r="N9" s="55">
        <v>-1000</v>
      </c>
      <c r="O9" s="21">
        <f t="shared" si="6"/>
        <v>51800</v>
      </c>
      <c r="P9" s="8" t="s">
        <v>146</v>
      </c>
      <c r="Q9" s="9">
        <v>2100</v>
      </c>
      <c r="R9" s="9"/>
      <c r="S9" s="55">
        <v>2000</v>
      </c>
      <c r="T9" s="21">
        <f t="shared" si="7"/>
        <v>20600</v>
      </c>
      <c r="U9" s="60">
        <f t="shared" si="0"/>
        <v>-2.4</v>
      </c>
      <c r="V9" s="61">
        <f t="shared" si="1"/>
        <v>16.8</v>
      </c>
      <c r="W9" s="62">
        <f t="shared" si="2"/>
        <v>-14.4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>
        <v>2</v>
      </c>
      <c r="BT9" s="36">
        <v>30</v>
      </c>
      <c r="BU9" s="47" t="s">
        <v>87</v>
      </c>
      <c r="BV9" s="48" t="s">
        <v>87</v>
      </c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2</v>
      </c>
      <c r="C10" s="18">
        <f t="shared" si="9"/>
        <v>0</v>
      </c>
      <c r="D10" s="18">
        <f t="shared" si="4"/>
        <v>0</v>
      </c>
      <c r="E10" s="4" t="s">
        <v>153</v>
      </c>
      <c r="F10" s="8" t="s">
        <v>142</v>
      </c>
      <c r="G10" s="9">
        <v>8000</v>
      </c>
      <c r="H10" s="9"/>
      <c r="I10" s="55">
        <v>0</v>
      </c>
      <c r="J10" s="21">
        <f t="shared" si="5"/>
        <v>40600</v>
      </c>
      <c r="K10" s="8" t="s">
        <v>141</v>
      </c>
      <c r="L10" s="9">
        <v>-8000</v>
      </c>
      <c r="M10" s="9"/>
      <c r="N10" s="55">
        <v>0</v>
      </c>
      <c r="O10" s="21">
        <f t="shared" si="6"/>
        <v>43800</v>
      </c>
      <c r="P10" s="8"/>
      <c r="Q10" s="9"/>
      <c r="R10" s="9"/>
      <c r="S10" s="55"/>
      <c r="T10" s="21">
        <f t="shared" si="7"/>
        <v>20600</v>
      </c>
      <c r="U10" s="60">
        <f t="shared" si="0"/>
        <v>5.6</v>
      </c>
      <c r="V10" s="61">
        <f t="shared" si="1"/>
        <v>8.8000000000000007</v>
      </c>
      <c r="W10" s="62">
        <f t="shared" si="2"/>
        <v>-14.4</v>
      </c>
      <c r="Y10" s="8"/>
      <c r="Z10" s="41"/>
      <c r="AA10" s="32">
        <v>1</v>
      </c>
      <c r="AB10" s="32"/>
      <c r="AC10" s="32">
        <v>4</v>
      </c>
      <c r="AD10" s="36">
        <v>40</v>
      </c>
      <c r="AE10" s="47" t="s">
        <v>144</v>
      </c>
      <c r="AF10" s="48" t="s">
        <v>82</v>
      </c>
      <c r="AG10" s="48" t="s">
        <v>82</v>
      </c>
      <c r="AH10" s="48" t="s">
        <v>82</v>
      </c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8"/>
        <v>3</v>
      </c>
      <c r="C11" s="18">
        <f t="shared" si="9"/>
        <v>0</v>
      </c>
      <c r="D11" s="18">
        <f t="shared" si="4"/>
        <v>0</v>
      </c>
      <c r="E11" s="4" t="s">
        <v>151</v>
      </c>
      <c r="F11" s="8"/>
      <c r="G11" s="9"/>
      <c r="H11" s="9"/>
      <c r="I11" s="55"/>
      <c r="J11" s="21">
        <f t="shared" si="5"/>
        <v>40600</v>
      </c>
      <c r="K11" s="8" t="s">
        <v>142</v>
      </c>
      <c r="L11" s="9">
        <v>2600</v>
      </c>
      <c r="M11" s="9"/>
      <c r="N11" s="55">
        <v>0</v>
      </c>
      <c r="O11" s="21">
        <f t="shared" si="6"/>
        <v>46400</v>
      </c>
      <c r="P11" s="8" t="s">
        <v>141</v>
      </c>
      <c r="Q11" s="9">
        <v>-2600</v>
      </c>
      <c r="R11" s="9"/>
      <c r="S11" s="55">
        <v>0</v>
      </c>
      <c r="T11" s="21">
        <f t="shared" si="7"/>
        <v>18000</v>
      </c>
      <c r="U11" s="60">
        <f t="shared" si="0"/>
        <v>5.6</v>
      </c>
      <c r="V11" s="61">
        <f t="shared" si="1"/>
        <v>11.4</v>
      </c>
      <c r="W11" s="62">
        <f t="shared" si="2"/>
        <v>-17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>
        <v>2</v>
      </c>
      <c r="AY11" s="36">
        <v>40</v>
      </c>
      <c r="AZ11" s="47" t="s">
        <v>144</v>
      </c>
      <c r="BA11" s="48" t="s">
        <v>87</v>
      </c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2">
    <dataValidation type="list" allowBlank="1" showInputMessage="1" showErrorMessage="1" sqref="E4:E30" xr:uid="{499CACCD-82A7-40C4-BAB2-94BB23A95985}">
      <formula1>$U$2:$W$2</formula1>
    </dataValidation>
    <dataValidation type="list" showInputMessage="1" showErrorMessage="1" sqref="K4:K30 P4:P30 F4:F30" xr:uid="{963268E1-063E-45A5-AAFE-6459025896F2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D34E4-F183-48E5-8DC3-1522FAA84CE1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152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154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ただ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たかの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まっつん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ただ</v>
      </c>
      <c r="V2" s="71" t="str">
        <f>$K$1</f>
        <v>たかの</v>
      </c>
      <c r="W2" s="16" t="str">
        <f>$P$1</f>
        <v>まっつん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151</v>
      </c>
      <c r="F4" s="8" t="s">
        <v>155</v>
      </c>
      <c r="G4" s="9">
        <v>3000</v>
      </c>
      <c r="H4" s="9">
        <v>-1000</v>
      </c>
      <c r="I4" s="55"/>
      <c r="J4" s="21">
        <f>IF(COUNTA($F4,$K4,$P4)&gt;0,J3+SUM(G4:I4),"")</f>
        <v>37000</v>
      </c>
      <c r="K4" s="8" t="s">
        <v>155</v>
      </c>
      <c r="L4" s="9">
        <v>-1500</v>
      </c>
      <c r="M4" s="9"/>
      <c r="N4" s="55"/>
      <c r="O4" s="21">
        <f>IF(COUNTA($F4,$K4,$P4)&gt;0,O3+SUM(L4:N4),"")</f>
        <v>33500</v>
      </c>
      <c r="P4" s="8" t="s">
        <v>155</v>
      </c>
      <c r="Q4" s="9">
        <v>-1500</v>
      </c>
      <c r="R4" s="9"/>
      <c r="S4" s="55"/>
      <c r="T4" s="21">
        <f>IF(COUNTA($F4,$K4,$P4)&gt;0,T3+SUM(Q4:S4),"")</f>
        <v>33500</v>
      </c>
      <c r="U4" s="60">
        <f t="shared" ref="U4:U30" si="0">IF($J4="","",ROUND(($J4-$J$3)/1000,1))</f>
        <v>2</v>
      </c>
      <c r="V4" s="61">
        <f t="shared" ref="V4:V30" si="1">IF($O4="","",ROUND(($O4-$O$3)/1000,1))</f>
        <v>-1.5</v>
      </c>
      <c r="W4" s="62">
        <f t="shared" ref="W4:W30" si="2">IF($T4="","",ROUND(($T4-$T$3)/1000,1))</f>
        <v>-1.5</v>
      </c>
      <c r="Y4" s="8" t="s">
        <v>147</v>
      </c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148</v>
      </c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148</v>
      </c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1</v>
      </c>
      <c r="E5" s="4" t="s">
        <v>151</v>
      </c>
      <c r="F5" s="8" t="s">
        <v>141</v>
      </c>
      <c r="G5" s="9">
        <v>-32000</v>
      </c>
      <c r="H5" s="9"/>
      <c r="I5" s="55">
        <v>-1000</v>
      </c>
      <c r="J5" s="21">
        <f t="shared" ref="J5:J30" si="5">IF(COUNTA($F5,$K5,$P5)&gt;0,J4+SUM(G5:I5),"")</f>
        <v>4000</v>
      </c>
      <c r="K5" s="8"/>
      <c r="L5" s="9"/>
      <c r="M5" s="9"/>
      <c r="N5" s="55"/>
      <c r="O5" s="21">
        <f t="shared" ref="O5:O30" si="6">IF(COUNTA($F5,$K5,$P5)&gt;0,O4+SUM(L5:N5),"")</f>
        <v>33500</v>
      </c>
      <c r="P5" s="8" t="s">
        <v>142</v>
      </c>
      <c r="Q5" s="9">
        <v>32000</v>
      </c>
      <c r="R5" s="9">
        <v>1000</v>
      </c>
      <c r="S5" s="55">
        <v>1000</v>
      </c>
      <c r="T5" s="21">
        <f t="shared" ref="T5:T30" si="7">IF(COUNTA($F5,$K5,$P5)&gt;0,T4+SUM(Q5:S5),"")</f>
        <v>67500</v>
      </c>
      <c r="U5" s="60">
        <f t="shared" si="0"/>
        <v>-31</v>
      </c>
      <c r="V5" s="61">
        <f t="shared" si="1"/>
        <v>-1.5</v>
      </c>
      <c r="W5" s="62">
        <f t="shared" si="2"/>
        <v>32.5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>
        <v>13</v>
      </c>
      <c r="BT5" s="36" t="s">
        <v>143</v>
      </c>
      <c r="BU5" s="47" t="s">
        <v>108</v>
      </c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137</v>
      </c>
      <c r="F6" s="8" t="s">
        <v>141</v>
      </c>
      <c r="G6" s="9">
        <v>-18000</v>
      </c>
      <c r="H6" s="9"/>
      <c r="I6" s="55">
        <v>0</v>
      </c>
      <c r="J6" s="21">
        <f t="shared" si="5"/>
        <v>-14000</v>
      </c>
      <c r="K6" s="8" t="s">
        <v>142</v>
      </c>
      <c r="L6" s="9">
        <v>18000</v>
      </c>
      <c r="M6" s="9"/>
      <c r="N6" s="55">
        <v>0</v>
      </c>
      <c r="O6" s="21">
        <f t="shared" si="6"/>
        <v>51500</v>
      </c>
      <c r="P6" s="8"/>
      <c r="Q6" s="9"/>
      <c r="R6" s="9"/>
      <c r="S6" s="55"/>
      <c r="T6" s="21">
        <f t="shared" si="7"/>
        <v>67500</v>
      </c>
      <c r="U6" s="60">
        <f t="shared" si="0"/>
        <v>-49</v>
      </c>
      <c r="V6" s="61">
        <f t="shared" si="1"/>
        <v>16.5</v>
      </c>
      <c r="W6" s="62">
        <f t="shared" si="2"/>
        <v>32.5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6</v>
      </c>
      <c r="AY6" s="36" t="s">
        <v>143</v>
      </c>
      <c r="AZ6" s="47" t="s">
        <v>144</v>
      </c>
      <c r="BA6" s="48" t="s">
        <v>150</v>
      </c>
      <c r="BB6" s="48" t="s">
        <v>82</v>
      </c>
      <c r="BC6" s="48" t="s">
        <v>82</v>
      </c>
      <c r="BD6" s="48" t="s">
        <v>80</v>
      </c>
      <c r="BE6" s="48" t="s">
        <v>80</v>
      </c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/>
      </c>
      <c r="B7" s="18" t="str">
        <f t="shared" si="8"/>
        <v/>
      </c>
      <c r="C7" s="18" t="str">
        <f t="shared" si="9"/>
        <v/>
      </c>
      <c r="D7" s="18" t="str">
        <f t="shared" si="4"/>
        <v/>
      </c>
      <c r="E7" s="4"/>
      <c r="F7" s="8"/>
      <c r="G7" s="9"/>
      <c r="H7" s="9"/>
      <c r="I7" s="55"/>
      <c r="J7" s="21" t="str">
        <f t="shared" si="5"/>
        <v/>
      </c>
      <c r="K7" s="8"/>
      <c r="L7" s="9"/>
      <c r="M7" s="9"/>
      <c r="N7" s="55"/>
      <c r="O7" s="21" t="str">
        <f t="shared" si="6"/>
        <v/>
      </c>
      <c r="P7" s="8"/>
      <c r="Q7" s="9"/>
      <c r="R7" s="9"/>
      <c r="S7" s="55"/>
      <c r="T7" s="21" t="str">
        <f t="shared" si="7"/>
        <v/>
      </c>
      <c r="U7" s="60" t="str">
        <f t="shared" si="0"/>
        <v/>
      </c>
      <c r="V7" s="61" t="str">
        <f t="shared" si="1"/>
        <v/>
      </c>
      <c r="W7" s="62" t="str">
        <f t="shared" si="2"/>
        <v/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/>
      </c>
      <c r="B8" s="18" t="str">
        <f t="shared" si="8"/>
        <v/>
      </c>
      <c r="C8" s="18" t="str">
        <f t="shared" si="9"/>
        <v/>
      </c>
      <c r="D8" s="18" t="str">
        <f t="shared" si="4"/>
        <v/>
      </c>
      <c r="E8" s="4"/>
      <c r="F8" s="8"/>
      <c r="G8" s="9"/>
      <c r="H8" s="9"/>
      <c r="I8" s="55"/>
      <c r="J8" s="21" t="str">
        <f t="shared" si="5"/>
        <v/>
      </c>
      <c r="K8" s="8"/>
      <c r="L8" s="9"/>
      <c r="M8" s="9"/>
      <c r="N8" s="55"/>
      <c r="O8" s="21" t="str">
        <f t="shared" si="6"/>
        <v/>
      </c>
      <c r="P8" s="8"/>
      <c r="Q8" s="9"/>
      <c r="R8" s="9"/>
      <c r="S8" s="55"/>
      <c r="T8" s="21" t="str">
        <f t="shared" si="7"/>
        <v/>
      </c>
      <c r="U8" s="60" t="str">
        <f t="shared" si="0"/>
        <v/>
      </c>
      <c r="V8" s="61" t="str">
        <f t="shared" si="1"/>
        <v/>
      </c>
      <c r="W8" s="62" t="str">
        <f t="shared" si="2"/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/>
      </c>
      <c r="B9" s="18" t="str">
        <f t="shared" si="8"/>
        <v/>
      </c>
      <c r="C9" s="18" t="str">
        <f t="shared" si="9"/>
        <v/>
      </c>
      <c r="D9" s="18" t="str">
        <f t="shared" si="4"/>
        <v/>
      </c>
      <c r="E9" s="4"/>
      <c r="F9" s="8"/>
      <c r="G9" s="9"/>
      <c r="H9" s="9"/>
      <c r="I9" s="55"/>
      <c r="J9" s="21" t="str">
        <f t="shared" si="5"/>
        <v/>
      </c>
      <c r="K9" s="8"/>
      <c r="L9" s="9"/>
      <c r="M9" s="9"/>
      <c r="N9" s="55"/>
      <c r="O9" s="21" t="str">
        <f t="shared" si="6"/>
        <v/>
      </c>
      <c r="P9" s="8"/>
      <c r="Q9" s="9"/>
      <c r="R9" s="9"/>
      <c r="S9" s="55"/>
      <c r="T9" s="21" t="str">
        <f t="shared" si="7"/>
        <v/>
      </c>
      <c r="U9" s="60" t="str">
        <f t="shared" si="0"/>
        <v/>
      </c>
      <c r="V9" s="61" t="str">
        <f t="shared" si="1"/>
        <v/>
      </c>
      <c r="W9" s="62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8"/>
        <v/>
      </c>
      <c r="C10" s="18" t="str">
        <f t="shared" si="9"/>
        <v/>
      </c>
      <c r="D10" s="18" t="str">
        <f t="shared" si="4"/>
        <v/>
      </c>
      <c r="E10" s="4"/>
      <c r="F10" s="8"/>
      <c r="G10" s="9"/>
      <c r="H10" s="9"/>
      <c r="I10" s="55"/>
      <c r="J10" s="21" t="str">
        <f t="shared" si="5"/>
        <v/>
      </c>
      <c r="K10" s="8"/>
      <c r="L10" s="9"/>
      <c r="M10" s="9"/>
      <c r="N10" s="55"/>
      <c r="O10" s="21" t="str">
        <f t="shared" si="6"/>
        <v/>
      </c>
      <c r="P10" s="8"/>
      <c r="Q10" s="9"/>
      <c r="R10" s="9"/>
      <c r="S10" s="55"/>
      <c r="T10" s="21" t="str">
        <f t="shared" si="7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55"/>
      <c r="J11" s="21" t="str">
        <f t="shared" si="5"/>
        <v/>
      </c>
      <c r="K11" s="8"/>
      <c r="L11" s="9"/>
      <c r="M11" s="9"/>
      <c r="N11" s="55"/>
      <c r="O11" s="21" t="str">
        <f t="shared" si="6"/>
        <v/>
      </c>
      <c r="P11" s="8"/>
      <c r="Q11" s="9"/>
      <c r="R11" s="9"/>
      <c r="S11" s="55"/>
      <c r="T11" s="21" t="str">
        <f t="shared" si="7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2">
    <dataValidation type="list" showInputMessage="1" showErrorMessage="1" sqref="K4:K30 P4:P30 F4:F30" xr:uid="{59835878-D4B5-4BB1-A46D-B9E635037BAD}">
      <formula1>"ロン,ツモ,放銃,ツモ支払,流局,チョンボ"</formula1>
    </dataValidation>
    <dataValidation type="list" allowBlank="1" showInputMessage="1" showErrorMessage="1" sqref="E4:E30" xr:uid="{840E111F-8556-4AD8-8313-ECBA3FD832B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3178-B657-477A-8AA6-F736E7754E03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152</v>
      </c>
      <c r="L1" s="74"/>
      <c r="M1" s="74"/>
      <c r="N1" s="83"/>
      <c r="O1" s="75"/>
      <c r="P1" s="72" t="s">
        <v>154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まっつん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ただ</v>
      </c>
      <c r="W2" s="16" t="str">
        <f>$P$1</f>
        <v>まっつん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151</v>
      </c>
      <c r="F4" s="8" t="s">
        <v>146</v>
      </c>
      <c r="G4" s="9">
        <v>8000</v>
      </c>
      <c r="H4" s="9"/>
      <c r="I4" s="55">
        <v>0</v>
      </c>
      <c r="J4" s="21">
        <f>IF(COUNTA($F4,$K4,$P4)&gt;0,J3+SUM(G4:I4),"")</f>
        <v>43000</v>
      </c>
      <c r="K4" s="8" t="s">
        <v>145</v>
      </c>
      <c r="L4" s="9">
        <v>-5000</v>
      </c>
      <c r="M4" s="9"/>
      <c r="N4" s="55">
        <v>0</v>
      </c>
      <c r="O4" s="21">
        <f>IF(COUNTA($F4,$K4,$P4)&gt;0,O3+SUM(L4:N4),"")</f>
        <v>30000</v>
      </c>
      <c r="P4" s="8" t="s">
        <v>145</v>
      </c>
      <c r="Q4" s="9">
        <v>-3000</v>
      </c>
      <c r="R4" s="9"/>
      <c r="S4" s="55">
        <v>0</v>
      </c>
      <c r="T4" s="21">
        <f>IF(COUNTA($F4,$K4,$P4)&gt;0,T3+SUM(Q4:S4),"")</f>
        <v>32000</v>
      </c>
      <c r="U4" s="60">
        <f t="shared" ref="U4:U30" si="0">IF($J4="","",ROUND(($J4-$J$3)/1000,1))</f>
        <v>8</v>
      </c>
      <c r="V4" s="61">
        <f t="shared" ref="V4:V30" si="1">IF($O4="","",ROUND(($O4-$O$3)/1000,1))</f>
        <v>-5</v>
      </c>
      <c r="W4" s="62">
        <f t="shared" ref="W4:W30" si="2">IF($T4="","",ROUND(($T4-$T$3)/1000,1))</f>
        <v>-3</v>
      </c>
      <c r="Y4" s="8"/>
      <c r="Z4" s="41"/>
      <c r="AA4" s="32"/>
      <c r="AB4" s="32">
        <v>1</v>
      </c>
      <c r="AC4" s="32">
        <v>5</v>
      </c>
      <c r="AD4" s="36" t="s">
        <v>143</v>
      </c>
      <c r="AE4" s="47" t="s">
        <v>105</v>
      </c>
      <c r="AF4" s="48" t="s">
        <v>87</v>
      </c>
      <c r="AG4" s="48" t="s">
        <v>87</v>
      </c>
      <c r="AH4" s="48" t="s">
        <v>87</v>
      </c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153</v>
      </c>
      <c r="F5" s="8" t="s">
        <v>155</v>
      </c>
      <c r="G5" s="9">
        <v>0</v>
      </c>
      <c r="H5" s="9"/>
      <c r="I5" s="55"/>
      <c r="J5" s="21">
        <f t="shared" ref="J5:J30" si="5">IF(COUNTA($F5,$K5,$P5)&gt;0,J4+SUM(G5:I5),"")</f>
        <v>43000</v>
      </c>
      <c r="K5" s="8" t="s">
        <v>155</v>
      </c>
      <c r="L5" s="9">
        <v>0</v>
      </c>
      <c r="M5" s="9">
        <v>-1000</v>
      </c>
      <c r="N5" s="55"/>
      <c r="O5" s="21">
        <f t="shared" ref="O5:O30" si="6">IF(COUNTA($F5,$K5,$P5)&gt;0,O4+SUM(L5:N5),"")</f>
        <v>29000</v>
      </c>
      <c r="P5" s="8" t="s">
        <v>155</v>
      </c>
      <c r="Q5" s="9">
        <v>0</v>
      </c>
      <c r="R5" s="9"/>
      <c r="S5" s="55"/>
      <c r="T5" s="21">
        <f t="shared" ref="T5:T30" si="7">IF(COUNTA($F5,$K5,$P5)&gt;0,T4+SUM(Q5:S5),"")</f>
        <v>32000</v>
      </c>
      <c r="U5" s="60">
        <f t="shared" si="0"/>
        <v>8</v>
      </c>
      <c r="V5" s="61">
        <f t="shared" si="1"/>
        <v>-6</v>
      </c>
      <c r="W5" s="62">
        <f t="shared" si="2"/>
        <v>-3</v>
      </c>
      <c r="Y5" s="8" t="s">
        <v>147</v>
      </c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 t="s">
        <v>147</v>
      </c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 t="s">
        <v>147</v>
      </c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1</v>
      </c>
      <c r="D6" s="18">
        <f t="shared" si="4"/>
        <v>1</v>
      </c>
      <c r="E6" s="4" t="s">
        <v>153</v>
      </c>
      <c r="F6" s="8" t="s">
        <v>142</v>
      </c>
      <c r="G6" s="9">
        <v>5200</v>
      </c>
      <c r="H6" s="9">
        <v>1000</v>
      </c>
      <c r="I6" s="55">
        <v>1000</v>
      </c>
      <c r="J6" s="21">
        <f t="shared" si="5"/>
        <v>50200</v>
      </c>
      <c r="K6" s="8"/>
      <c r="L6" s="9"/>
      <c r="M6" s="9"/>
      <c r="N6" s="55"/>
      <c r="O6" s="21">
        <f t="shared" si="6"/>
        <v>29000</v>
      </c>
      <c r="P6" s="8" t="s">
        <v>141</v>
      </c>
      <c r="Q6" s="9">
        <v>-5200</v>
      </c>
      <c r="R6" s="9"/>
      <c r="S6" s="55">
        <v>-1000</v>
      </c>
      <c r="T6" s="21">
        <f t="shared" si="7"/>
        <v>25800</v>
      </c>
      <c r="U6" s="60">
        <f t="shared" si="0"/>
        <v>15.2</v>
      </c>
      <c r="V6" s="61">
        <f t="shared" si="1"/>
        <v>-6</v>
      </c>
      <c r="W6" s="62">
        <f t="shared" si="2"/>
        <v>-9.1999999999999993</v>
      </c>
      <c r="Y6" s="8"/>
      <c r="Z6" s="41"/>
      <c r="AA6" s="32">
        <v>1</v>
      </c>
      <c r="AB6" s="32"/>
      <c r="AC6" s="32">
        <v>3</v>
      </c>
      <c r="AD6" s="36">
        <v>40</v>
      </c>
      <c r="AE6" s="47" t="s">
        <v>144</v>
      </c>
      <c r="AF6" s="48" t="s">
        <v>86</v>
      </c>
      <c r="AG6" s="48" t="s">
        <v>82</v>
      </c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0</v>
      </c>
      <c r="D7" s="18">
        <f t="shared" si="4"/>
        <v>0</v>
      </c>
      <c r="E7" s="4" t="s">
        <v>135</v>
      </c>
      <c r="F7" s="8" t="s">
        <v>142</v>
      </c>
      <c r="G7" s="9">
        <v>2900</v>
      </c>
      <c r="H7" s="9"/>
      <c r="I7" s="55">
        <v>0</v>
      </c>
      <c r="J7" s="21">
        <f t="shared" si="5"/>
        <v>53100</v>
      </c>
      <c r="K7" s="8" t="s">
        <v>141</v>
      </c>
      <c r="L7" s="9">
        <v>-2900</v>
      </c>
      <c r="M7" s="9"/>
      <c r="N7" s="55">
        <v>0</v>
      </c>
      <c r="O7" s="21">
        <f t="shared" si="6"/>
        <v>26100</v>
      </c>
      <c r="P7" s="8"/>
      <c r="Q7" s="9"/>
      <c r="R7" s="9"/>
      <c r="S7" s="55"/>
      <c r="T7" s="21">
        <f t="shared" si="7"/>
        <v>25800</v>
      </c>
      <c r="U7" s="60">
        <f t="shared" si="0"/>
        <v>18.100000000000001</v>
      </c>
      <c r="V7" s="61">
        <f t="shared" si="1"/>
        <v>-8.9</v>
      </c>
      <c r="W7" s="62">
        <f t="shared" si="2"/>
        <v>-9.1999999999999993</v>
      </c>
      <c r="Y7" s="8"/>
      <c r="Z7" s="41"/>
      <c r="AA7" s="32"/>
      <c r="AB7" s="32">
        <v>1</v>
      </c>
      <c r="AC7" s="32">
        <v>2</v>
      </c>
      <c r="AD7" s="36">
        <v>30</v>
      </c>
      <c r="AE7" s="47" t="s">
        <v>87</v>
      </c>
      <c r="AF7" s="48" t="s">
        <v>87</v>
      </c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8"/>
        <v>3</v>
      </c>
      <c r="C8" s="18">
        <f t="shared" si="9"/>
        <v>1</v>
      </c>
      <c r="D8" s="18">
        <f t="shared" si="4"/>
        <v>0</v>
      </c>
      <c r="E8" s="4" t="s">
        <v>135</v>
      </c>
      <c r="F8" s="8" t="s">
        <v>146</v>
      </c>
      <c r="G8" s="9">
        <v>12000</v>
      </c>
      <c r="H8" s="9"/>
      <c r="I8" s="55">
        <v>1000</v>
      </c>
      <c r="J8" s="21">
        <f t="shared" si="5"/>
        <v>66100</v>
      </c>
      <c r="K8" s="8" t="s">
        <v>145</v>
      </c>
      <c r="L8" s="9">
        <v>-6000</v>
      </c>
      <c r="M8" s="9"/>
      <c r="N8" s="55">
        <v>-500</v>
      </c>
      <c r="O8" s="21">
        <f t="shared" si="6"/>
        <v>19600</v>
      </c>
      <c r="P8" s="8" t="s">
        <v>145</v>
      </c>
      <c r="Q8" s="9">
        <v>-6000</v>
      </c>
      <c r="R8" s="9"/>
      <c r="S8" s="55">
        <v>-500</v>
      </c>
      <c r="T8" s="21">
        <f t="shared" si="7"/>
        <v>19300</v>
      </c>
      <c r="U8" s="60">
        <f t="shared" si="0"/>
        <v>31.1</v>
      </c>
      <c r="V8" s="61">
        <f t="shared" si="1"/>
        <v>-15.4</v>
      </c>
      <c r="W8" s="62">
        <f t="shared" si="2"/>
        <v>-15.7</v>
      </c>
      <c r="Y8" s="8"/>
      <c r="Z8" s="41"/>
      <c r="AA8" s="32">
        <v>1</v>
      </c>
      <c r="AB8" s="32"/>
      <c r="AC8" s="32">
        <v>5</v>
      </c>
      <c r="AD8" s="36" t="s">
        <v>143</v>
      </c>
      <c r="AE8" s="47" t="s">
        <v>144</v>
      </c>
      <c r="AF8" s="48" t="s">
        <v>83</v>
      </c>
      <c r="AG8" s="48" t="s">
        <v>82</v>
      </c>
      <c r="AH8" s="48" t="s">
        <v>82</v>
      </c>
      <c r="AI8" s="48" t="s">
        <v>80</v>
      </c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8"/>
        <v>3</v>
      </c>
      <c r="C9" s="18">
        <f t="shared" si="9"/>
        <v>2</v>
      </c>
      <c r="D9" s="18">
        <f t="shared" si="4"/>
        <v>0</v>
      </c>
      <c r="E9" s="4" t="s">
        <v>135</v>
      </c>
      <c r="F9" s="8" t="s">
        <v>142</v>
      </c>
      <c r="G9" s="9">
        <v>18000</v>
      </c>
      <c r="H9" s="9">
        <v>1000</v>
      </c>
      <c r="I9" s="55">
        <v>2000</v>
      </c>
      <c r="J9" s="21">
        <f t="shared" si="5"/>
        <v>87100</v>
      </c>
      <c r="K9" s="8"/>
      <c r="L9" s="9"/>
      <c r="M9" s="9"/>
      <c r="N9" s="55"/>
      <c r="O9" s="21">
        <f t="shared" si="6"/>
        <v>19600</v>
      </c>
      <c r="P9" s="8" t="s">
        <v>141</v>
      </c>
      <c r="Q9" s="9">
        <v>-18000</v>
      </c>
      <c r="R9" s="9">
        <v>-1000</v>
      </c>
      <c r="S9" s="55">
        <v>-2000</v>
      </c>
      <c r="T9" s="21">
        <f t="shared" si="7"/>
        <v>-1700</v>
      </c>
      <c r="U9" s="60">
        <f t="shared" si="0"/>
        <v>52.1</v>
      </c>
      <c r="V9" s="61">
        <f t="shared" si="1"/>
        <v>-15.4</v>
      </c>
      <c r="W9" s="62">
        <f t="shared" si="2"/>
        <v>-36.700000000000003</v>
      </c>
      <c r="Y9" s="8"/>
      <c r="Z9" s="41"/>
      <c r="AA9" s="32"/>
      <c r="AB9" s="32">
        <v>1</v>
      </c>
      <c r="AC9" s="32">
        <v>7</v>
      </c>
      <c r="AD9" s="36" t="s">
        <v>143</v>
      </c>
      <c r="AE9" s="47" t="s">
        <v>87</v>
      </c>
      <c r="AF9" s="48" t="s">
        <v>87</v>
      </c>
      <c r="AG9" s="48" t="s">
        <v>105</v>
      </c>
      <c r="AH9" s="48" t="s">
        <v>99</v>
      </c>
      <c r="AI9" s="48" t="s">
        <v>82</v>
      </c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8"/>
        <v/>
      </c>
      <c r="C10" s="18" t="str">
        <f t="shared" si="9"/>
        <v/>
      </c>
      <c r="D10" s="18" t="str">
        <f t="shared" si="4"/>
        <v/>
      </c>
      <c r="E10" s="4"/>
      <c r="F10" s="8"/>
      <c r="G10" s="9"/>
      <c r="H10" s="9"/>
      <c r="I10" s="55"/>
      <c r="J10" s="21" t="str">
        <f t="shared" si="5"/>
        <v/>
      </c>
      <c r="K10" s="8"/>
      <c r="L10" s="9"/>
      <c r="M10" s="9"/>
      <c r="N10" s="55"/>
      <c r="O10" s="21" t="str">
        <f t="shared" si="6"/>
        <v/>
      </c>
      <c r="P10" s="8"/>
      <c r="Q10" s="9"/>
      <c r="R10" s="9"/>
      <c r="S10" s="55"/>
      <c r="T10" s="21" t="str">
        <f t="shared" si="7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55"/>
      <c r="J11" s="21" t="str">
        <f t="shared" si="5"/>
        <v/>
      </c>
      <c r="K11" s="8"/>
      <c r="L11" s="9"/>
      <c r="M11" s="9"/>
      <c r="N11" s="55"/>
      <c r="O11" s="21" t="str">
        <f t="shared" si="6"/>
        <v/>
      </c>
      <c r="P11" s="8"/>
      <c r="Q11" s="9"/>
      <c r="R11" s="9"/>
      <c r="S11" s="55"/>
      <c r="T11" s="21" t="str">
        <f t="shared" si="7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allowBlank="1" showInputMessage="1" showErrorMessage="1" sqref="E4:E30" xr:uid="{140F1665-A887-49A0-9AE7-8E954F7A55A1}">
      <formula1>$U$2:$W$2</formula1>
    </dataValidation>
    <dataValidation type="list" showInputMessage="1" showErrorMessage="1" sqref="K4:K30 P4:P30 F4:F30" xr:uid="{7C2B4FC2-D0A9-456B-B7FF-B528A55463EB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35D20-439F-4811-A13F-7CADA04B80CA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152</v>
      </c>
      <c r="L1" s="74"/>
      <c r="M1" s="74"/>
      <c r="N1" s="83"/>
      <c r="O1" s="75"/>
      <c r="P1" s="72" t="s">
        <v>154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まっつん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ただ</v>
      </c>
      <c r="W2" s="16" t="str">
        <f>$P$1</f>
        <v>まっつん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153</v>
      </c>
      <c r="F4" s="8" t="s">
        <v>142</v>
      </c>
      <c r="G4" s="9">
        <v>1000</v>
      </c>
      <c r="H4" s="9"/>
      <c r="I4" s="55">
        <v>0</v>
      </c>
      <c r="J4" s="21">
        <f>IF(COUNTA($F4,$K4,$P4)&gt;0,J3+SUM(G4:I4),"")</f>
        <v>36000</v>
      </c>
      <c r="K4" s="8"/>
      <c r="L4" s="9"/>
      <c r="M4" s="9"/>
      <c r="N4" s="55"/>
      <c r="O4" s="21">
        <f>IF(COUNTA($F4,$K4,$P4)&gt;0,O3+SUM(L4:N4),"")</f>
        <v>35000</v>
      </c>
      <c r="P4" s="8" t="s">
        <v>141</v>
      </c>
      <c r="Q4" s="9">
        <v>-1000</v>
      </c>
      <c r="R4" s="9"/>
      <c r="S4" s="55">
        <v>0</v>
      </c>
      <c r="T4" s="21">
        <f>IF(COUNTA($F4,$K4,$P4)&gt;0,T3+SUM(Q4:S4),"")</f>
        <v>34000</v>
      </c>
      <c r="U4" s="60">
        <f t="shared" ref="U4:U30" si="0">IF($J4="","",ROUND(($J4-$J$3)/1000,1))</f>
        <v>1</v>
      </c>
      <c r="V4" s="61">
        <f t="shared" ref="V4:V30" si="1">IF($O4="","",ROUND(($O4-$O$3)/1000,1))</f>
        <v>0</v>
      </c>
      <c r="W4" s="62">
        <f t="shared" ref="W4:W30" si="2">IF($T4="","",ROUND(($T4-$T$3)/1000,1))</f>
        <v>-1</v>
      </c>
      <c r="Y4" s="8"/>
      <c r="Z4" s="41"/>
      <c r="AA4" s="32"/>
      <c r="AB4" s="32">
        <v>1</v>
      </c>
      <c r="AC4" s="32">
        <v>1</v>
      </c>
      <c r="AD4" s="36">
        <v>30</v>
      </c>
      <c r="AE4" s="47" t="s">
        <v>87</v>
      </c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135</v>
      </c>
      <c r="F5" s="8" t="s">
        <v>146</v>
      </c>
      <c r="G5" s="9">
        <v>3000</v>
      </c>
      <c r="H5" s="9"/>
      <c r="I5" s="55">
        <v>0</v>
      </c>
      <c r="J5" s="21">
        <f t="shared" ref="J5:J30" si="5">IF(COUNTA($F5,$K5,$P5)&gt;0,J4+SUM(G5:I5),"")</f>
        <v>39000</v>
      </c>
      <c r="K5" s="8" t="s">
        <v>145</v>
      </c>
      <c r="L5" s="9">
        <v>-1500</v>
      </c>
      <c r="M5" s="9"/>
      <c r="N5" s="55">
        <v>0</v>
      </c>
      <c r="O5" s="21">
        <f t="shared" ref="O5:O30" si="6">IF(COUNTA($F5,$K5,$P5)&gt;0,O4+SUM(L5:N5),"")</f>
        <v>33500</v>
      </c>
      <c r="P5" s="8" t="s">
        <v>145</v>
      </c>
      <c r="Q5" s="9">
        <v>-1500</v>
      </c>
      <c r="R5" s="9"/>
      <c r="S5" s="55">
        <v>0</v>
      </c>
      <c r="T5" s="21">
        <f t="shared" ref="T5:T30" si="7">IF(COUNTA($F5,$K5,$P5)&gt;0,T4+SUM(Q5:S5),"")</f>
        <v>32500</v>
      </c>
      <c r="U5" s="60">
        <f t="shared" si="0"/>
        <v>4</v>
      </c>
      <c r="V5" s="61">
        <f t="shared" si="1"/>
        <v>-1.5</v>
      </c>
      <c r="W5" s="62">
        <f t="shared" si="2"/>
        <v>-2.5</v>
      </c>
      <c r="Y5" s="8"/>
      <c r="Z5" s="41"/>
      <c r="AA5" s="32"/>
      <c r="AB5" s="32"/>
      <c r="AC5" s="32">
        <v>2</v>
      </c>
      <c r="AD5" s="36">
        <v>30</v>
      </c>
      <c r="AE5" s="47" t="s">
        <v>83</v>
      </c>
      <c r="AF5" s="48" t="s">
        <v>82</v>
      </c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1</v>
      </c>
      <c r="D6" s="18">
        <f t="shared" si="4"/>
        <v>0</v>
      </c>
      <c r="E6" s="4" t="s">
        <v>135</v>
      </c>
      <c r="F6" s="8"/>
      <c r="G6" s="9"/>
      <c r="H6" s="9"/>
      <c r="I6" s="55"/>
      <c r="J6" s="21">
        <f t="shared" si="5"/>
        <v>39000</v>
      </c>
      <c r="K6" s="8" t="s">
        <v>142</v>
      </c>
      <c r="L6" s="9">
        <v>8000</v>
      </c>
      <c r="M6" s="9"/>
      <c r="N6" s="55">
        <v>1000</v>
      </c>
      <c r="O6" s="21">
        <f t="shared" si="6"/>
        <v>42500</v>
      </c>
      <c r="P6" s="8" t="s">
        <v>141</v>
      </c>
      <c r="Q6" s="9">
        <v>-8000</v>
      </c>
      <c r="R6" s="9"/>
      <c r="S6" s="55">
        <v>-1000</v>
      </c>
      <c r="T6" s="21">
        <f t="shared" si="7"/>
        <v>23500</v>
      </c>
      <c r="U6" s="60">
        <f t="shared" si="0"/>
        <v>4</v>
      </c>
      <c r="V6" s="61">
        <f t="shared" si="1"/>
        <v>7.5</v>
      </c>
      <c r="W6" s="62">
        <f t="shared" si="2"/>
        <v>-11.5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>
        <v>4</v>
      </c>
      <c r="AY6" s="36">
        <v>40</v>
      </c>
      <c r="AZ6" s="47" t="s">
        <v>87</v>
      </c>
      <c r="BA6" s="48" t="s">
        <v>80</v>
      </c>
      <c r="BB6" s="48" t="s">
        <v>82</v>
      </c>
      <c r="BC6" s="48" t="s">
        <v>82</v>
      </c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0</v>
      </c>
      <c r="D7" s="18">
        <f t="shared" si="4"/>
        <v>0</v>
      </c>
      <c r="E7" s="4" t="s">
        <v>151</v>
      </c>
      <c r="F7" s="8" t="s">
        <v>155</v>
      </c>
      <c r="G7" s="9">
        <v>-1500</v>
      </c>
      <c r="H7" s="9"/>
      <c r="I7" s="55"/>
      <c r="J7" s="21">
        <f t="shared" si="5"/>
        <v>37500</v>
      </c>
      <c r="K7" s="8" t="s">
        <v>155</v>
      </c>
      <c r="L7" s="9">
        <v>3000</v>
      </c>
      <c r="M7" s="9"/>
      <c r="N7" s="55"/>
      <c r="O7" s="21">
        <f t="shared" si="6"/>
        <v>45500</v>
      </c>
      <c r="P7" s="8" t="s">
        <v>155</v>
      </c>
      <c r="Q7" s="9">
        <v>-1500</v>
      </c>
      <c r="R7" s="9"/>
      <c r="S7" s="55"/>
      <c r="T7" s="21">
        <f t="shared" si="7"/>
        <v>22000</v>
      </c>
      <c r="U7" s="60">
        <f t="shared" si="0"/>
        <v>2.5</v>
      </c>
      <c r="V7" s="61">
        <f t="shared" si="1"/>
        <v>10.5</v>
      </c>
      <c r="W7" s="62">
        <f t="shared" si="2"/>
        <v>-13</v>
      </c>
      <c r="Y7" s="8" t="s">
        <v>148</v>
      </c>
      <c r="Z7" s="41"/>
      <c r="AA7" s="32"/>
      <c r="AB7" s="32">
        <v>1</v>
      </c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 t="s">
        <v>147</v>
      </c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 t="s">
        <v>148</v>
      </c>
      <c r="BP7" s="41"/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8"/>
        <v>3</v>
      </c>
      <c r="C8" s="18">
        <f t="shared" si="9"/>
        <v>1</v>
      </c>
      <c r="D8" s="18">
        <f t="shared" si="4"/>
        <v>0</v>
      </c>
      <c r="E8" s="4" t="s">
        <v>151</v>
      </c>
      <c r="F8" s="8" t="s">
        <v>141</v>
      </c>
      <c r="G8" s="9">
        <v>-12000</v>
      </c>
      <c r="H8" s="9">
        <v>-1000</v>
      </c>
      <c r="I8" s="55">
        <v>-1000</v>
      </c>
      <c r="J8" s="21">
        <f t="shared" si="5"/>
        <v>23500</v>
      </c>
      <c r="K8" s="8" t="s">
        <v>142</v>
      </c>
      <c r="L8" s="9">
        <v>12000</v>
      </c>
      <c r="M8" s="9">
        <v>1000</v>
      </c>
      <c r="N8" s="55">
        <v>1000</v>
      </c>
      <c r="O8" s="21">
        <f t="shared" si="6"/>
        <v>59500</v>
      </c>
      <c r="P8" s="8"/>
      <c r="Q8" s="9"/>
      <c r="R8" s="9"/>
      <c r="S8" s="55"/>
      <c r="T8" s="21">
        <f t="shared" si="7"/>
        <v>22000</v>
      </c>
      <c r="U8" s="60">
        <f t="shared" si="0"/>
        <v>-11.5</v>
      </c>
      <c r="V8" s="61">
        <f t="shared" si="1"/>
        <v>24.5</v>
      </c>
      <c r="W8" s="62">
        <f t="shared" si="2"/>
        <v>-13</v>
      </c>
      <c r="Y8" s="8"/>
      <c r="Z8" s="41"/>
      <c r="AA8" s="32">
        <v>1</v>
      </c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5</v>
      </c>
      <c r="AY8" s="36" t="s">
        <v>143</v>
      </c>
      <c r="AZ8" s="47" t="s">
        <v>144</v>
      </c>
      <c r="BA8" s="48" t="s">
        <v>87</v>
      </c>
      <c r="BB8" s="48" t="s">
        <v>87</v>
      </c>
      <c r="BC8" s="48" t="s">
        <v>81</v>
      </c>
      <c r="BD8" s="48" t="s">
        <v>81</v>
      </c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8"/>
        <v>3</v>
      </c>
      <c r="C9" s="18">
        <f t="shared" si="9"/>
        <v>2</v>
      </c>
      <c r="D9" s="18">
        <f t="shared" si="4"/>
        <v>0</v>
      </c>
      <c r="E9" s="4" t="s">
        <v>151</v>
      </c>
      <c r="F9" s="8" t="s">
        <v>156</v>
      </c>
      <c r="G9" s="9">
        <v>3000</v>
      </c>
      <c r="H9" s="9"/>
      <c r="I9" s="55"/>
      <c r="J9" s="21">
        <f t="shared" si="5"/>
        <v>26500</v>
      </c>
      <c r="K9" s="8" t="s">
        <v>156</v>
      </c>
      <c r="L9" s="9">
        <v>5000</v>
      </c>
      <c r="M9" s="9"/>
      <c r="N9" s="55"/>
      <c r="O9" s="21">
        <f t="shared" si="6"/>
        <v>64500</v>
      </c>
      <c r="P9" s="8" t="s">
        <v>156</v>
      </c>
      <c r="Q9" s="9">
        <v>-8000</v>
      </c>
      <c r="R9" s="9"/>
      <c r="S9" s="55"/>
      <c r="T9" s="21">
        <f t="shared" si="7"/>
        <v>14000</v>
      </c>
      <c r="U9" s="60">
        <f t="shared" si="0"/>
        <v>-8.5</v>
      </c>
      <c r="V9" s="61">
        <f t="shared" si="1"/>
        <v>29.5</v>
      </c>
      <c r="W9" s="62">
        <f t="shared" si="2"/>
        <v>-21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>
        <v>1</v>
      </c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東</v>
      </c>
      <c r="B10" s="18">
        <f t="shared" si="8"/>
        <v>3</v>
      </c>
      <c r="C10" s="18">
        <f t="shared" si="9"/>
        <v>2</v>
      </c>
      <c r="D10" s="18">
        <f t="shared" si="4"/>
        <v>0</v>
      </c>
      <c r="E10" s="4" t="s">
        <v>151</v>
      </c>
      <c r="F10" s="8" t="s">
        <v>141</v>
      </c>
      <c r="G10" s="9">
        <v>-12000</v>
      </c>
      <c r="H10" s="9"/>
      <c r="I10" s="55">
        <v>-2000</v>
      </c>
      <c r="J10" s="21">
        <f t="shared" si="5"/>
        <v>12500</v>
      </c>
      <c r="K10" s="8" t="s">
        <v>142</v>
      </c>
      <c r="L10" s="9">
        <v>12000</v>
      </c>
      <c r="M10" s="9"/>
      <c r="N10" s="55">
        <v>2000</v>
      </c>
      <c r="O10" s="21">
        <f t="shared" si="6"/>
        <v>78500</v>
      </c>
      <c r="P10" s="8"/>
      <c r="Q10" s="9"/>
      <c r="R10" s="9"/>
      <c r="S10" s="55"/>
      <c r="T10" s="21">
        <f t="shared" si="7"/>
        <v>14000</v>
      </c>
      <c r="U10" s="60">
        <f t="shared" si="0"/>
        <v>-22.5</v>
      </c>
      <c r="V10" s="61">
        <f t="shared" si="1"/>
        <v>43.5</v>
      </c>
      <c r="W10" s="62">
        <f t="shared" si="2"/>
        <v>-21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>
        <v>4</v>
      </c>
      <c r="AY10" s="36">
        <v>30</v>
      </c>
      <c r="AZ10" s="47" t="s">
        <v>87</v>
      </c>
      <c r="BA10" s="48" t="s">
        <v>87</v>
      </c>
      <c r="BB10" s="48" t="s">
        <v>82</v>
      </c>
      <c r="BC10" s="48" t="s">
        <v>82</v>
      </c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東</v>
      </c>
      <c r="B11" s="18">
        <f t="shared" si="8"/>
        <v>3</v>
      </c>
      <c r="C11" s="18">
        <f t="shared" si="9"/>
        <v>3</v>
      </c>
      <c r="D11" s="18">
        <f t="shared" si="4"/>
        <v>0</v>
      </c>
      <c r="E11" s="4" t="s">
        <v>151</v>
      </c>
      <c r="F11" s="8" t="s">
        <v>146</v>
      </c>
      <c r="G11" s="9">
        <v>12000</v>
      </c>
      <c r="H11" s="9"/>
      <c r="I11" s="55">
        <v>3000</v>
      </c>
      <c r="J11" s="21">
        <f t="shared" si="5"/>
        <v>27500</v>
      </c>
      <c r="K11" s="8" t="s">
        <v>145</v>
      </c>
      <c r="L11" s="9">
        <v>-7500</v>
      </c>
      <c r="M11" s="9"/>
      <c r="N11" s="55">
        <v>-1500</v>
      </c>
      <c r="O11" s="21">
        <f t="shared" si="6"/>
        <v>69500</v>
      </c>
      <c r="P11" s="8" t="s">
        <v>145</v>
      </c>
      <c r="Q11" s="9">
        <v>-4500</v>
      </c>
      <c r="R11" s="9"/>
      <c r="S11" s="55">
        <v>-1500</v>
      </c>
      <c r="T11" s="21">
        <f t="shared" si="7"/>
        <v>8000</v>
      </c>
      <c r="U11" s="60">
        <f t="shared" si="0"/>
        <v>-7.5</v>
      </c>
      <c r="V11" s="61">
        <f t="shared" si="1"/>
        <v>34.5</v>
      </c>
      <c r="W11" s="62">
        <f t="shared" si="2"/>
        <v>-27</v>
      </c>
      <c r="Y11" s="8"/>
      <c r="Z11" s="41"/>
      <c r="AA11" s="32">
        <v>1</v>
      </c>
      <c r="AB11" s="32"/>
      <c r="AC11" s="32">
        <v>6</v>
      </c>
      <c r="AD11" s="36" t="s">
        <v>143</v>
      </c>
      <c r="AE11" s="47" t="s">
        <v>144</v>
      </c>
      <c r="AF11" s="48" t="s">
        <v>83</v>
      </c>
      <c r="AG11" s="48" t="s">
        <v>150</v>
      </c>
      <c r="AH11" s="48" t="s">
        <v>80</v>
      </c>
      <c r="AI11" s="48" t="s">
        <v>80</v>
      </c>
      <c r="AJ11" s="48" t="s">
        <v>82</v>
      </c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>
        <v>1</v>
      </c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8"/>
        <v>1</v>
      </c>
      <c r="C12" s="18">
        <f t="shared" si="9"/>
        <v>0</v>
      </c>
      <c r="D12" s="18">
        <f t="shared" si="4"/>
        <v>0</v>
      </c>
      <c r="E12" s="4" t="s">
        <v>153</v>
      </c>
      <c r="F12" s="8"/>
      <c r="G12" s="9"/>
      <c r="H12" s="9"/>
      <c r="I12" s="55"/>
      <c r="J12" s="21">
        <f t="shared" si="5"/>
        <v>27500</v>
      </c>
      <c r="K12" s="8" t="s">
        <v>142</v>
      </c>
      <c r="L12" s="9">
        <v>8000</v>
      </c>
      <c r="M12" s="9"/>
      <c r="N12" s="55">
        <v>0</v>
      </c>
      <c r="O12" s="21">
        <f t="shared" si="6"/>
        <v>77500</v>
      </c>
      <c r="P12" s="8" t="s">
        <v>141</v>
      </c>
      <c r="Q12" s="9">
        <v>-8000</v>
      </c>
      <c r="R12" s="9"/>
      <c r="S12" s="55">
        <v>0</v>
      </c>
      <c r="T12" s="21">
        <f t="shared" si="7"/>
        <v>0</v>
      </c>
      <c r="U12" s="60">
        <f t="shared" si="0"/>
        <v>-7.5</v>
      </c>
      <c r="V12" s="61">
        <f t="shared" si="1"/>
        <v>42.5</v>
      </c>
      <c r="W12" s="62">
        <f t="shared" si="2"/>
        <v>-35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>
        <v>4</v>
      </c>
      <c r="AY12" s="36">
        <v>30</v>
      </c>
      <c r="AZ12" s="47" t="s">
        <v>87</v>
      </c>
      <c r="BA12" s="48" t="s">
        <v>82</v>
      </c>
      <c r="BB12" s="48" t="s">
        <v>80</v>
      </c>
      <c r="BC12" s="48" t="s">
        <v>80</v>
      </c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>
        <v>1</v>
      </c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8"/>
        <v>2</v>
      </c>
      <c r="C13" s="18">
        <f t="shared" si="9"/>
        <v>0</v>
      </c>
      <c r="D13" s="18">
        <f t="shared" si="4"/>
        <v>0</v>
      </c>
      <c r="E13" s="4" t="s">
        <v>135</v>
      </c>
      <c r="F13" s="8" t="s">
        <v>142</v>
      </c>
      <c r="G13" s="9">
        <v>12000</v>
      </c>
      <c r="H13" s="9"/>
      <c r="I13" s="55">
        <v>0</v>
      </c>
      <c r="J13" s="21">
        <f t="shared" si="5"/>
        <v>39500</v>
      </c>
      <c r="K13" s="8"/>
      <c r="L13" s="9"/>
      <c r="M13" s="9"/>
      <c r="N13" s="55"/>
      <c r="O13" s="21">
        <f t="shared" si="6"/>
        <v>77500</v>
      </c>
      <c r="P13" s="8" t="s">
        <v>141</v>
      </c>
      <c r="Q13" s="9">
        <v>-12000</v>
      </c>
      <c r="R13" s="9"/>
      <c r="S13" s="55">
        <v>0</v>
      </c>
      <c r="T13" s="21">
        <f t="shared" si="7"/>
        <v>-12000</v>
      </c>
      <c r="U13" s="60">
        <f t="shared" si="0"/>
        <v>4.5</v>
      </c>
      <c r="V13" s="61">
        <f t="shared" si="1"/>
        <v>42.5</v>
      </c>
      <c r="W13" s="62">
        <f t="shared" si="2"/>
        <v>-47</v>
      </c>
      <c r="Y13" s="8"/>
      <c r="Z13" s="41"/>
      <c r="AA13" s="32"/>
      <c r="AB13" s="32"/>
      <c r="AC13" s="32">
        <v>3</v>
      </c>
      <c r="AD13" s="36">
        <v>60</v>
      </c>
      <c r="AE13" s="47" t="s">
        <v>87</v>
      </c>
      <c r="AF13" s="48" t="s">
        <v>80</v>
      </c>
      <c r="AG13" s="48" t="s">
        <v>80</v>
      </c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>
        <v>1</v>
      </c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BFC8AFE0-9903-4193-BD39-D0D45A2C5F63}">
      <formula1>"ロン,ツモ,放銃,ツモ支払,流局,チョンボ"</formula1>
    </dataValidation>
    <dataValidation type="list" allowBlank="1" showInputMessage="1" showErrorMessage="1" sqref="E4:E30" xr:uid="{44A5F009-ACFA-4FE0-9580-058917EC091D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BB0A9-55D5-4AC4-A0FA-45A5E15FFF21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158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りくと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りくと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157</v>
      </c>
      <c r="F4" s="8" t="s">
        <v>145</v>
      </c>
      <c r="G4" s="9">
        <v>-500</v>
      </c>
      <c r="H4" s="9"/>
      <c r="I4" s="55">
        <v>0</v>
      </c>
      <c r="J4" s="21">
        <f>IF(COUNTA($F4,$K4,$P4)&gt;0,J3+SUM(G4:I4),"")</f>
        <v>34500</v>
      </c>
      <c r="K4" s="8" t="s">
        <v>145</v>
      </c>
      <c r="L4" s="9">
        <v>-700</v>
      </c>
      <c r="M4" s="9"/>
      <c r="N4" s="55">
        <v>0</v>
      </c>
      <c r="O4" s="21">
        <f>IF(COUNTA($F4,$K4,$P4)&gt;0,O3+SUM(L4:N4),"")</f>
        <v>34300</v>
      </c>
      <c r="P4" s="8" t="s">
        <v>146</v>
      </c>
      <c r="Q4" s="9">
        <v>1200</v>
      </c>
      <c r="R4" s="9"/>
      <c r="S4" s="55">
        <v>0</v>
      </c>
      <c r="T4" s="21">
        <f>IF(COUNTA($F4,$K4,$P4)&gt;0,T3+SUM(Q4:S4),"")</f>
        <v>36200</v>
      </c>
      <c r="U4" s="60">
        <f t="shared" ref="U4:U30" si="0">IF($J4="","",ROUND(($J4-$J$3)/1000,1))</f>
        <v>-0.5</v>
      </c>
      <c r="V4" s="61">
        <f t="shared" ref="V4:V30" si="1">IF($O4="","",ROUND(($O4-$O$3)/1000,1))</f>
        <v>-0.7</v>
      </c>
      <c r="W4" s="62">
        <f t="shared" ref="W4:W30" si="2">IF($T4="","",ROUND(($T4-$T$3)/1000,1))</f>
        <v>1.2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>
        <v>1</v>
      </c>
      <c r="BT4" s="36">
        <v>30</v>
      </c>
      <c r="BU4" s="47" t="s">
        <v>87</v>
      </c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139</v>
      </c>
      <c r="F5" s="8" t="s">
        <v>145</v>
      </c>
      <c r="G5" s="9">
        <v>-1500</v>
      </c>
      <c r="H5" s="9"/>
      <c r="I5" s="55">
        <v>0</v>
      </c>
      <c r="J5" s="21">
        <f t="shared" ref="J5:J30" si="5">IF(COUNTA($F5,$K5,$P5)&gt;0,J4+SUM(G5:I5),"")</f>
        <v>33000</v>
      </c>
      <c r="K5" s="8" t="s">
        <v>145</v>
      </c>
      <c r="L5" s="9">
        <v>-1500</v>
      </c>
      <c r="M5" s="9"/>
      <c r="N5" s="55">
        <v>0</v>
      </c>
      <c r="O5" s="21">
        <f t="shared" ref="O5:O30" si="6">IF(COUNTA($F5,$K5,$P5)&gt;0,O4+SUM(L5:N5),"")</f>
        <v>32800</v>
      </c>
      <c r="P5" s="8" t="s">
        <v>146</v>
      </c>
      <c r="Q5" s="9">
        <v>3000</v>
      </c>
      <c r="R5" s="9"/>
      <c r="S5" s="55">
        <v>0</v>
      </c>
      <c r="T5" s="21">
        <f t="shared" ref="T5:T30" si="7">IF(COUNTA($F5,$K5,$P5)&gt;0,T4+SUM(Q5:S5),"")</f>
        <v>39200</v>
      </c>
      <c r="U5" s="60">
        <f t="shared" si="0"/>
        <v>-2</v>
      </c>
      <c r="V5" s="61">
        <f t="shared" si="1"/>
        <v>-2.2000000000000002</v>
      </c>
      <c r="W5" s="62">
        <f t="shared" si="2"/>
        <v>4.2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>
        <v>2</v>
      </c>
      <c r="BT5" s="36">
        <v>30</v>
      </c>
      <c r="BU5" s="47" t="s">
        <v>83</v>
      </c>
      <c r="BV5" s="48" t="s">
        <v>80</v>
      </c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1</v>
      </c>
      <c r="D6" s="18">
        <f t="shared" si="4"/>
        <v>0</v>
      </c>
      <c r="E6" s="4" t="s">
        <v>139</v>
      </c>
      <c r="F6" s="8" t="s">
        <v>141</v>
      </c>
      <c r="G6" s="9">
        <v>-12000</v>
      </c>
      <c r="H6" s="9"/>
      <c r="I6" s="55">
        <v>-1000</v>
      </c>
      <c r="J6" s="21">
        <f t="shared" si="5"/>
        <v>20000</v>
      </c>
      <c r="K6" s="8"/>
      <c r="L6" s="9"/>
      <c r="M6" s="9"/>
      <c r="N6" s="55"/>
      <c r="O6" s="21">
        <f t="shared" si="6"/>
        <v>32800</v>
      </c>
      <c r="P6" s="8" t="s">
        <v>142</v>
      </c>
      <c r="Q6" s="9">
        <v>12000</v>
      </c>
      <c r="R6" s="9"/>
      <c r="S6" s="55">
        <v>1000</v>
      </c>
      <c r="T6" s="21">
        <f t="shared" si="7"/>
        <v>52200</v>
      </c>
      <c r="U6" s="60">
        <f t="shared" si="0"/>
        <v>-15</v>
      </c>
      <c r="V6" s="61">
        <f t="shared" si="1"/>
        <v>-2.2000000000000002</v>
      </c>
      <c r="W6" s="62">
        <f t="shared" si="2"/>
        <v>17.2</v>
      </c>
      <c r="Y6" s="8"/>
      <c r="Z6" s="41"/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5</v>
      </c>
      <c r="BT6" s="36" t="s">
        <v>143</v>
      </c>
      <c r="BU6" s="47" t="s">
        <v>144</v>
      </c>
      <c r="BV6" s="48" t="s">
        <v>80</v>
      </c>
      <c r="BW6" s="48" t="s">
        <v>80</v>
      </c>
      <c r="BX6" s="48" t="s">
        <v>80</v>
      </c>
      <c r="BY6" s="48" t="s">
        <v>81</v>
      </c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2</v>
      </c>
      <c r="C7" s="18">
        <f t="shared" si="9"/>
        <v>2</v>
      </c>
      <c r="D7" s="18">
        <f t="shared" si="4"/>
        <v>0</v>
      </c>
      <c r="E7" s="4" t="s">
        <v>139</v>
      </c>
      <c r="F7" s="8"/>
      <c r="G7" s="9"/>
      <c r="H7" s="9"/>
      <c r="I7" s="55"/>
      <c r="J7" s="21">
        <f t="shared" si="5"/>
        <v>20000</v>
      </c>
      <c r="K7" s="8" t="s">
        <v>141</v>
      </c>
      <c r="L7" s="9">
        <v>-24000</v>
      </c>
      <c r="M7" s="9"/>
      <c r="N7" s="55">
        <v>-2000</v>
      </c>
      <c r="O7" s="21">
        <f t="shared" si="6"/>
        <v>6800</v>
      </c>
      <c r="P7" s="8" t="s">
        <v>142</v>
      </c>
      <c r="Q7" s="9">
        <v>24000</v>
      </c>
      <c r="R7" s="9"/>
      <c r="S7" s="55">
        <v>2000</v>
      </c>
      <c r="T7" s="21">
        <f t="shared" si="7"/>
        <v>78200</v>
      </c>
      <c r="U7" s="60">
        <f t="shared" si="0"/>
        <v>-15</v>
      </c>
      <c r="V7" s="61">
        <f t="shared" si="1"/>
        <v>-28.2</v>
      </c>
      <c r="W7" s="62">
        <f t="shared" si="2"/>
        <v>43.2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8</v>
      </c>
      <c r="BT7" s="36" t="s">
        <v>143</v>
      </c>
      <c r="BU7" s="47" t="s">
        <v>144</v>
      </c>
      <c r="BV7" s="48" t="s">
        <v>105</v>
      </c>
      <c r="BW7" s="48" t="s">
        <v>93</v>
      </c>
      <c r="BX7" s="48" t="s">
        <v>85</v>
      </c>
      <c r="BY7" s="48" t="s">
        <v>80</v>
      </c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8"/>
        <v>2</v>
      </c>
      <c r="C8" s="18">
        <f t="shared" si="9"/>
        <v>3</v>
      </c>
      <c r="D8" s="18">
        <f t="shared" si="4"/>
        <v>0</v>
      </c>
      <c r="E8" s="4" t="s">
        <v>139</v>
      </c>
      <c r="F8" s="8"/>
      <c r="G8" s="9"/>
      <c r="H8" s="9"/>
      <c r="I8" s="55"/>
      <c r="J8" s="21">
        <f t="shared" si="5"/>
        <v>20000</v>
      </c>
      <c r="K8" s="8" t="s">
        <v>141</v>
      </c>
      <c r="L8" s="9">
        <v>-12000</v>
      </c>
      <c r="M8" s="9"/>
      <c r="N8" s="55">
        <v>-3000</v>
      </c>
      <c r="O8" s="21">
        <f t="shared" si="6"/>
        <v>-8200</v>
      </c>
      <c r="P8" s="8" t="s">
        <v>142</v>
      </c>
      <c r="Q8" s="9">
        <v>12000</v>
      </c>
      <c r="R8" s="9"/>
      <c r="S8" s="55">
        <v>3000</v>
      </c>
      <c r="T8" s="21">
        <f t="shared" si="7"/>
        <v>93200</v>
      </c>
      <c r="U8" s="60">
        <f t="shared" si="0"/>
        <v>-15</v>
      </c>
      <c r="V8" s="61">
        <f t="shared" si="1"/>
        <v>-43.2</v>
      </c>
      <c r="W8" s="62">
        <f t="shared" si="2"/>
        <v>58.2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4</v>
      </c>
      <c r="BT8" s="36">
        <v>30</v>
      </c>
      <c r="BU8" s="47" t="s">
        <v>144</v>
      </c>
      <c r="BV8" s="48" t="s">
        <v>84</v>
      </c>
      <c r="BW8" s="48" t="s">
        <v>80</v>
      </c>
      <c r="BX8" s="48" t="s">
        <v>81</v>
      </c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/>
      </c>
      <c r="B9" s="18" t="str">
        <f t="shared" si="8"/>
        <v/>
      </c>
      <c r="C9" s="18" t="str">
        <f t="shared" si="9"/>
        <v/>
      </c>
      <c r="D9" s="18" t="str">
        <f t="shared" si="4"/>
        <v/>
      </c>
      <c r="E9" s="4"/>
      <c r="F9" s="8"/>
      <c r="G9" s="9"/>
      <c r="H9" s="9"/>
      <c r="I9" s="55"/>
      <c r="J9" s="21" t="str">
        <f t="shared" si="5"/>
        <v/>
      </c>
      <c r="K9" s="8"/>
      <c r="L9" s="9"/>
      <c r="M9" s="9"/>
      <c r="N9" s="55"/>
      <c r="O9" s="21" t="str">
        <f t="shared" si="6"/>
        <v/>
      </c>
      <c r="P9" s="8"/>
      <c r="Q9" s="9"/>
      <c r="R9" s="9"/>
      <c r="S9" s="55"/>
      <c r="T9" s="21" t="str">
        <f t="shared" si="7"/>
        <v/>
      </c>
      <c r="U9" s="60" t="str">
        <f t="shared" si="0"/>
        <v/>
      </c>
      <c r="V9" s="61" t="str">
        <f t="shared" si="1"/>
        <v/>
      </c>
      <c r="W9" s="62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8"/>
        <v/>
      </c>
      <c r="C10" s="18" t="str">
        <f t="shared" si="9"/>
        <v/>
      </c>
      <c r="D10" s="18" t="str">
        <f t="shared" si="4"/>
        <v/>
      </c>
      <c r="E10" s="4"/>
      <c r="F10" s="8"/>
      <c r="G10" s="9"/>
      <c r="H10" s="9"/>
      <c r="I10" s="55"/>
      <c r="J10" s="21" t="str">
        <f t="shared" si="5"/>
        <v/>
      </c>
      <c r="K10" s="8"/>
      <c r="L10" s="9"/>
      <c r="M10" s="9"/>
      <c r="N10" s="55"/>
      <c r="O10" s="21" t="str">
        <f t="shared" si="6"/>
        <v/>
      </c>
      <c r="P10" s="8"/>
      <c r="Q10" s="9"/>
      <c r="R10" s="9"/>
      <c r="S10" s="55"/>
      <c r="T10" s="21" t="str">
        <f t="shared" si="7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55"/>
      <c r="J11" s="21" t="str">
        <f t="shared" si="5"/>
        <v/>
      </c>
      <c r="K11" s="8"/>
      <c r="L11" s="9"/>
      <c r="M11" s="9"/>
      <c r="N11" s="55"/>
      <c r="O11" s="21" t="str">
        <f t="shared" si="6"/>
        <v/>
      </c>
      <c r="P11" s="8"/>
      <c r="Q11" s="9"/>
      <c r="R11" s="9"/>
      <c r="S11" s="55"/>
      <c r="T11" s="21" t="str">
        <f t="shared" si="7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5B6CE8E6-4525-4654-A143-24B8963DC88B}">
      <formula1>$U$2:$W$2</formula1>
    </dataValidation>
    <dataValidation type="list" showInputMessage="1" showErrorMessage="1" sqref="K4:K30 P4:P30 F4:F30" xr:uid="{9F2EB5BC-8752-4C7E-AD37-FC73C8655CF4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DEA6D-09FD-496F-B498-8260A95BB104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158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りくと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りくと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146</v>
      </c>
      <c r="G4" s="9">
        <v>5300</v>
      </c>
      <c r="H4" s="9">
        <v>1000</v>
      </c>
      <c r="I4" s="55">
        <v>0</v>
      </c>
      <c r="J4" s="21">
        <f>IF(COUNTA($F4,$K4,$P4)&gt;0,J3+SUM(G4:I4),"")</f>
        <v>41300</v>
      </c>
      <c r="K4" s="8" t="s">
        <v>145</v>
      </c>
      <c r="L4" s="9">
        <v>-2000</v>
      </c>
      <c r="M4" s="9">
        <v>-1000</v>
      </c>
      <c r="N4" s="55">
        <v>0</v>
      </c>
      <c r="O4" s="21">
        <f>IF(COUNTA($F4,$K4,$P4)&gt;0,O3+SUM(L4:N4),"")</f>
        <v>32000</v>
      </c>
      <c r="P4" s="8" t="s">
        <v>145</v>
      </c>
      <c r="Q4" s="9">
        <v>-3300</v>
      </c>
      <c r="R4" s="9"/>
      <c r="S4" s="55">
        <v>0</v>
      </c>
      <c r="T4" s="21">
        <f>IF(COUNTA($F4,$K4,$P4)&gt;0,T3+SUM(Q4:S4),"")</f>
        <v>31700</v>
      </c>
      <c r="U4" s="60">
        <f t="shared" ref="U4:U30" si="0">IF($J4="","",ROUND(($J4-$J$3)/1000,1))</f>
        <v>6.3</v>
      </c>
      <c r="V4" s="61">
        <f t="shared" ref="V4:V30" si="1">IF($O4="","",ROUND(($O4-$O$3)/1000,1))</f>
        <v>-3</v>
      </c>
      <c r="W4" s="62">
        <f t="shared" ref="W4:W30" si="2">IF($T4="","",ROUND(($T4-$T$3)/1000,1))</f>
        <v>-3.3</v>
      </c>
      <c r="Y4" s="8"/>
      <c r="Z4" s="41"/>
      <c r="AA4" s="32">
        <v>1</v>
      </c>
      <c r="AB4" s="32"/>
      <c r="AC4" s="32">
        <v>4</v>
      </c>
      <c r="AD4" s="36">
        <v>20</v>
      </c>
      <c r="AE4" s="47" t="s">
        <v>144</v>
      </c>
      <c r="AF4" s="48" t="s">
        <v>83</v>
      </c>
      <c r="AG4" s="48" t="s">
        <v>84</v>
      </c>
      <c r="AH4" s="48" t="s">
        <v>82</v>
      </c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135</v>
      </c>
      <c r="F5" s="8" t="s">
        <v>141</v>
      </c>
      <c r="G5" s="9">
        <v>-12000</v>
      </c>
      <c r="H5" s="9">
        <v>-1000</v>
      </c>
      <c r="I5" s="55">
        <v>0</v>
      </c>
      <c r="J5" s="21">
        <f t="shared" ref="J5:J30" si="5">IF(COUNTA($F5,$K5,$P5)&gt;0,J4+SUM(G5:I5),"")</f>
        <v>28300</v>
      </c>
      <c r="K5" s="8" t="s">
        <v>142</v>
      </c>
      <c r="L5" s="9">
        <v>12000</v>
      </c>
      <c r="M5" s="9">
        <v>1000</v>
      </c>
      <c r="N5" s="55">
        <v>0</v>
      </c>
      <c r="O5" s="21">
        <f t="shared" ref="O5:O30" si="6">IF(COUNTA($F5,$K5,$P5)&gt;0,O4+SUM(L5:N5),"")</f>
        <v>45000</v>
      </c>
      <c r="P5" s="8"/>
      <c r="Q5" s="9"/>
      <c r="R5" s="9"/>
      <c r="S5" s="55"/>
      <c r="T5" s="21">
        <f t="shared" ref="T5:T30" si="7">IF(COUNTA($F5,$K5,$P5)&gt;0,T4+SUM(Q5:S5),"")</f>
        <v>31700</v>
      </c>
      <c r="U5" s="60">
        <f t="shared" si="0"/>
        <v>-6.7</v>
      </c>
      <c r="V5" s="61">
        <f t="shared" si="1"/>
        <v>10</v>
      </c>
      <c r="W5" s="62">
        <f t="shared" si="2"/>
        <v>-3.3</v>
      </c>
      <c r="Y5" s="8"/>
      <c r="Z5" s="41"/>
      <c r="AA5" s="32">
        <v>1</v>
      </c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6</v>
      </c>
      <c r="AY5" s="36" t="s">
        <v>143</v>
      </c>
      <c r="AZ5" s="47" t="s">
        <v>144</v>
      </c>
      <c r="BA5" s="48" t="s">
        <v>93</v>
      </c>
      <c r="BB5" s="48" t="s">
        <v>85</v>
      </c>
      <c r="BC5" s="48" t="s">
        <v>80</v>
      </c>
      <c r="BD5" s="48" t="s">
        <v>80</v>
      </c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157</v>
      </c>
      <c r="F6" s="8" t="s">
        <v>145</v>
      </c>
      <c r="G6" s="9">
        <v>-6000</v>
      </c>
      <c r="H6" s="9">
        <v>-1000</v>
      </c>
      <c r="I6" s="55">
        <v>0</v>
      </c>
      <c r="J6" s="21">
        <f t="shared" si="5"/>
        <v>21300</v>
      </c>
      <c r="K6" s="8" t="s">
        <v>146</v>
      </c>
      <c r="L6" s="9">
        <v>12000</v>
      </c>
      <c r="M6" s="9">
        <v>2000</v>
      </c>
      <c r="N6" s="55">
        <v>0</v>
      </c>
      <c r="O6" s="21">
        <f t="shared" si="6"/>
        <v>59000</v>
      </c>
      <c r="P6" s="8" t="s">
        <v>145</v>
      </c>
      <c r="Q6" s="9">
        <v>-6000</v>
      </c>
      <c r="R6" s="9">
        <v>-1000</v>
      </c>
      <c r="S6" s="55">
        <v>0</v>
      </c>
      <c r="T6" s="21">
        <f t="shared" si="7"/>
        <v>24700</v>
      </c>
      <c r="U6" s="60">
        <f t="shared" si="0"/>
        <v>-13.7</v>
      </c>
      <c r="V6" s="61">
        <f t="shared" si="1"/>
        <v>24</v>
      </c>
      <c r="W6" s="62">
        <f t="shared" si="2"/>
        <v>-10.3</v>
      </c>
      <c r="Y6" s="8"/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>
        <v>5</v>
      </c>
      <c r="AY6" s="36" t="s">
        <v>143</v>
      </c>
      <c r="AZ6" s="47" t="s">
        <v>105</v>
      </c>
      <c r="BA6" s="48" t="s">
        <v>82</v>
      </c>
      <c r="BB6" s="48" t="s">
        <v>82</v>
      </c>
      <c r="BC6" s="48" t="s">
        <v>87</v>
      </c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1</v>
      </c>
      <c r="D7" s="18">
        <f t="shared" si="4"/>
        <v>0</v>
      </c>
      <c r="E7" s="4" t="s">
        <v>157</v>
      </c>
      <c r="F7" s="8" t="s">
        <v>146</v>
      </c>
      <c r="G7" s="9">
        <v>16000</v>
      </c>
      <c r="H7" s="9"/>
      <c r="I7" s="55">
        <v>1000</v>
      </c>
      <c r="J7" s="21">
        <f t="shared" si="5"/>
        <v>38300</v>
      </c>
      <c r="K7" s="8" t="s">
        <v>145</v>
      </c>
      <c r="L7" s="9">
        <v>-10000</v>
      </c>
      <c r="M7" s="9"/>
      <c r="N7" s="55">
        <v>-500</v>
      </c>
      <c r="O7" s="21">
        <f t="shared" si="6"/>
        <v>48500</v>
      </c>
      <c r="P7" s="8" t="s">
        <v>145</v>
      </c>
      <c r="Q7" s="9">
        <v>-6000</v>
      </c>
      <c r="R7" s="9"/>
      <c r="S7" s="55">
        <v>-500</v>
      </c>
      <c r="T7" s="21">
        <f t="shared" si="7"/>
        <v>18200</v>
      </c>
      <c r="U7" s="60">
        <f t="shared" si="0"/>
        <v>3.3</v>
      </c>
      <c r="V7" s="61">
        <f t="shared" si="1"/>
        <v>13.5</v>
      </c>
      <c r="W7" s="62">
        <f t="shared" si="2"/>
        <v>-16.8</v>
      </c>
      <c r="Y7" s="8"/>
      <c r="Z7" s="41"/>
      <c r="AA7" s="32"/>
      <c r="AB7" s="32"/>
      <c r="AC7" s="32">
        <v>10</v>
      </c>
      <c r="AD7" s="36" t="s">
        <v>143</v>
      </c>
      <c r="AE7" s="47" t="s">
        <v>83</v>
      </c>
      <c r="AF7" s="48" t="s">
        <v>84</v>
      </c>
      <c r="AG7" s="48" t="s">
        <v>85</v>
      </c>
      <c r="AH7" s="48" t="s">
        <v>82</v>
      </c>
      <c r="AI7" s="48" t="s">
        <v>107</v>
      </c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0</v>
      </c>
      <c r="D8" s="18">
        <f t="shared" si="4"/>
        <v>0</v>
      </c>
      <c r="E8" s="4" t="s">
        <v>139</v>
      </c>
      <c r="F8" s="8" t="s">
        <v>146</v>
      </c>
      <c r="G8" s="9">
        <v>12000</v>
      </c>
      <c r="H8" s="9">
        <v>1000</v>
      </c>
      <c r="I8" s="55">
        <v>0</v>
      </c>
      <c r="J8" s="21">
        <f t="shared" si="5"/>
        <v>51300</v>
      </c>
      <c r="K8" s="8" t="s">
        <v>145</v>
      </c>
      <c r="L8" s="9">
        <v>-4500</v>
      </c>
      <c r="M8" s="9">
        <v>-1000</v>
      </c>
      <c r="N8" s="55">
        <v>0</v>
      </c>
      <c r="O8" s="21">
        <f t="shared" si="6"/>
        <v>43000</v>
      </c>
      <c r="P8" s="8" t="s">
        <v>145</v>
      </c>
      <c r="Q8" s="9">
        <v>-7500</v>
      </c>
      <c r="R8" s="9"/>
      <c r="S8" s="55">
        <v>0</v>
      </c>
      <c r="T8" s="21">
        <f t="shared" si="7"/>
        <v>10700</v>
      </c>
      <c r="U8" s="60">
        <f t="shared" si="0"/>
        <v>16.3</v>
      </c>
      <c r="V8" s="61">
        <f t="shared" si="1"/>
        <v>8</v>
      </c>
      <c r="W8" s="62">
        <f t="shared" si="2"/>
        <v>-24.3</v>
      </c>
      <c r="Y8" s="8"/>
      <c r="Z8" s="41"/>
      <c r="AA8" s="32"/>
      <c r="AB8" s="32">
        <v>1</v>
      </c>
      <c r="AC8" s="32">
        <v>6</v>
      </c>
      <c r="AD8" s="36" t="s">
        <v>143</v>
      </c>
      <c r="AE8" s="47" t="s">
        <v>105</v>
      </c>
      <c r="AF8" s="48" t="s">
        <v>87</v>
      </c>
      <c r="AG8" s="48" t="s">
        <v>80</v>
      </c>
      <c r="AH8" s="48" t="s">
        <v>80</v>
      </c>
      <c r="AI8" s="48" t="s">
        <v>80</v>
      </c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2</v>
      </c>
      <c r="C9" s="18">
        <f t="shared" si="9"/>
        <v>0</v>
      </c>
      <c r="D9" s="18">
        <f t="shared" si="4"/>
        <v>0</v>
      </c>
      <c r="E9" s="4" t="s">
        <v>135</v>
      </c>
      <c r="F9" s="8" t="s">
        <v>145</v>
      </c>
      <c r="G9" s="9">
        <v>-7500</v>
      </c>
      <c r="H9" s="9">
        <v>-1000</v>
      </c>
      <c r="I9" s="55">
        <v>0</v>
      </c>
      <c r="J9" s="21">
        <f t="shared" si="5"/>
        <v>42800</v>
      </c>
      <c r="K9" s="8" t="s">
        <v>146</v>
      </c>
      <c r="L9" s="9">
        <v>12000</v>
      </c>
      <c r="M9" s="9">
        <v>1000</v>
      </c>
      <c r="N9" s="55">
        <v>0</v>
      </c>
      <c r="O9" s="21">
        <f t="shared" si="6"/>
        <v>56000</v>
      </c>
      <c r="P9" s="8" t="s">
        <v>145</v>
      </c>
      <c r="Q9" s="9">
        <v>-4500</v>
      </c>
      <c r="R9" s="9"/>
      <c r="S9" s="55">
        <v>0</v>
      </c>
      <c r="T9" s="21">
        <f t="shared" si="7"/>
        <v>6200</v>
      </c>
      <c r="U9" s="60">
        <f t="shared" si="0"/>
        <v>7.8</v>
      </c>
      <c r="V9" s="61">
        <f t="shared" si="1"/>
        <v>21</v>
      </c>
      <c r="W9" s="62">
        <f t="shared" si="2"/>
        <v>-28.8</v>
      </c>
      <c r="Y9" s="8"/>
      <c r="Z9" s="41"/>
      <c r="AA9" s="32">
        <v>1</v>
      </c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6</v>
      </c>
      <c r="AY9" s="36" t="s">
        <v>143</v>
      </c>
      <c r="AZ9" s="47" t="s">
        <v>144</v>
      </c>
      <c r="BA9" s="48" t="s">
        <v>83</v>
      </c>
      <c r="BB9" s="48" t="s">
        <v>150</v>
      </c>
      <c r="BC9" s="48" t="s">
        <v>82</v>
      </c>
      <c r="BD9" s="48" t="s">
        <v>80</v>
      </c>
      <c r="BE9" s="48" t="s">
        <v>80</v>
      </c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3</v>
      </c>
      <c r="C10" s="18">
        <f t="shared" si="9"/>
        <v>0</v>
      </c>
      <c r="D10" s="18">
        <f t="shared" si="4"/>
        <v>0</v>
      </c>
      <c r="E10" s="4" t="s">
        <v>157</v>
      </c>
      <c r="F10" s="8"/>
      <c r="G10" s="9"/>
      <c r="H10" s="9"/>
      <c r="I10" s="55"/>
      <c r="J10" s="21">
        <f t="shared" si="5"/>
        <v>42800</v>
      </c>
      <c r="K10" s="8" t="s">
        <v>141</v>
      </c>
      <c r="L10" s="9">
        <v>-12000</v>
      </c>
      <c r="M10" s="9"/>
      <c r="N10" s="55">
        <v>0</v>
      </c>
      <c r="O10" s="21">
        <f t="shared" si="6"/>
        <v>44000</v>
      </c>
      <c r="P10" s="8" t="s">
        <v>142</v>
      </c>
      <c r="Q10" s="9">
        <v>12000</v>
      </c>
      <c r="R10" s="9"/>
      <c r="S10" s="55">
        <v>0</v>
      </c>
      <c r="T10" s="21">
        <f t="shared" si="7"/>
        <v>18200</v>
      </c>
      <c r="U10" s="60">
        <f t="shared" si="0"/>
        <v>7.8</v>
      </c>
      <c r="V10" s="61">
        <f t="shared" si="1"/>
        <v>9</v>
      </c>
      <c r="W10" s="62">
        <f t="shared" si="2"/>
        <v>-16.8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6</v>
      </c>
      <c r="BT10" s="36" t="s">
        <v>143</v>
      </c>
      <c r="BU10" s="47" t="s">
        <v>144</v>
      </c>
      <c r="BV10" s="48" t="s">
        <v>150</v>
      </c>
      <c r="BW10" s="48" t="s">
        <v>105</v>
      </c>
      <c r="BX10" s="48" t="s">
        <v>87</v>
      </c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55"/>
      <c r="J11" s="21" t="str">
        <f t="shared" si="5"/>
        <v/>
      </c>
      <c r="K11" s="8"/>
      <c r="L11" s="9"/>
      <c r="M11" s="9"/>
      <c r="N11" s="55"/>
      <c r="O11" s="21" t="str">
        <f t="shared" si="6"/>
        <v/>
      </c>
      <c r="P11" s="8"/>
      <c r="Q11" s="9"/>
      <c r="R11" s="9"/>
      <c r="S11" s="55"/>
      <c r="T11" s="21" t="str">
        <f t="shared" si="7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59496D61-0A1E-4B36-BDD8-81C6300C9CF9}">
      <formula1>"ロン,ツモ,放銃,ツモ支払,流局,チョンボ"</formula1>
    </dataValidation>
    <dataValidation type="list" allowBlank="1" showInputMessage="1" showErrorMessage="1" sqref="E4:E30" xr:uid="{11708EDD-7A89-4C43-A336-B14E418CE35F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C0286-466F-4B85-A50A-EF3459BE449C}">
  <sheetPr codeName="Sheet16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158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りくと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りくと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142</v>
      </c>
      <c r="G4" s="9">
        <v>12000</v>
      </c>
      <c r="H4" s="9"/>
      <c r="I4" s="55">
        <v>0</v>
      </c>
      <c r="J4" s="21">
        <f>IF(COUNTA($F4,$K4,$P4)&gt;0,J3+SUM(G4:I4),"")</f>
        <v>47000</v>
      </c>
      <c r="K4" s="8" t="s">
        <v>141</v>
      </c>
      <c r="L4" s="9">
        <v>-12000</v>
      </c>
      <c r="M4" s="9"/>
      <c r="N4" s="55">
        <v>0</v>
      </c>
      <c r="O4" s="21">
        <f>IF(COUNTA($F4,$K4,$P4)&gt;0,O3+SUM(L4:N4),"")</f>
        <v>23000</v>
      </c>
      <c r="P4" s="8"/>
      <c r="Q4" s="9"/>
      <c r="R4" s="9"/>
      <c r="S4" s="55"/>
      <c r="T4" s="21">
        <f>IF(COUNTA($F4,$K4,$P4)&gt;0,T3+SUM(Q4:S4),"")</f>
        <v>35000</v>
      </c>
      <c r="U4" s="60">
        <f t="shared" ref="U4:U30" si="0">IF($J4="","",ROUND(($J4-$J$3)/1000,1))</f>
        <v>12</v>
      </c>
      <c r="V4" s="61">
        <f t="shared" ref="V4:V30" si="1">IF($O4="","",ROUND(($O4-$O$3)/1000,1))</f>
        <v>-12</v>
      </c>
      <c r="W4" s="62">
        <f t="shared" ref="W4:W30" si="2">IF($T4="","",ROUND(($T4-$T$3)/1000,1))</f>
        <v>0</v>
      </c>
      <c r="Y4" s="8"/>
      <c r="Z4" s="41"/>
      <c r="AA4" s="32"/>
      <c r="AB4" s="32"/>
      <c r="AC4" s="32">
        <v>6</v>
      </c>
      <c r="AD4" s="36" t="s">
        <v>143</v>
      </c>
      <c r="AE4" s="47" t="s">
        <v>86</v>
      </c>
      <c r="AF4" s="48" t="s">
        <v>84</v>
      </c>
      <c r="AG4" s="48" t="s">
        <v>85</v>
      </c>
      <c r="AH4" s="48" t="s">
        <v>80</v>
      </c>
      <c r="AI4" s="48" t="s">
        <v>80</v>
      </c>
      <c r="AJ4" s="48" t="s">
        <v>82</v>
      </c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135</v>
      </c>
      <c r="F5" s="8"/>
      <c r="G5" s="9"/>
      <c r="H5" s="9"/>
      <c r="I5" s="55"/>
      <c r="J5" s="21">
        <f t="shared" ref="J5:J30" si="5">IF(COUNTA($F5,$K5,$P5)&gt;0,J4+SUM(G5:I5),"")</f>
        <v>47000</v>
      </c>
      <c r="K5" s="8" t="s">
        <v>142</v>
      </c>
      <c r="L5" s="9">
        <v>2600</v>
      </c>
      <c r="M5" s="9"/>
      <c r="N5" s="55">
        <v>0</v>
      </c>
      <c r="O5" s="21">
        <f t="shared" ref="O5:O30" si="6">IF(COUNTA($F5,$K5,$P5)&gt;0,O4+SUM(L5:N5),"")</f>
        <v>25600</v>
      </c>
      <c r="P5" s="8" t="s">
        <v>141</v>
      </c>
      <c r="Q5" s="9">
        <v>-2600</v>
      </c>
      <c r="R5" s="9"/>
      <c r="S5" s="55">
        <v>0</v>
      </c>
      <c r="T5" s="21">
        <f t="shared" ref="T5:T30" si="7">IF(COUNTA($F5,$K5,$P5)&gt;0,T4+SUM(Q5:S5),"")</f>
        <v>32400</v>
      </c>
      <c r="U5" s="60">
        <f t="shared" si="0"/>
        <v>12</v>
      </c>
      <c r="V5" s="61">
        <f t="shared" si="1"/>
        <v>-9.4</v>
      </c>
      <c r="W5" s="62">
        <f t="shared" si="2"/>
        <v>-2.6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2</v>
      </c>
      <c r="AY5" s="36">
        <v>40</v>
      </c>
      <c r="AZ5" s="47" t="s">
        <v>144</v>
      </c>
      <c r="BA5" s="48" t="s">
        <v>87</v>
      </c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157</v>
      </c>
      <c r="F6" s="8" t="s">
        <v>142</v>
      </c>
      <c r="G6" s="9">
        <v>6400</v>
      </c>
      <c r="H6" s="9"/>
      <c r="I6" s="55">
        <v>0</v>
      </c>
      <c r="J6" s="21">
        <f t="shared" si="5"/>
        <v>53400</v>
      </c>
      <c r="K6" s="8" t="s">
        <v>141</v>
      </c>
      <c r="L6" s="9">
        <v>-6400</v>
      </c>
      <c r="M6" s="9"/>
      <c r="N6" s="55">
        <v>0</v>
      </c>
      <c r="O6" s="21">
        <f t="shared" si="6"/>
        <v>19200</v>
      </c>
      <c r="P6" s="8"/>
      <c r="Q6" s="9"/>
      <c r="R6" s="9"/>
      <c r="S6" s="55"/>
      <c r="T6" s="21">
        <f t="shared" si="7"/>
        <v>32400</v>
      </c>
      <c r="U6" s="60">
        <f t="shared" si="0"/>
        <v>18.399999999999999</v>
      </c>
      <c r="V6" s="61">
        <f t="shared" si="1"/>
        <v>-15.8</v>
      </c>
      <c r="W6" s="62">
        <f t="shared" si="2"/>
        <v>-2.6</v>
      </c>
      <c r="Y6" s="8"/>
      <c r="Z6" s="41"/>
      <c r="AA6" s="32"/>
      <c r="AB6" s="32"/>
      <c r="AC6" s="32">
        <v>4</v>
      </c>
      <c r="AD6" s="36">
        <v>25</v>
      </c>
      <c r="AE6" s="47" t="s">
        <v>102</v>
      </c>
      <c r="AF6" s="48" t="s">
        <v>80</v>
      </c>
      <c r="AG6" s="48" t="s">
        <v>80</v>
      </c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南</v>
      </c>
      <c r="B7" s="18">
        <f t="shared" si="8"/>
        <v>1</v>
      </c>
      <c r="C7" s="18">
        <f t="shared" si="9"/>
        <v>0</v>
      </c>
      <c r="D7" s="18">
        <f t="shared" si="4"/>
        <v>0</v>
      </c>
      <c r="E7" s="4" t="s">
        <v>139</v>
      </c>
      <c r="F7" s="8" t="s">
        <v>142</v>
      </c>
      <c r="G7" s="9">
        <v>5200</v>
      </c>
      <c r="H7" s="9">
        <v>1000</v>
      </c>
      <c r="I7" s="55">
        <v>0</v>
      </c>
      <c r="J7" s="21">
        <f t="shared" si="5"/>
        <v>59600</v>
      </c>
      <c r="K7" s="8" t="s">
        <v>141</v>
      </c>
      <c r="L7" s="9">
        <v>-5200</v>
      </c>
      <c r="M7" s="9">
        <v>-1000</v>
      </c>
      <c r="N7" s="55">
        <v>0</v>
      </c>
      <c r="O7" s="21">
        <f t="shared" si="6"/>
        <v>13000</v>
      </c>
      <c r="P7" s="8"/>
      <c r="Q7" s="9"/>
      <c r="R7" s="9"/>
      <c r="S7" s="55"/>
      <c r="T7" s="21">
        <f t="shared" si="7"/>
        <v>32400</v>
      </c>
      <c r="U7" s="60">
        <f t="shared" si="0"/>
        <v>24.6</v>
      </c>
      <c r="V7" s="61">
        <f t="shared" si="1"/>
        <v>-22</v>
      </c>
      <c r="W7" s="62">
        <f t="shared" si="2"/>
        <v>-2.6</v>
      </c>
      <c r="Y7" s="8"/>
      <c r="Z7" s="41"/>
      <c r="AA7" s="32"/>
      <c r="AB7" s="32"/>
      <c r="AC7" s="32">
        <v>3</v>
      </c>
      <c r="AD7" s="36">
        <v>40</v>
      </c>
      <c r="AE7" s="47" t="s">
        <v>82</v>
      </c>
      <c r="AF7" s="48" t="s">
        <v>85</v>
      </c>
      <c r="AG7" s="48" t="s">
        <v>80</v>
      </c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8"/>
        <v>2</v>
      </c>
      <c r="C8" s="18">
        <f t="shared" si="9"/>
        <v>0</v>
      </c>
      <c r="D8" s="18">
        <f t="shared" si="4"/>
        <v>0</v>
      </c>
      <c r="E8" s="4" t="s">
        <v>135</v>
      </c>
      <c r="F8" s="8" t="s">
        <v>145</v>
      </c>
      <c r="G8" s="9">
        <v>-5000</v>
      </c>
      <c r="H8" s="9"/>
      <c r="I8" s="55">
        <v>0</v>
      </c>
      <c r="J8" s="21">
        <f t="shared" si="5"/>
        <v>54600</v>
      </c>
      <c r="K8" s="8" t="s">
        <v>146</v>
      </c>
      <c r="L8" s="9">
        <v>8000</v>
      </c>
      <c r="M8" s="9"/>
      <c r="N8" s="55">
        <v>0</v>
      </c>
      <c r="O8" s="21">
        <f t="shared" si="6"/>
        <v>21000</v>
      </c>
      <c r="P8" s="8" t="s">
        <v>145</v>
      </c>
      <c r="Q8" s="9">
        <v>-3000</v>
      </c>
      <c r="R8" s="9"/>
      <c r="S8" s="55">
        <v>0</v>
      </c>
      <c r="T8" s="21">
        <f t="shared" si="7"/>
        <v>29400</v>
      </c>
      <c r="U8" s="60">
        <f t="shared" si="0"/>
        <v>19.600000000000001</v>
      </c>
      <c r="V8" s="61">
        <f t="shared" si="1"/>
        <v>-14</v>
      </c>
      <c r="W8" s="62">
        <f t="shared" si="2"/>
        <v>-5.6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>
        <v>4</v>
      </c>
      <c r="AY8" s="36">
        <v>30</v>
      </c>
      <c r="AZ8" s="47" t="s">
        <v>105</v>
      </c>
      <c r="BA8" s="48" t="s">
        <v>82</v>
      </c>
      <c r="BB8" s="48" t="s">
        <v>87</v>
      </c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3</v>
      </c>
      <c r="C9" s="18">
        <f t="shared" si="9"/>
        <v>0</v>
      </c>
      <c r="D9" s="18">
        <f t="shared" si="4"/>
        <v>0</v>
      </c>
      <c r="E9" s="4" t="s">
        <v>157</v>
      </c>
      <c r="F9" s="8" t="s">
        <v>145</v>
      </c>
      <c r="G9" s="9">
        <v>-9000</v>
      </c>
      <c r="H9" s="9"/>
      <c r="I9" s="55">
        <v>0</v>
      </c>
      <c r="J9" s="21">
        <f t="shared" si="5"/>
        <v>45600</v>
      </c>
      <c r="K9" s="8" t="s">
        <v>146</v>
      </c>
      <c r="L9" s="9">
        <v>18000</v>
      </c>
      <c r="M9" s="9"/>
      <c r="N9" s="55">
        <v>0</v>
      </c>
      <c r="O9" s="21">
        <f t="shared" si="6"/>
        <v>39000</v>
      </c>
      <c r="P9" s="8" t="s">
        <v>145</v>
      </c>
      <c r="Q9" s="9">
        <v>-9000</v>
      </c>
      <c r="R9" s="9"/>
      <c r="S9" s="55">
        <v>0</v>
      </c>
      <c r="T9" s="21">
        <f t="shared" si="7"/>
        <v>20400</v>
      </c>
      <c r="U9" s="60">
        <f t="shared" si="0"/>
        <v>10.6</v>
      </c>
      <c r="V9" s="61">
        <f t="shared" si="1"/>
        <v>4</v>
      </c>
      <c r="W9" s="62">
        <f t="shared" si="2"/>
        <v>-14.6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6</v>
      </c>
      <c r="AY9" s="36" t="s">
        <v>143</v>
      </c>
      <c r="AZ9" s="47" t="s">
        <v>144</v>
      </c>
      <c r="BA9" s="48" t="s">
        <v>83</v>
      </c>
      <c r="BB9" s="48" t="s">
        <v>84</v>
      </c>
      <c r="BC9" s="48" t="s">
        <v>82</v>
      </c>
      <c r="BD9" s="48" t="s">
        <v>82</v>
      </c>
      <c r="BE9" s="48" t="s">
        <v>80</v>
      </c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3</v>
      </c>
      <c r="C10" s="18">
        <f t="shared" si="9"/>
        <v>1</v>
      </c>
      <c r="D10" s="18">
        <f t="shared" si="4"/>
        <v>0</v>
      </c>
      <c r="E10" s="4" t="s">
        <v>157</v>
      </c>
      <c r="F10" s="8" t="s">
        <v>145</v>
      </c>
      <c r="G10" s="9">
        <v>-1500</v>
      </c>
      <c r="H10" s="9"/>
      <c r="I10" s="55">
        <v>-500</v>
      </c>
      <c r="J10" s="21">
        <f t="shared" si="5"/>
        <v>43600</v>
      </c>
      <c r="K10" s="8" t="s">
        <v>146</v>
      </c>
      <c r="L10" s="9">
        <v>3000</v>
      </c>
      <c r="M10" s="9"/>
      <c r="N10" s="55">
        <v>1000</v>
      </c>
      <c r="O10" s="21">
        <f t="shared" si="6"/>
        <v>43000</v>
      </c>
      <c r="P10" s="8" t="s">
        <v>145</v>
      </c>
      <c r="Q10" s="9">
        <v>-1500</v>
      </c>
      <c r="R10" s="9"/>
      <c r="S10" s="55">
        <v>-500</v>
      </c>
      <c r="T10" s="21">
        <f t="shared" si="7"/>
        <v>18400</v>
      </c>
      <c r="U10" s="60">
        <f t="shared" si="0"/>
        <v>8.6</v>
      </c>
      <c r="V10" s="61">
        <f t="shared" si="1"/>
        <v>8</v>
      </c>
      <c r="W10" s="62">
        <f t="shared" si="2"/>
        <v>-16.600000000000001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>
        <v>2</v>
      </c>
      <c r="AY10" s="36">
        <v>30</v>
      </c>
      <c r="AZ10" s="47" t="s">
        <v>87</v>
      </c>
      <c r="BA10" s="48" t="s">
        <v>80</v>
      </c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8"/>
        <v>3</v>
      </c>
      <c r="C11" s="18">
        <f t="shared" si="9"/>
        <v>2</v>
      </c>
      <c r="D11" s="18">
        <f t="shared" si="4"/>
        <v>0</v>
      </c>
      <c r="E11" s="4" t="s">
        <v>157</v>
      </c>
      <c r="F11" s="8" t="s">
        <v>142</v>
      </c>
      <c r="G11" s="9">
        <v>8000</v>
      </c>
      <c r="H11" s="9"/>
      <c r="I11" s="55">
        <v>2000</v>
      </c>
      <c r="J11" s="21">
        <f t="shared" si="5"/>
        <v>53600</v>
      </c>
      <c r="K11" s="8" t="s">
        <v>141</v>
      </c>
      <c r="L11" s="9">
        <v>-8000</v>
      </c>
      <c r="M11" s="9"/>
      <c r="N11" s="55">
        <v>-2000</v>
      </c>
      <c r="O11" s="21">
        <f t="shared" si="6"/>
        <v>33000</v>
      </c>
      <c r="P11" s="8"/>
      <c r="Q11" s="9"/>
      <c r="R11" s="9"/>
      <c r="S11" s="55"/>
      <c r="T11" s="21">
        <f t="shared" si="7"/>
        <v>18400</v>
      </c>
      <c r="U11" s="60">
        <f t="shared" si="0"/>
        <v>18.600000000000001</v>
      </c>
      <c r="V11" s="61">
        <f t="shared" si="1"/>
        <v>-2</v>
      </c>
      <c r="W11" s="62">
        <f t="shared" si="2"/>
        <v>-16.600000000000001</v>
      </c>
      <c r="Y11" s="8"/>
      <c r="Z11" s="41"/>
      <c r="AA11" s="32"/>
      <c r="AB11" s="32"/>
      <c r="AC11" s="32">
        <v>4</v>
      </c>
      <c r="AD11" s="36">
        <v>40</v>
      </c>
      <c r="AE11" s="47" t="s">
        <v>94</v>
      </c>
      <c r="AF11" s="48" t="s">
        <v>82</v>
      </c>
      <c r="AG11" s="48" t="s">
        <v>82</v>
      </c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3373F919-6894-4FEE-9E46-0F1B6D83A1BB}">
      <formula1>$U$2:$W$2</formula1>
    </dataValidation>
    <dataValidation type="list" showInputMessage="1" showErrorMessage="1" sqref="K4:K30 P4:P30 F4:F30" xr:uid="{1FEFC70B-ED66-41D4-83CD-4BB6E47B7E54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2019-02-16T09:12:00Z</dcterms:modified>
</cp:coreProperties>
</file>