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3785A558-7D80-45AC-A206-55CDE02CC51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3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3" l="1"/>
  <c r="V30" i="13"/>
  <c r="U30" i="13"/>
  <c r="W29" i="13"/>
  <c r="V29" i="13"/>
  <c r="U29" i="13"/>
  <c r="W28" i="13"/>
  <c r="V28" i="13"/>
  <c r="U28" i="13"/>
  <c r="W27" i="13"/>
  <c r="V27" i="13"/>
  <c r="U27" i="13"/>
  <c r="W26" i="13"/>
  <c r="V26" i="13"/>
  <c r="U26" i="13"/>
  <c r="W25" i="13"/>
  <c r="V25" i="13"/>
  <c r="U25" i="13"/>
  <c r="W24" i="13"/>
  <c r="V24" i="13"/>
  <c r="U24" i="13"/>
  <c r="W23" i="13"/>
  <c r="V23" i="13"/>
  <c r="U23" i="13"/>
  <c r="W22" i="13"/>
  <c r="V22" i="13"/>
  <c r="U22" i="13"/>
  <c r="W21" i="13"/>
  <c r="V21" i="13"/>
  <c r="U21" i="13"/>
  <c r="W20" i="13"/>
  <c r="V20" i="13"/>
  <c r="U20" i="13"/>
  <c r="W19" i="13"/>
  <c r="V19" i="13"/>
  <c r="U19" i="13"/>
  <c r="W18" i="13"/>
  <c r="V18" i="13"/>
  <c r="U18" i="13"/>
  <c r="W17" i="13"/>
  <c r="V17" i="13"/>
  <c r="U17" i="13"/>
  <c r="W16" i="13"/>
  <c r="V16" i="13"/>
  <c r="U16" i="13"/>
  <c r="W15" i="13"/>
  <c r="V15" i="13"/>
  <c r="U15" i="13"/>
  <c r="W14" i="13"/>
  <c r="V14" i="13"/>
  <c r="U14" i="13"/>
  <c r="W13" i="13"/>
  <c r="V13" i="13"/>
  <c r="U13" i="13"/>
  <c r="W12" i="13"/>
  <c r="V12" i="13"/>
  <c r="U12" i="13"/>
  <c r="W11" i="13"/>
  <c r="V11" i="13"/>
  <c r="U11" i="13"/>
  <c r="W10" i="13"/>
  <c r="V10" i="13"/>
  <c r="U10" i="13"/>
  <c r="W9" i="13"/>
  <c r="V9" i="13"/>
  <c r="U9" i="13"/>
  <c r="W8" i="13"/>
  <c r="V8" i="13"/>
  <c r="U8" i="13"/>
  <c r="W7" i="13"/>
  <c r="V7" i="13"/>
  <c r="U7" i="13"/>
  <c r="W6" i="13"/>
  <c r="V6" i="13"/>
  <c r="U6" i="13"/>
  <c r="W5" i="13"/>
  <c r="V5" i="13"/>
  <c r="U5" i="13"/>
  <c r="W4" i="13"/>
  <c r="V4" i="13"/>
  <c r="U4" i="13"/>
  <c r="W3" i="13"/>
  <c r="V3" i="13"/>
  <c r="U3" i="13"/>
  <c r="W30" i="11"/>
  <c r="V30" i="11"/>
  <c r="U30" i="11"/>
  <c r="W29" i="11"/>
  <c r="V29" i="11"/>
  <c r="U29" i="11"/>
  <c r="W28" i="11"/>
  <c r="V28" i="11"/>
  <c r="U28" i="11"/>
  <c r="W27" i="11"/>
  <c r="V27" i="11"/>
  <c r="U27" i="11"/>
  <c r="W26" i="11"/>
  <c r="V26" i="11"/>
  <c r="U26" i="11"/>
  <c r="W25" i="11"/>
  <c r="V25" i="11"/>
  <c r="U25" i="11"/>
  <c r="W24" i="11"/>
  <c r="V24" i="11"/>
  <c r="U24" i="11"/>
  <c r="W23" i="11"/>
  <c r="V23" i="11"/>
  <c r="U23" i="11"/>
  <c r="W22" i="11"/>
  <c r="V22" i="11"/>
  <c r="U22" i="11"/>
  <c r="W21" i="11"/>
  <c r="V21" i="11"/>
  <c r="U21" i="11"/>
  <c r="W20" i="11"/>
  <c r="V20" i="11"/>
  <c r="U20" i="11"/>
  <c r="W19" i="11"/>
  <c r="V19" i="11"/>
  <c r="U19" i="11"/>
  <c r="W18" i="11"/>
  <c r="V18" i="11"/>
  <c r="U18" i="11"/>
  <c r="W17" i="11"/>
  <c r="V17" i="11"/>
  <c r="U17" i="11"/>
  <c r="W16" i="11"/>
  <c r="V16" i="11"/>
  <c r="U16" i="11"/>
  <c r="W15" i="11"/>
  <c r="V15" i="11"/>
  <c r="U15" i="11"/>
  <c r="W14" i="11"/>
  <c r="V14" i="11"/>
  <c r="U14" i="11"/>
  <c r="W13" i="11"/>
  <c r="V13" i="11"/>
  <c r="U13" i="11"/>
  <c r="W12" i="11"/>
  <c r="V12" i="11"/>
  <c r="U12" i="11"/>
  <c r="W11" i="11"/>
  <c r="V11" i="11"/>
  <c r="U11" i="11"/>
  <c r="W10" i="11"/>
  <c r="V10" i="11"/>
  <c r="U10" i="11"/>
  <c r="W9" i="11"/>
  <c r="V9" i="11"/>
  <c r="U9" i="11"/>
  <c r="W8" i="11"/>
  <c r="V8" i="11"/>
  <c r="U8" i="11"/>
  <c r="W7" i="11"/>
  <c r="V7" i="11"/>
  <c r="U7" i="11"/>
  <c r="W6" i="11"/>
  <c r="V6" i="11"/>
  <c r="U6" i="11"/>
  <c r="W5" i="11"/>
  <c r="V5" i="11"/>
  <c r="U5" i="11"/>
  <c r="W4" i="11"/>
  <c r="V4" i="11"/>
  <c r="U4" i="11"/>
  <c r="W3" i="11"/>
  <c r="V3" i="11"/>
  <c r="U3" i="1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3" l="1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S16" i="13"/>
  <c r="I16" i="13"/>
  <c r="D16" i="13"/>
  <c r="C16" i="13"/>
  <c r="N16" i="13" s="1"/>
  <c r="D15" i="13"/>
  <c r="D14" i="13"/>
  <c r="D13" i="13"/>
  <c r="S12" i="13"/>
  <c r="S11" i="13"/>
  <c r="N11" i="13"/>
  <c r="I11" i="13"/>
  <c r="D11" i="13"/>
  <c r="D12" i="13" s="1"/>
  <c r="C11" i="13"/>
  <c r="C12" i="13" s="1"/>
  <c r="D10" i="13"/>
  <c r="C10" i="13"/>
  <c r="S10" i="13" s="1"/>
  <c r="N9" i="13"/>
  <c r="D9" i="13"/>
  <c r="C9" i="13"/>
  <c r="S9" i="13" s="1"/>
  <c r="D8" i="13"/>
  <c r="S7" i="13"/>
  <c r="I7" i="13"/>
  <c r="D7" i="13"/>
  <c r="C7" i="13"/>
  <c r="C8" i="13" s="1"/>
  <c r="D6" i="13"/>
  <c r="B6" i="13"/>
  <c r="N5" i="13"/>
  <c r="I5" i="13"/>
  <c r="D5" i="13"/>
  <c r="C5" i="13"/>
  <c r="S5" i="13" s="1"/>
  <c r="B5" i="13"/>
  <c r="S4" i="13"/>
  <c r="T4" i="13" s="1"/>
  <c r="N4" i="13"/>
  <c r="O4" i="13" s="1"/>
  <c r="O5" i="13" s="1"/>
  <c r="I4" i="13"/>
  <c r="J4" i="13" s="1"/>
  <c r="W2" i="13"/>
  <c r="V2" i="13"/>
  <c r="U2" i="13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N16" i="11"/>
  <c r="O16" i="11" s="1"/>
  <c r="J16" i="11"/>
  <c r="I16" i="11"/>
  <c r="D16" i="11"/>
  <c r="C16" i="11"/>
  <c r="B16" i="11"/>
  <c r="A16" i="11" s="1"/>
  <c r="S15" i="11"/>
  <c r="T15" i="11" s="1"/>
  <c r="O15" i="11"/>
  <c r="N15" i="11"/>
  <c r="I15" i="11"/>
  <c r="J15" i="11" s="1"/>
  <c r="D15" i="11"/>
  <c r="C15" i="11"/>
  <c r="B15" i="11"/>
  <c r="A15" i="11"/>
  <c r="T14" i="11"/>
  <c r="S14" i="11"/>
  <c r="N14" i="11"/>
  <c r="O14" i="11" s="1"/>
  <c r="J14" i="11"/>
  <c r="I14" i="11"/>
  <c r="D14" i="11"/>
  <c r="C14" i="11"/>
  <c r="B14" i="11"/>
  <c r="A14" i="11" s="1"/>
  <c r="S13" i="11"/>
  <c r="T13" i="11" s="1"/>
  <c r="O13" i="11"/>
  <c r="N13" i="11"/>
  <c r="I13" i="11"/>
  <c r="J13" i="11" s="1"/>
  <c r="D13" i="11"/>
  <c r="C13" i="11"/>
  <c r="B13" i="11"/>
  <c r="A13" i="11"/>
  <c r="T12" i="11"/>
  <c r="S12" i="11"/>
  <c r="N12" i="11"/>
  <c r="O12" i="11" s="1"/>
  <c r="J12" i="11"/>
  <c r="I12" i="11"/>
  <c r="D12" i="11"/>
  <c r="C12" i="11"/>
  <c r="B12" i="11"/>
  <c r="A12" i="11" s="1"/>
  <c r="S11" i="11"/>
  <c r="T11" i="11" s="1"/>
  <c r="N11" i="11"/>
  <c r="O11" i="11" s="1"/>
  <c r="J11" i="11"/>
  <c r="I11" i="11"/>
  <c r="D11" i="11"/>
  <c r="C11" i="11"/>
  <c r="B11" i="11"/>
  <c r="A11" i="11"/>
  <c r="I10" i="11"/>
  <c r="D10" i="11"/>
  <c r="S9" i="11"/>
  <c r="D9" i="11"/>
  <c r="C9" i="11"/>
  <c r="I9" i="11" s="1"/>
  <c r="S8" i="11"/>
  <c r="I8" i="11"/>
  <c r="D8" i="11"/>
  <c r="C8" i="11"/>
  <c r="N8" i="11" s="1"/>
  <c r="I7" i="11"/>
  <c r="S6" i="11"/>
  <c r="N6" i="11"/>
  <c r="I6" i="11"/>
  <c r="B6" i="11"/>
  <c r="B7" i="11" s="1"/>
  <c r="S5" i="11"/>
  <c r="N5" i="11"/>
  <c r="I5" i="11"/>
  <c r="D5" i="11"/>
  <c r="D6" i="11" s="1"/>
  <c r="D7" i="11" s="1"/>
  <c r="C5" i="11"/>
  <c r="C6" i="11" s="1"/>
  <c r="C7" i="11" s="1"/>
  <c r="B5" i="11"/>
  <c r="A6" i="11" s="1"/>
  <c r="S4" i="11"/>
  <c r="T4" i="11" s="1"/>
  <c r="O4" i="11"/>
  <c r="N4" i="11"/>
  <c r="I4" i="11"/>
  <c r="J4" i="11" s="1"/>
  <c r="W2" i="11"/>
  <c r="V2" i="11"/>
  <c r="U2" i="11"/>
  <c r="J5" i="13" l="1"/>
  <c r="T5" i="13"/>
  <c r="N8" i="13"/>
  <c r="S8" i="13"/>
  <c r="I8" i="13"/>
  <c r="N12" i="13"/>
  <c r="I12" i="13"/>
  <c r="C13" i="13"/>
  <c r="C6" i="13"/>
  <c r="B7" i="13"/>
  <c r="A5" i="13"/>
  <c r="A6" i="13" s="1"/>
  <c r="N7" i="13"/>
  <c r="I9" i="13"/>
  <c r="N10" i="13"/>
  <c r="I10" i="13"/>
  <c r="O5" i="11"/>
  <c r="A5" i="11"/>
  <c r="S7" i="11"/>
  <c r="N7" i="11"/>
  <c r="T5" i="11"/>
  <c r="B8" i="11"/>
  <c r="J5" i="11"/>
  <c r="O6" i="11"/>
  <c r="C10" i="11"/>
  <c r="N9" i="11"/>
  <c r="A7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B8" i="13" l="1"/>
  <c r="S6" i="13"/>
  <c r="T6" i="13" s="1"/>
  <c r="I6" i="13"/>
  <c r="J6" i="13" s="1"/>
  <c r="N6" i="13"/>
  <c r="O6" i="13" s="1"/>
  <c r="A7" i="13"/>
  <c r="C14" i="13"/>
  <c r="N13" i="13"/>
  <c r="S13" i="13"/>
  <c r="I13" i="13"/>
  <c r="B9" i="11"/>
  <c r="A9" i="11" s="1"/>
  <c r="S10" i="11"/>
  <c r="N10" i="11"/>
  <c r="J6" i="11"/>
  <c r="T6" i="11"/>
  <c r="O7" i="11"/>
  <c r="A8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J7" i="13" l="1"/>
  <c r="T7" i="13"/>
  <c r="B9" i="13"/>
  <c r="O7" i="13"/>
  <c r="S14" i="13"/>
  <c r="I14" i="13"/>
  <c r="C15" i="13"/>
  <c r="N14" i="13"/>
  <c r="A8" i="13"/>
  <c r="O8" i="11"/>
  <c r="J7" i="11"/>
  <c r="B10" i="11"/>
  <c r="A10" i="11" s="1"/>
  <c r="T7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B10" i="13" l="1"/>
  <c r="J8" i="13"/>
  <c r="T8" i="13"/>
  <c r="I15" i="13"/>
  <c r="N15" i="13"/>
  <c r="S15" i="13"/>
  <c r="O8" i="13"/>
  <c r="A9" i="13"/>
  <c r="T8" i="11"/>
  <c r="J8" i="11"/>
  <c r="O9" i="11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5" i="1"/>
  <c r="O6" i="1" s="1"/>
  <c r="O7" i="1" s="1"/>
  <c r="O8" i="1" s="1"/>
  <c r="O9" i="1" s="1"/>
  <c r="O10" i="1" s="1"/>
  <c r="O11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7" i="1"/>
  <c r="J8" i="1" s="1"/>
  <c r="J9" i="1" s="1"/>
  <c r="J10" i="1" s="1"/>
  <c r="J11" i="1" s="1"/>
  <c r="J6" i="1"/>
  <c r="T9" i="13" l="1"/>
  <c r="B11" i="13"/>
  <c r="A10" i="13"/>
  <c r="O9" i="13"/>
  <c r="J9" i="13"/>
  <c r="J9" i="11"/>
  <c r="T9" i="11"/>
  <c r="O10" i="11"/>
  <c r="B10" i="1"/>
  <c r="B11" i="1" s="1"/>
  <c r="T9" i="1"/>
  <c r="T10" i="1" s="1"/>
  <c r="T11" i="1" s="1"/>
  <c r="B12" i="13" l="1"/>
  <c r="O10" i="13"/>
  <c r="T10" i="13"/>
  <c r="J10" i="13"/>
  <c r="A11" i="13"/>
  <c r="T10" i="11"/>
  <c r="J10" i="11"/>
  <c r="A10" i="1"/>
  <c r="A11" i="1"/>
  <c r="B12" i="1"/>
  <c r="O11" i="13" l="1"/>
  <c r="B13" i="13"/>
  <c r="T11" i="13"/>
  <c r="A12" i="13"/>
  <c r="J11" i="13"/>
  <c r="B13" i="1"/>
  <c r="A13" i="1"/>
  <c r="A12" i="1"/>
  <c r="W2" i="1"/>
  <c r="V2" i="1"/>
  <c r="U2" i="1"/>
  <c r="B14" i="13" l="1"/>
  <c r="T12" i="13"/>
  <c r="O12" i="13"/>
  <c r="J12" i="13"/>
  <c r="A13" i="13"/>
  <c r="B14" i="1"/>
  <c r="A14" i="1" s="1"/>
  <c r="J13" i="13" l="1"/>
  <c r="T13" i="13"/>
  <c r="O13" i="13"/>
  <c r="B15" i="13"/>
  <c r="A14" i="13"/>
  <c r="B16" i="13" l="1"/>
  <c r="A15" i="13"/>
  <c r="A16" i="13" s="1"/>
  <c r="T14" i="13"/>
  <c r="O14" i="13"/>
  <c r="J14" i="13"/>
  <c r="O15" i="13" l="1"/>
  <c r="J15" i="13"/>
  <c r="T15" i="13"/>
  <c r="J16" i="13" l="1"/>
  <c r="T16" i="13"/>
  <c r="O16" i="13"/>
</calcChain>
</file>

<file path=xl/sharedStrings.xml><?xml version="1.0" encoding="utf-8"?>
<sst xmlns="http://schemas.openxmlformats.org/spreadsheetml/2006/main" count="206" uniqueCount="30">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</sst>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28</v>
      </c>
      <c r="F4" s="17" t="s">
        <v>21</v>
      </c>
      <c r="G4" s="18">
        <v>-1500</v>
      </c>
      <c r="H4" s="18"/>
      <c r="I4" s="19" t="str">
        <f>IF(OR(F4="ロン",F4="ツモ"),$C4*1000,IF(F4="放銃",$C4*-1000,IF(F4="ツモ支払",$C4*-500,"")))</f>
        <v/>
      </c>
      <c r="J4" s="20">
        <f t="shared" ref="J4:J30" si="0">IF(COUNTA($F4,$K4,$P4)&gt;0,J3+SUM(G4:I4),"")</f>
        <v>33500</v>
      </c>
      <c r="K4" s="17" t="s">
        <v>21</v>
      </c>
      <c r="L4" s="18">
        <v>-1500</v>
      </c>
      <c r="M4" s="18"/>
      <c r="N4" s="19" t="str">
        <f>IF(OR(K4="ロン",K4="ツモ"),$C4*1000,IF(K4="放銃",$C4*-1000,IF(K4="ツモ支払",$C4*-500,"")))</f>
        <v/>
      </c>
      <c r="O4" s="20">
        <f t="shared" ref="O4:O30" si="1">IF(COUNTA($F4,$K4,$P4)&gt;0,O3+SUM(L4:N4),"")</f>
        <v>33500</v>
      </c>
      <c r="P4" s="17" t="s">
        <v>21</v>
      </c>
      <c r="Q4" s="18">
        <v>3000</v>
      </c>
      <c r="R4" s="18"/>
      <c r="S4" s="19" t="str">
        <f>IF(OR(P4="ロン",P4="ツモ"),$C4*1000,IF(P4="放銃",$C4*-1000,IF(P4="ツモ支払",$C4*-500,"")))</f>
        <v/>
      </c>
      <c r="T4" s="20">
        <f t="shared" ref="T4:T30" si="2">IF(COUNTA($F4,$K4,$P4)&gt;0,T3+SUM(Q4:S4),"")</f>
        <v>38000</v>
      </c>
      <c r="U4" s="21">
        <f>IF($J4="","",ROUND(($J4-35000)/1000,0))</f>
        <v>-2</v>
      </c>
      <c r="V4" s="22">
        <f>IF($O4="","",ROUND(($O4-35000)/1000,0))</f>
        <v>-2</v>
      </c>
      <c r="W4" s="23">
        <f>IF($T4="","",ROUND(($T4-35000)/1000,0))</f>
        <v>3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 t="s">
        <v>21</v>
      </c>
      <c r="G5" s="18">
        <v>-3000</v>
      </c>
      <c r="H5" s="18"/>
      <c r="I5" s="19" t="str">
        <f>IF(OR(F5="ロン",F5="ツモ"),$C5*1000,IF(F5="放銃",$C5*-1000,IF(F5="ツモ支払",$C5*-500,"")))</f>
        <v/>
      </c>
      <c r="J5" s="20">
        <f t="shared" si="0"/>
        <v>30500</v>
      </c>
      <c r="K5" s="17" t="s">
        <v>21</v>
      </c>
      <c r="L5" s="18">
        <v>1500</v>
      </c>
      <c r="M5" s="18"/>
      <c r="N5" s="19" t="str">
        <f t="shared" ref="N5:N30" si="3">IF(OR(K5="ロン",K5="ツモ"),$C5*1000,IF(K5="放銃",$C5*-1000,IF(K5="ツモ支払",$C5*-500,"")))</f>
        <v/>
      </c>
      <c r="O5" s="20">
        <f t="shared" si="1"/>
        <v>35000</v>
      </c>
      <c r="P5" s="17" t="s">
        <v>21</v>
      </c>
      <c r="Q5" s="18">
        <v>1500</v>
      </c>
      <c r="R5" s="18"/>
      <c r="S5" s="19" t="str">
        <f t="shared" ref="S5:S30" si="4">IF(OR(P5="ロン",P5="ツモ"),$C5*1000,IF(P5="放銃",$C5*-1000,IF(P5="ツモ支払",$C5*-500,"")))</f>
        <v/>
      </c>
      <c r="T5" s="20">
        <f t="shared" si="2"/>
        <v>39500</v>
      </c>
      <c r="U5" s="21">
        <f>IF($J5="","",ROUND(($J5-35000)/1000,0))</f>
        <v>-5</v>
      </c>
      <c r="V5" s="22">
        <f>IF($O5="","",ROUND(($O5-35000)/1000,0))</f>
        <v>0</v>
      </c>
      <c r="W5" s="23">
        <f>IF($T5="","",ROUND(($T5-35000)/1000,0))</f>
        <v>5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1</v>
      </c>
      <c r="C6" s="34">
        <f t="shared" ref="C6:C30" si="7">IF($E6="","",IF($E5=$E6,C5+1,0))</f>
        <v>2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21</v>
      </c>
      <c r="G6" s="18"/>
      <c r="H6" s="18">
        <v>-1000</v>
      </c>
      <c r="I6" s="19" t="str">
        <f t="shared" ref="I6:I30" si="9">IF(OR(F6="ロン",F6="ツモ"),$C6*1000,IF(F6="放銃",$C6*-1000,IF(F6="ツモ支払",$C6*-500,"")))</f>
        <v/>
      </c>
      <c r="J6" s="20">
        <f t="shared" si="0"/>
        <v>29500</v>
      </c>
      <c r="K6" s="17" t="s">
        <v>21</v>
      </c>
      <c r="L6" s="18"/>
      <c r="M6" s="18"/>
      <c r="N6" s="19" t="str">
        <f t="shared" si="3"/>
        <v/>
      </c>
      <c r="O6" s="20">
        <f t="shared" si="1"/>
        <v>35000</v>
      </c>
      <c r="P6" s="17" t="s">
        <v>21</v>
      </c>
      <c r="Q6" s="18"/>
      <c r="R6" s="18"/>
      <c r="S6" s="19" t="str">
        <f t="shared" si="4"/>
        <v/>
      </c>
      <c r="T6" s="20">
        <f t="shared" si="2"/>
        <v>39500</v>
      </c>
      <c r="U6" s="21">
        <f>IF($J6="","",ROUND(($J6-35000)/1000,0))</f>
        <v>-6</v>
      </c>
      <c r="V6" s="22">
        <f>IF($O6="","",ROUND(($O6-35000)/1000,0))</f>
        <v>0</v>
      </c>
      <c r="W6" s="23">
        <f>IF($T6="","",ROUND(($T6-35000)/1000,0))</f>
        <v>5</v>
      </c>
    </row>
    <row r="7" spans="1:23" x14ac:dyDescent="0.4">
      <c r="A7" s="33" t="str">
        <f t="shared" si="5"/>
        <v>東</v>
      </c>
      <c r="B7" s="34">
        <f t="shared" si="6"/>
        <v>1</v>
      </c>
      <c r="C7" s="34">
        <f t="shared" si="7"/>
        <v>3</v>
      </c>
      <c r="D7" s="34">
        <f t="shared" si="8"/>
        <v>1</v>
      </c>
      <c r="E7" s="6" t="s">
        <v>28</v>
      </c>
      <c r="F7" s="17"/>
      <c r="G7" s="18"/>
      <c r="H7" s="18">
        <v>-1000</v>
      </c>
      <c r="I7" s="19" t="str">
        <f t="shared" si="9"/>
        <v/>
      </c>
      <c r="J7" s="20">
        <f t="shared" si="0"/>
        <v>28500</v>
      </c>
      <c r="K7" s="17" t="s">
        <v>25</v>
      </c>
      <c r="L7" s="18">
        <v>16000</v>
      </c>
      <c r="M7" s="18">
        <v>2000</v>
      </c>
      <c r="N7" s="19">
        <f t="shared" si="3"/>
        <v>3000</v>
      </c>
      <c r="O7" s="20">
        <f t="shared" si="1"/>
        <v>56000</v>
      </c>
      <c r="P7" s="17" t="s">
        <v>24</v>
      </c>
      <c r="Q7" s="18">
        <v>-16000</v>
      </c>
      <c r="R7" s="18"/>
      <c r="S7" s="19">
        <f t="shared" si="4"/>
        <v>-3000</v>
      </c>
      <c r="T7" s="20">
        <f t="shared" si="2"/>
        <v>20500</v>
      </c>
      <c r="U7" s="21">
        <f>IF($J7="","",ROUND(($J7-35000)/1000,0))</f>
        <v>-7</v>
      </c>
      <c r="V7" s="22">
        <f>IF($O7="","",ROUND(($O7-35000)/1000,0))</f>
        <v>21</v>
      </c>
      <c r="W7" s="23">
        <f>IF($T7="","",ROUND(($T7-35000)/1000,0))</f>
        <v>-15</v>
      </c>
    </row>
    <row r="8" spans="1:23" x14ac:dyDescent="0.4">
      <c r="A8" s="33" t="str">
        <f t="shared" si="5"/>
        <v>東</v>
      </c>
      <c r="B8" s="34">
        <f t="shared" si="6"/>
        <v>2</v>
      </c>
      <c r="C8" s="34">
        <f t="shared" si="7"/>
        <v>0</v>
      </c>
      <c r="D8" s="34">
        <f t="shared" si="8"/>
        <v>0</v>
      </c>
      <c r="E8" s="6" t="s">
        <v>19</v>
      </c>
      <c r="F8" s="17"/>
      <c r="G8" s="18"/>
      <c r="H8" s="18">
        <v>-1000</v>
      </c>
      <c r="I8" s="19" t="str">
        <f t="shared" si="9"/>
        <v/>
      </c>
      <c r="J8" s="20">
        <f t="shared" si="0"/>
        <v>27500</v>
      </c>
      <c r="K8" s="17" t="s">
        <v>25</v>
      </c>
      <c r="L8" s="18">
        <v>3200</v>
      </c>
      <c r="M8" s="18">
        <v>1000</v>
      </c>
      <c r="N8" s="19">
        <f t="shared" si="3"/>
        <v>0</v>
      </c>
      <c r="O8" s="20">
        <f t="shared" si="1"/>
        <v>60200</v>
      </c>
      <c r="P8" s="17" t="s">
        <v>24</v>
      </c>
      <c r="Q8" s="18">
        <v>-3200</v>
      </c>
      <c r="R8" s="18"/>
      <c r="S8" s="19">
        <f t="shared" si="4"/>
        <v>0</v>
      </c>
      <c r="T8" s="20">
        <f t="shared" si="2"/>
        <v>17300</v>
      </c>
      <c r="U8" s="21">
        <f>IF($J8="","",ROUND(($J8-35000)/1000,0))</f>
        <v>-8</v>
      </c>
      <c r="V8" s="22">
        <f>IF($O8="","",ROUND(($O8-35000)/1000,0))</f>
        <v>25</v>
      </c>
      <c r="W8" s="23">
        <f>IF($T8="","",ROUND(($T8-35000)/1000,0))</f>
        <v>-18</v>
      </c>
    </row>
    <row r="9" spans="1:23" x14ac:dyDescent="0.4">
      <c r="A9" s="33" t="str">
        <f t="shared" si="5"/>
        <v>東</v>
      </c>
      <c r="B9" s="34">
        <f t="shared" si="6"/>
        <v>3</v>
      </c>
      <c r="C9" s="34">
        <f t="shared" si="7"/>
        <v>0</v>
      </c>
      <c r="D9" s="34">
        <f t="shared" si="8"/>
        <v>0</v>
      </c>
      <c r="E9" s="6" t="s">
        <v>26</v>
      </c>
      <c r="F9" s="17" t="s">
        <v>24</v>
      </c>
      <c r="G9" s="18">
        <v>-24000</v>
      </c>
      <c r="H9" s="18"/>
      <c r="I9" s="19">
        <f t="shared" si="9"/>
        <v>0</v>
      </c>
      <c r="J9" s="20">
        <f t="shared" si="0"/>
        <v>3500</v>
      </c>
      <c r="K9" s="17" t="s">
        <v>25</v>
      </c>
      <c r="L9" s="18">
        <v>24000</v>
      </c>
      <c r="M9" s="18"/>
      <c r="N9" s="19">
        <f t="shared" si="3"/>
        <v>0</v>
      </c>
      <c r="O9" s="20">
        <f t="shared" si="1"/>
        <v>84200</v>
      </c>
      <c r="P9" s="17"/>
      <c r="Q9" s="18"/>
      <c r="R9" s="18"/>
      <c r="S9" s="19" t="str">
        <f t="shared" si="4"/>
        <v/>
      </c>
      <c r="T9" s="20">
        <f t="shared" si="2"/>
        <v>17300</v>
      </c>
      <c r="U9" s="21">
        <f>IF($J9="","",ROUND(($J9-35000)/1000,0))</f>
        <v>-32</v>
      </c>
      <c r="V9" s="22">
        <f>IF($O9="","",ROUND(($O9-35000)/1000,0))</f>
        <v>49</v>
      </c>
      <c r="W9" s="23">
        <f>IF($T9="","",ROUND(($T9-35000)/1000,0))</f>
        <v>-18</v>
      </c>
    </row>
    <row r="10" spans="1:23" x14ac:dyDescent="0.4">
      <c r="A10" s="33" t="str">
        <f t="shared" si="5"/>
        <v>東</v>
      </c>
      <c r="B10" s="34">
        <f t="shared" si="6"/>
        <v>3</v>
      </c>
      <c r="C10" s="34">
        <f t="shared" si="7"/>
        <v>1</v>
      </c>
      <c r="D10" s="34">
        <f t="shared" si="8"/>
        <v>0</v>
      </c>
      <c r="E10" s="6" t="s">
        <v>26</v>
      </c>
      <c r="F10" s="17"/>
      <c r="G10" s="18"/>
      <c r="H10" s="18"/>
      <c r="I10" s="19" t="str">
        <f t="shared" si="9"/>
        <v/>
      </c>
      <c r="J10" s="20">
        <f t="shared" si="0"/>
        <v>3500</v>
      </c>
      <c r="K10" s="17" t="s">
        <v>25</v>
      </c>
      <c r="L10" s="18">
        <v>18000</v>
      </c>
      <c r="M10" s="18"/>
      <c r="N10" s="19">
        <f t="shared" si="3"/>
        <v>1000</v>
      </c>
      <c r="O10" s="20">
        <f t="shared" si="1"/>
        <v>103200</v>
      </c>
      <c r="P10" s="17" t="s">
        <v>24</v>
      </c>
      <c r="Q10" s="18">
        <v>-18000</v>
      </c>
      <c r="R10" s="18"/>
      <c r="S10" s="19">
        <f t="shared" si="4"/>
        <v>-1000</v>
      </c>
      <c r="T10" s="20">
        <f t="shared" si="2"/>
        <v>-1700</v>
      </c>
      <c r="U10" s="21">
        <f>IF($J10="","",ROUND(($J10-35000)/1000,0))</f>
        <v>-32</v>
      </c>
      <c r="V10" s="22">
        <f>IF($O10="","",ROUND(($O10-35000)/1000,0))</f>
        <v>68</v>
      </c>
      <c r="W10" s="23">
        <f>IF($T10="","",ROUND(($T10-35000)/1000,0))</f>
        <v>-37</v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8A4D-72B6-49E6-A2A8-1DE4A9741709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28</v>
      </c>
      <c r="F4" s="17" t="s">
        <v>24</v>
      </c>
      <c r="G4" s="18">
        <v>-12000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23000</v>
      </c>
      <c r="K4" s="17"/>
      <c r="L4" s="18"/>
      <c r="M4" s="18"/>
      <c r="N4" s="19" t="str">
        <f>IF(OR(K4="ロン",K4="ツモ"),$C4*1000,IF(K4="放銃",$C4*-1000,IF(K4="ツモ支払",$C4*-500,"")))</f>
        <v/>
      </c>
      <c r="O4" s="20">
        <f t="shared" ref="O4:O30" si="1">IF(COUNTA($F4,$K4,$P4)&gt;0,O3+SUM(L4:N4),"")</f>
        <v>35000</v>
      </c>
      <c r="P4" s="17" t="s">
        <v>25</v>
      </c>
      <c r="Q4" s="18">
        <v>12000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47000</v>
      </c>
      <c r="U4" s="21">
        <f>IF($J4="","",ROUND(($J4-35000)/1000,0))</f>
        <v>-12</v>
      </c>
      <c r="V4" s="22">
        <f>IF($O4="","",ROUND(($O4-35000)/1000,0))</f>
        <v>0</v>
      </c>
      <c r="W4" s="23">
        <f>IF($T4="","",ROUND(($T4-35000)/1000,0))</f>
        <v>12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/>
      <c r="G5" s="18"/>
      <c r="H5" s="18"/>
      <c r="I5" s="19" t="str">
        <f>IF(OR(F5="ロン",F5="ツモ"),$C5*1000,IF(F5="放銃",$C5*-1000,IF(F5="ツモ支払",$C5*-500,"")))</f>
        <v/>
      </c>
      <c r="J5" s="20">
        <f t="shared" si="0"/>
        <v>23000</v>
      </c>
      <c r="K5" s="17" t="s">
        <v>24</v>
      </c>
      <c r="L5" s="18">
        <v>-3900</v>
      </c>
      <c r="M5" s="18"/>
      <c r="N5" s="19">
        <f t="shared" ref="N5:N30" si="3">IF(OR(K5="ロン",K5="ツモ"),$C5*1000,IF(K5="放銃",$C5*-1000,IF(K5="ツモ支払",$C5*-500,"")))</f>
        <v>-1000</v>
      </c>
      <c r="O5" s="20">
        <f t="shared" si="1"/>
        <v>30100</v>
      </c>
      <c r="P5" s="17" t="s">
        <v>25</v>
      </c>
      <c r="Q5" s="18">
        <v>3900</v>
      </c>
      <c r="R5" s="18"/>
      <c r="S5" s="19">
        <f t="shared" ref="S5:S30" si="4">IF(OR(P5="ロン",P5="ツモ"),$C5*1000,IF(P5="放銃",$C5*-1000,IF(P5="ツモ支払",$C5*-500,"")))</f>
        <v>1000</v>
      </c>
      <c r="T5" s="20">
        <f t="shared" si="2"/>
        <v>51900</v>
      </c>
      <c r="U5" s="21">
        <f>IF($J5="","",ROUND(($J5-35000)/1000,0))</f>
        <v>-12</v>
      </c>
      <c r="V5" s="22">
        <f>IF($O5="","",ROUND(($O5-35000)/1000,0))</f>
        <v>-5</v>
      </c>
      <c r="W5" s="23">
        <f>IF($T5="","",ROUND(($T5-35000)/1000,0))</f>
        <v>17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1</v>
      </c>
      <c r="C6" s="34">
        <f t="shared" ref="C6:C30" si="7">IF($E6="","",IF($E5=$E6,C5+1,0))</f>
        <v>2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23</v>
      </c>
      <c r="G6" s="18">
        <v>-4500</v>
      </c>
      <c r="H6" s="18">
        <v>-1000</v>
      </c>
      <c r="I6" s="19">
        <f t="shared" ref="I6:I30" si="9">IF(OR(F6="ロン",F6="ツモ"),$C6*1000,IF(F6="放銃",$C6*-1000,IF(F6="ツモ支払",$C6*-500,"")))</f>
        <v>-1000</v>
      </c>
      <c r="J6" s="20">
        <f t="shared" si="0"/>
        <v>16500</v>
      </c>
      <c r="K6" s="17" t="s">
        <v>22</v>
      </c>
      <c r="L6" s="18">
        <v>12000</v>
      </c>
      <c r="M6" s="18">
        <v>1000</v>
      </c>
      <c r="N6" s="19">
        <f t="shared" si="3"/>
        <v>2000</v>
      </c>
      <c r="O6" s="20">
        <f t="shared" si="1"/>
        <v>45100</v>
      </c>
      <c r="P6" s="17" t="s">
        <v>23</v>
      </c>
      <c r="Q6" s="18">
        <v>-7500</v>
      </c>
      <c r="R6" s="18"/>
      <c r="S6" s="19">
        <f t="shared" si="4"/>
        <v>-1000</v>
      </c>
      <c r="T6" s="20">
        <f t="shared" si="2"/>
        <v>43400</v>
      </c>
      <c r="U6" s="21">
        <f>IF($J6="","",ROUND(($J6-35000)/1000,0))</f>
        <v>-19</v>
      </c>
      <c r="V6" s="22">
        <f>IF($O6="","",ROUND(($O6-35000)/1000,0))</f>
        <v>10</v>
      </c>
      <c r="W6" s="23">
        <f>IF($T6="","",ROUND(($T6-35000)/1000,0))</f>
        <v>8</v>
      </c>
    </row>
    <row r="7" spans="1:23" x14ac:dyDescent="0.4">
      <c r="A7" s="33" t="str">
        <f t="shared" si="5"/>
        <v>東</v>
      </c>
      <c r="B7" s="34">
        <f t="shared" si="6"/>
        <v>2</v>
      </c>
      <c r="C7" s="34">
        <f t="shared" si="7"/>
        <v>0</v>
      </c>
      <c r="D7" s="34">
        <f t="shared" si="8"/>
        <v>0</v>
      </c>
      <c r="E7" s="6" t="s">
        <v>19</v>
      </c>
      <c r="F7" s="17" t="s">
        <v>22</v>
      </c>
      <c r="G7" s="18">
        <v>12000</v>
      </c>
      <c r="H7" s="18"/>
      <c r="I7" s="19">
        <f t="shared" si="9"/>
        <v>0</v>
      </c>
      <c r="J7" s="20">
        <f t="shared" si="0"/>
        <v>28500</v>
      </c>
      <c r="K7" s="17" t="s">
        <v>23</v>
      </c>
      <c r="L7" s="18">
        <v>-6000</v>
      </c>
      <c r="M7" s="18"/>
      <c r="N7" s="19">
        <f t="shared" si="3"/>
        <v>0</v>
      </c>
      <c r="O7" s="20">
        <f t="shared" si="1"/>
        <v>39100</v>
      </c>
      <c r="P7" s="17" t="s">
        <v>23</v>
      </c>
      <c r="Q7" s="18">
        <v>-6000</v>
      </c>
      <c r="R7" s="18"/>
      <c r="S7" s="19">
        <f t="shared" si="4"/>
        <v>0</v>
      </c>
      <c r="T7" s="20">
        <f t="shared" si="2"/>
        <v>37400</v>
      </c>
      <c r="U7" s="21">
        <f>IF($J7="","",ROUND(($J7-35000)/1000,0))</f>
        <v>-7</v>
      </c>
      <c r="V7" s="22">
        <f>IF($O7="","",ROUND(($O7-35000)/1000,0))</f>
        <v>4</v>
      </c>
      <c r="W7" s="23">
        <f>IF($T7="","",ROUND(($T7-35000)/1000,0))</f>
        <v>2</v>
      </c>
    </row>
    <row r="8" spans="1:23" x14ac:dyDescent="0.4">
      <c r="A8" s="33" t="str">
        <f t="shared" si="5"/>
        <v>東</v>
      </c>
      <c r="B8" s="34">
        <f t="shared" si="6"/>
        <v>2</v>
      </c>
      <c r="C8" s="34">
        <f t="shared" si="7"/>
        <v>1</v>
      </c>
      <c r="D8" s="34">
        <f t="shared" si="8"/>
        <v>0</v>
      </c>
      <c r="E8" s="6" t="s">
        <v>19</v>
      </c>
      <c r="F8" s="17" t="s">
        <v>23</v>
      </c>
      <c r="G8" s="18">
        <v>-15000</v>
      </c>
      <c r="H8" s="18"/>
      <c r="I8" s="19">
        <f t="shared" si="9"/>
        <v>-500</v>
      </c>
      <c r="J8" s="20">
        <f t="shared" si="0"/>
        <v>13000</v>
      </c>
      <c r="K8" s="17" t="s">
        <v>23</v>
      </c>
      <c r="L8" s="18">
        <v>-9000</v>
      </c>
      <c r="M8" s="18"/>
      <c r="N8" s="19">
        <f t="shared" si="3"/>
        <v>-500</v>
      </c>
      <c r="O8" s="20">
        <f t="shared" si="1"/>
        <v>29600</v>
      </c>
      <c r="P8" s="17" t="s">
        <v>22</v>
      </c>
      <c r="Q8" s="18">
        <v>24000</v>
      </c>
      <c r="R8" s="18"/>
      <c r="S8" s="19">
        <f t="shared" si="4"/>
        <v>1000</v>
      </c>
      <c r="T8" s="20">
        <f t="shared" si="2"/>
        <v>62400</v>
      </c>
      <c r="U8" s="21">
        <f>IF($J8="","",ROUND(($J8-35000)/1000,0))</f>
        <v>-22</v>
      </c>
      <c r="V8" s="22">
        <f>IF($O8="","",ROUND(($O8-35000)/1000,0))</f>
        <v>-5</v>
      </c>
      <c r="W8" s="23">
        <f>IF($T8="","",ROUND(($T8-35000)/1000,0))</f>
        <v>27</v>
      </c>
    </row>
    <row r="9" spans="1:23" x14ac:dyDescent="0.4">
      <c r="A9" s="33" t="str">
        <f t="shared" si="5"/>
        <v>東</v>
      </c>
      <c r="B9" s="34">
        <f t="shared" si="6"/>
        <v>3</v>
      </c>
      <c r="C9" s="34">
        <f t="shared" si="7"/>
        <v>0</v>
      </c>
      <c r="D9" s="34">
        <f t="shared" si="8"/>
        <v>0</v>
      </c>
      <c r="E9" s="6" t="s">
        <v>26</v>
      </c>
      <c r="F9" s="17" t="s">
        <v>25</v>
      </c>
      <c r="G9" s="18">
        <v>12000</v>
      </c>
      <c r="H9" s="18">
        <v>1000</v>
      </c>
      <c r="I9" s="19">
        <f t="shared" si="9"/>
        <v>0</v>
      </c>
      <c r="J9" s="20">
        <f t="shared" si="0"/>
        <v>26000</v>
      </c>
      <c r="K9" s="17"/>
      <c r="L9" s="18"/>
      <c r="M9" s="18"/>
      <c r="N9" s="19" t="str">
        <f t="shared" si="3"/>
        <v/>
      </c>
      <c r="O9" s="20">
        <f t="shared" si="1"/>
        <v>29600</v>
      </c>
      <c r="P9" s="17" t="s">
        <v>24</v>
      </c>
      <c r="Q9" s="18">
        <v>-12000</v>
      </c>
      <c r="R9" s="18">
        <v>-1000</v>
      </c>
      <c r="S9" s="19">
        <f t="shared" si="4"/>
        <v>0</v>
      </c>
      <c r="T9" s="20">
        <f t="shared" si="2"/>
        <v>49400</v>
      </c>
      <c r="U9" s="21">
        <f>IF($J9="","",ROUND(($J9-35000)/1000,0))</f>
        <v>-9</v>
      </c>
      <c r="V9" s="22">
        <f>IF($O9="","",ROUND(($O9-35000)/1000,0))</f>
        <v>-5</v>
      </c>
      <c r="W9" s="23">
        <f>IF($T9="","",ROUND(($T9-35000)/1000,0))</f>
        <v>14</v>
      </c>
    </row>
    <row r="10" spans="1:23" x14ac:dyDescent="0.4">
      <c r="A10" s="33" t="str">
        <f t="shared" si="5"/>
        <v>南</v>
      </c>
      <c r="B10" s="34">
        <f t="shared" si="6"/>
        <v>1</v>
      </c>
      <c r="C10" s="34">
        <f t="shared" si="7"/>
        <v>0</v>
      </c>
      <c r="D10" s="34">
        <f t="shared" si="8"/>
        <v>0</v>
      </c>
      <c r="E10" s="6" t="s">
        <v>28</v>
      </c>
      <c r="F10" s="17" t="s">
        <v>23</v>
      </c>
      <c r="G10" s="18">
        <v>-12000</v>
      </c>
      <c r="H10" s="18"/>
      <c r="I10" s="19">
        <f t="shared" si="9"/>
        <v>0</v>
      </c>
      <c r="J10" s="20">
        <f t="shared" si="0"/>
        <v>14000</v>
      </c>
      <c r="K10" s="17" t="s">
        <v>22</v>
      </c>
      <c r="L10" s="18">
        <v>32000</v>
      </c>
      <c r="M10" s="18"/>
      <c r="N10" s="19">
        <f t="shared" si="3"/>
        <v>0</v>
      </c>
      <c r="O10" s="20">
        <f t="shared" si="1"/>
        <v>61600</v>
      </c>
      <c r="P10" s="17" t="s">
        <v>23</v>
      </c>
      <c r="Q10" s="18">
        <v>-20000</v>
      </c>
      <c r="R10" s="18"/>
      <c r="S10" s="19">
        <f t="shared" si="4"/>
        <v>0</v>
      </c>
      <c r="T10" s="20">
        <f t="shared" si="2"/>
        <v>29400</v>
      </c>
      <c r="U10" s="21">
        <f>IF($J10="","",ROUND(($J10-35000)/1000,0))</f>
        <v>-21</v>
      </c>
      <c r="V10" s="22">
        <f>IF($O10="","",ROUND(($O10-35000)/1000,0))</f>
        <v>27</v>
      </c>
      <c r="W10" s="23">
        <f>IF($T10="","",ROUND(($T10-35000)/1000,0))</f>
        <v>-6</v>
      </c>
    </row>
    <row r="11" spans="1:23" x14ac:dyDescent="0.4">
      <c r="A11" s="33" t="str">
        <f t="shared" si="5"/>
        <v>南</v>
      </c>
      <c r="B11" s="34">
        <f t="shared" si="6"/>
        <v>2</v>
      </c>
      <c r="C11" s="34">
        <f t="shared" si="7"/>
        <v>0</v>
      </c>
      <c r="D11" s="34">
        <f t="shared" si="8"/>
        <v>0</v>
      </c>
      <c r="E11" s="6" t="s">
        <v>19</v>
      </c>
      <c r="F11" s="17" t="s">
        <v>21</v>
      </c>
      <c r="G11" s="18">
        <v>-1500</v>
      </c>
      <c r="H11" s="18"/>
      <c r="I11" s="19" t="str">
        <f t="shared" si="9"/>
        <v/>
      </c>
      <c r="J11" s="20">
        <f t="shared" si="0"/>
        <v>12500</v>
      </c>
      <c r="K11" s="17" t="s">
        <v>21</v>
      </c>
      <c r="L11" s="18">
        <v>3000</v>
      </c>
      <c r="M11" s="18">
        <v>-1000</v>
      </c>
      <c r="N11" s="19" t="str">
        <f t="shared" si="3"/>
        <v/>
      </c>
      <c r="O11" s="20">
        <f t="shared" si="1"/>
        <v>63600</v>
      </c>
      <c r="P11" s="17" t="s">
        <v>21</v>
      </c>
      <c r="Q11" s="18">
        <v>-1500</v>
      </c>
      <c r="R11" s="18"/>
      <c r="S11" s="19" t="str">
        <f t="shared" si="4"/>
        <v/>
      </c>
      <c r="T11" s="20">
        <f t="shared" si="2"/>
        <v>27900</v>
      </c>
      <c r="U11" s="21">
        <f>IF($J11="","",ROUND(($J11-35000)/1000,0))</f>
        <v>-23</v>
      </c>
      <c r="V11" s="22">
        <f>IF($O11="","",ROUND(($O11-35000)/1000,0))</f>
        <v>29</v>
      </c>
      <c r="W11" s="23">
        <f>IF($T11="","",ROUND(($T11-35000)/1000,0))</f>
        <v>-7</v>
      </c>
    </row>
    <row r="12" spans="1:23" x14ac:dyDescent="0.4">
      <c r="A12" s="33" t="str">
        <f t="shared" si="5"/>
        <v>南</v>
      </c>
      <c r="B12" s="34">
        <f t="shared" si="6"/>
        <v>2</v>
      </c>
      <c r="C12" s="34">
        <f t="shared" si="7"/>
        <v>1</v>
      </c>
      <c r="D12" s="34">
        <f t="shared" si="8"/>
        <v>1</v>
      </c>
      <c r="E12" s="6" t="s">
        <v>19</v>
      </c>
      <c r="F12" s="17" t="s">
        <v>25</v>
      </c>
      <c r="G12" s="18">
        <v>12000</v>
      </c>
      <c r="H12" s="18">
        <v>1000</v>
      </c>
      <c r="I12" s="19">
        <f t="shared" si="9"/>
        <v>1000</v>
      </c>
      <c r="J12" s="20">
        <f t="shared" si="0"/>
        <v>26500</v>
      </c>
      <c r="K12" s="17" t="s">
        <v>24</v>
      </c>
      <c r="L12" s="18">
        <v>-12000</v>
      </c>
      <c r="M12" s="18"/>
      <c r="N12" s="19">
        <f t="shared" si="3"/>
        <v>-1000</v>
      </c>
      <c r="O12" s="20">
        <f t="shared" si="1"/>
        <v>50600</v>
      </c>
      <c r="P12" s="17"/>
      <c r="Q12" s="18"/>
      <c r="R12" s="18"/>
      <c r="S12" s="19" t="str">
        <f t="shared" si="4"/>
        <v/>
      </c>
      <c r="T12" s="20">
        <f t="shared" si="2"/>
        <v>27900</v>
      </c>
      <c r="U12" s="21">
        <f>IF($J12="","",ROUND(($J12-35000)/1000,0))</f>
        <v>-9</v>
      </c>
      <c r="V12" s="22">
        <f>IF($O12="","",ROUND(($O12-35000)/1000,0))</f>
        <v>16</v>
      </c>
      <c r="W12" s="23">
        <f>IF($T12="","",ROUND(($T12-35000)/1000,0))</f>
        <v>-7</v>
      </c>
    </row>
    <row r="13" spans="1:23" x14ac:dyDescent="0.4">
      <c r="A13" s="33" t="str">
        <f t="shared" si="5"/>
        <v>南</v>
      </c>
      <c r="B13" s="34">
        <f t="shared" si="6"/>
        <v>2</v>
      </c>
      <c r="C13" s="34">
        <f t="shared" si="7"/>
        <v>2</v>
      </c>
      <c r="D13" s="34">
        <f t="shared" si="8"/>
        <v>0</v>
      </c>
      <c r="E13" s="6" t="s">
        <v>19</v>
      </c>
      <c r="F13" s="17" t="s">
        <v>22</v>
      </c>
      <c r="G13" s="18">
        <v>18000</v>
      </c>
      <c r="H13" s="18"/>
      <c r="I13" s="19">
        <f t="shared" si="9"/>
        <v>2000</v>
      </c>
      <c r="J13" s="20">
        <f t="shared" si="0"/>
        <v>46500</v>
      </c>
      <c r="K13" s="17" t="s">
        <v>23</v>
      </c>
      <c r="L13" s="18">
        <v>-9000</v>
      </c>
      <c r="M13" s="18"/>
      <c r="N13" s="19">
        <f t="shared" si="3"/>
        <v>-1000</v>
      </c>
      <c r="O13" s="20">
        <f t="shared" si="1"/>
        <v>40600</v>
      </c>
      <c r="P13" s="17" t="s">
        <v>23</v>
      </c>
      <c r="Q13" s="18">
        <v>-9000</v>
      </c>
      <c r="R13" s="18"/>
      <c r="S13" s="19">
        <f t="shared" si="4"/>
        <v>-1000</v>
      </c>
      <c r="T13" s="20">
        <f t="shared" si="2"/>
        <v>17900</v>
      </c>
      <c r="U13" s="21">
        <f>IF($J13="","",ROUND(($J13-35000)/1000,0))</f>
        <v>12</v>
      </c>
      <c r="V13" s="22">
        <f>IF($O13="","",ROUND(($O13-35000)/1000,0))</f>
        <v>6</v>
      </c>
      <c r="W13" s="23">
        <f>IF($T13="","",ROUND(($T13-35000)/1000,0))</f>
        <v>-17</v>
      </c>
    </row>
    <row r="14" spans="1:23" x14ac:dyDescent="0.4">
      <c r="A14" s="33" t="str">
        <f t="shared" si="5"/>
        <v>南</v>
      </c>
      <c r="B14" s="34">
        <f t="shared" si="6"/>
        <v>2</v>
      </c>
      <c r="C14" s="34">
        <f t="shared" si="7"/>
        <v>3</v>
      </c>
      <c r="D14" s="34">
        <f t="shared" si="8"/>
        <v>0</v>
      </c>
      <c r="E14" s="6" t="s">
        <v>19</v>
      </c>
      <c r="F14" s="17" t="s">
        <v>22</v>
      </c>
      <c r="G14" s="18">
        <v>12000</v>
      </c>
      <c r="H14" s="18"/>
      <c r="I14" s="19">
        <f t="shared" si="9"/>
        <v>3000</v>
      </c>
      <c r="J14" s="20">
        <f t="shared" si="0"/>
        <v>61500</v>
      </c>
      <c r="K14" s="17" t="s">
        <v>23</v>
      </c>
      <c r="L14" s="18">
        <v>-6000</v>
      </c>
      <c r="M14" s="18"/>
      <c r="N14" s="19">
        <f t="shared" si="3"/>
        <v>-1500</v>
      </c>
      <c r="O14" s="20">
        <f t="shared" si="1"/>
        <v>33100</v>
      </c>
      <c r="P14" s="17" t="s">
        <v>23</v>
      </c>
      <c r="Q14" s="18">
        <v>-6000</v>
      </c>
      <c r="R14" s="18"/>
      <c r="S14" s="19">
        <f t="shared" si="4"/>
        <v>-1500</v>
      </c>
      <c r="T14" s="20">
        <f t="shared" si="2"/>
        <v>10400</v>
      </c>
      <c r="U14" s="21">
        <f>IF($J14="","",ROUND(($J14-35000)/1000,0))</f>
        <v>27</v>
      </c>
      <c r="V14" s="22">
        <f>IF($O14="","",ROUND(($O14-35000)/1000,0))</f>
        <v>-2</v>
      </c>
      <c r="W14" s="23">
        <f>IF($T14="","",ROUND(($T14-35000)/1000,0))</f>
        <v>-25</v>
      </c>
    </row>
    <row r="15" spans="1:23" x14ac:dyDescent="0.4">
      <c r="A15" s="33" t="str">
        <f t="shared" si="5"/>
        <v>南</v>
      </c>
      <c r="B15" s="34">
        <f t="shared" si="6"/>
        <v>2</v>
      </c>
      <c r="C15" s="34">
        <f t="shared" si="7"/>
        <v>4</v>
      </c>
      <c r="D15" s="34">
        <f t="shared" si="8"/>
        <v>0</v>
      </c>
      <c r="E15" s="6" t="s">
        <v>19</v>
      </c>
      <c r="F15" s="17" t="s">
        <v>23</v>
      </c>
      <c r="G15" s="18">
        <v>-7500</v>
      </c>
      <c r="H15" s="18"/>
      <c r="I15" s="19">
        <f t="shared" si="9"/>
        <v>-2000</v>
      </c>
      <c r="J15" s="20">
        <f t="shared" si="0"/>
        <v>52000</v>
      </c>
      <c r="K15" s="17" t="s">
        <v>23</v>
      </c>
      <c r="L15" s="18">
        <v>-4500</v>
      </c>
      <c r="M15" s="18"/>
      <c r="N15" s="19">
        <f t="shared" si="3"/>
        <v>-2000</v>
      </c>
      <c r="O15" s="20">
        <f t="shared" si="1"/>
        <v>26600</v>
      </c>
      <c r="P15" s="17" t="s">
        <v>22</v>
      </c>
      <c r="Q15" s="18">
        <v>12000</v>
      </c>
      <c r="R15" s="18"/>
      <c r="S15" s="19">
        <f t="shared" si="4"/>
        <v>4000</v>
      </c>
      <c r="T15" s="20">
        <f t="shared" si="2"/>
        <v>26400</v>
      </c>
      <c r="U15" s="21">
        <f>IF($J15="","",ROUND(($J15-35000)/1000,0))</f>
        <v>17</v>
      </c>
      <c r="V15" s="22">
        <f>IF($O15="","",ROUND(($O15-35000)/1000,0))</f>
        <v>-8</v>
      </c>
      <c r="W15" s="23">
        <f>IF($T15="","",ROUND(($T15-35000)/1000,0))</f>
        <v>-9</v>
      </c>
    </row>
    <row r="16" spans="1:23" x14ac:dyDescent="0.4">
      <c r="A16" s="33" t="str">
        <f t="shared" si="5"/>
        <v>南</v>
      </c>
      <c r="B16" s="34">
        <f t="shared" si="6"/>
        <v>3</v>
      </c>
      <c r="C16" s="34">
        <f t="shared" si="7"/>
        <v>0</v>
      </c>
      <c r="D16" s="34">
        <f t="shared" si="8"/>
        <v>0</v>
      </c>
      <c r="E16" s="6" t="s">
        <v>26</v>
      </c>
      <c r="F16" s="17" t="s">
        <v>25</v>
      </c>
      <c r="G16" s="18">
        <v>1300</v>
      </c>
      <c r="H16" s="18"/>
      <c r="I16" s="19">
        <f t="shared" si="9"/>
        <v>0</v>
      </c>
      <c r="J16" s="20">
        <f t="shared" si="0"/>
        <v>53300</v>
      </c>
      <c r="K16" s="17" t="s">
        <v>24</v>
      </c>
      <c r="L16" s="18">
        <v>-1300</v>
      </c>
      <c r="M16" s="18"/>
      <c r="N16" s="19">
        <f t="shared" si="3"/>
        <v>0</v>
      </c>
      <c r="O16" s="20">
        <f t="shared" si="1"/>
        <v>25300</v>
      </c>
      <c r="P16" s="17"/>
      <c r="Q16" s="18"/>
      <c r="R16" s="18"/>
      <c r="S16" s="19" t="str">
        <f t="shared" si="4"/>
        <v/>
      </c>
      <c r="T16" s="20">
        <f t="shared" si="2"/>
        <v>26400</v>
      </c>
      <c r="U16" s="21">
        <f>IF($J16="","",ROUND(($J16-35000)/1000,0))</f>
        <v>18</v>
      </c>
      <c r="V16" s="22">
        <f>IF($O16="","",ROUND(($O16-35000)/1000,0))</f>
        <v>-10</v>
      </c>
      <c r="W16" s="23">
        <f>IF($T16="","",ROUND(($T16-35000)/1000,0))</f>
        <v>-9</v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C11A9D48-381E-4437-B1E6-2E78E5B9D203}">
      <formula1>$U$2:$W$2</formula1>
    </dataValidation>
    <dataValidation type="list" showInputMessage="1" showErrorMessage="1" sqref="K4:K30 P4:P30 F4:F30" xr:uid="{070572CB-B03D-475B-BAE1-3DC3E573C2A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1BC66-1B89-4988-9B6B-FFEF3C5794C9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19</v>
      </c>
      <c r="F4" s="17" t="s">
        <v>22</v>
      </c>
      <c r="G4" s="18">
        <v>4800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39800</v>
      </c>
      <c r="K4" s="17" t="s">
        <v>23</v>
      </c>
      <c r="L4" s="18">
        <v>-2400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32600</v>
      </c>
      <c r="P4" s="17" t="s">
        <v>23</v>
      </c>
      <c r="Q4" s="18">
        <v>-2400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32600</v>
      </c>
      <c r="U4" s="21">
        <f>IF($J4="","",ROUND(($J4-35000)/1000,0))</f>
        <v>5</v>
      </c>
      <c r="V4" s="22">
        <f>IF($O4="","",ROUND(($O4-35000)/1000,0))</f>
        <v>-2</v>
      </c>
      <c r="W4" s="23">
        <f>IF($T4="","",ROUND(($T4-35000)/1000,0))</f>
        <v>-2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19</v>
      </c>
      <c r="F5" s="17" t="s">
        <v>25</v>
      </c>
      <c r="G5" s="18">
        <v>18000</v>
      </c>
      <c r="H5" s="18"/>
      <c r="I5" s="19">
        <f>IF(OR(F5="ロン",F5="ツモ"),$C5*1000,IF(F5="放銃",$C5*-1000,IF(F5="ツモ支払",$C5*-500,"")))</f>
        <v>1000</v>
      </c>
      <c r="J5" s="20">
        <f t="shared" si="0"/>
        <v>58800</v>
      </c>
      <c r="K5" s="17"/>
      <c r="L5" s="18"/>
      <c r="M5" s="18"/>
      <c r="N5" s="19" t="str">
        <f t="shared" ref="N5:N30" si="3">IF(OR(K5="ロン",K5="ツモ"),$C5*1000,IF(K5="放銃",$C5*-1000,IF(K5="ツモ支払",$C5*-500,"")))</f>
        <v/>
      </c>
      <c r="O5" s="20">
        <f t="shared" si="1"/>
        <v>32600</v>
      </c>
      <c r="P5" s="17" t="s">
        <v>24</v>
      </c>
      <c r="Q5" s="18">
        <v>-18000</v>
      </c>
      <c r="R5" s="18"/>
      <c r="S5" s="19">
        <f t="shared" ref="S5:S30" si="4">IF(OR(P5="ロン",P5="ツモ"),$C5*1000,IF(P5="放銃",$C5*-1000,IF(P5="ツモ支払",$C5*-500,"")))</f>
        <v>-1000</v>
      </c>
      <c r="T5" s="20">
        <f t="shared" si="2"/>
        <v>13600</v>
      </c>
      <c r="U5" s="21">
        <f>IF($J5="","",ROUND(($J5-35000)/1000,0))</f>
        <v>24</v>
      </c>
      <c r="V5" s="22">
        <f>IF($O5="","",ROUND(($O5-35000)/1000,0))</f>
        <v>-2</v>
      </c>
      <c r="W5" s="23">
        <f>IF($T5="","",ROUND(($T5-35000)/1000,0))</f>
        <v>-21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1</v>
      </c>
      <c r="C6" s="34">
        <f t="shared" ref="C6:C30" si="7">IF($E6="","",IF($E5=$E6,C5+1,0))</f>
        <v>2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19</v>
      </c>
      <c r="F6" s="17" t="s">
        <v>22</v>
      </c>
      <c r="G6" s="18">
        <v>4000</v>
      </c>
      <c r="H6" s="18"/>
      <c r="I6" s="19">
        <f t="shared" ref="I6:I30" si="9">IF(OR(F6="ロン",F6="ツモ"),$C6*1000,IF(F6="放銃",$C6*-1000,IF(F6="ツモ支払",$C6*-500,"")))</f>
        <v>2000</v>
      </c>
      <c r="J6" s="20">
        <f t="shared" si="0"/>
        <v>64800</v>
      </c>
      <c r="K6" s="17" t="s">
        <v>23</v>
      </c>
      <c r="L6" s="18">
        <v>-2000</v>
      </c>
      <c r="M6" s="18"/>
      <c r="N6" s="19">
        <f t="shared" si="3"/>
        <v>-1000</v>
      </c>
      <c r="O6" s="20">
        <f t="shared" si="1"/>
        <v>29600</v>
      </c>
      <c r="P6" s="17" t="s">
        <v>23</v>
      </c>
      <c r="Q6" s="18">
        <v>-2000</v>
      </c>
      <c r="R6" s="18"/>
      <c r="S6" s="19">
        <f t="shared" si="4"/>
        <v>-1000</v>
      </c>
      <c r="T6" s="20">
        <f t="shared" si="2"/>
        <v>10600</v>
      </c>
      <c r="U6" s="21">
        <f>IF($J6="","",ROUND(($J6-35000)/1000,0))</f>
        <v>30</v>
      </c>
      <c r="V6" s="22">
        <f>IF($O6="","",ROUND(($O6-35000)/1000,0))</f>
        <v>-5</v>
      </c>
      <c r="W6" s="23">
        <f>IF($T6="","",ROUND(($T6-35000)/1000,0))</f>
        <v>-24</v>
      </c>
    </row>
    <row r="7" spans="1:23" x14ac:dyDescent="0.4">
      <c r="A7" s="33" t="str">
        <f t="shared" si="5"/>
        <v>東</v>
      </c>
      <c r="B7" s="34">
        <f t="shared" si="6"/>
        <v>1</v>
      </c>
      <c r="C7" s="34">
        <f t="shared" si="7"/>
        <v>3</v>
      </c>
      <c r="D7" s="34">
        <f t="shared" si="8"/>
        <v>0</v>
      </c>
      <c r="E7" s="6" t="s">
        <v>19</v>
      </c>
      <c r="F7" s="17" t="s">
        <v>24</v>
      </c>
      <c r="G7" s="18">
        <v>-2000</v>
      </c>
      <c r="H7" s="18"/>
      <c r="I7" s="19">
        <f t="shared" si="9"/>
        <v>-3000</v>
      </c>
      <c r="J7" s="20">
        <f t="shared" si="0"/>
        <v>59800</v>
      </c>
      <c r="K7" s="17" t="s">
        <v>25</v>
      </c>
      <c r="L7" s="18">
        <v>2000</v>
      </c>
      <c r="M7" s="18"/>
      <c r="N7" s="19">
        <f t="shared" si="3"/>
        <v>3000</v>
      </c>
      <c r="O7" s="20">
        <f t="shared" si="1"/>
        <v>34600</v>
      </c>
      <c r="P7" s="17"/>
      <c r="Q7" s="18"/>
      <c r="R7" s="18"/>
      <c r="S7" s="19" t="str">
        <f t="shared" si="4"/>
        <v/>
      </c>
      <c r="T7" s="20">
        <f t="shared" si="2"/>
        <v>10600</v>
      </c>
      <c r="U7" s="21">
        <f>IF($J7="","",ROUND(($J7-35000)/1000,0))</f>
        <v>25</v>
      </c>
      <c r="V7" s="22">
        <f>IF($O7="","",ROUND(($O7-35000)/1000,0))</f>
        <v>0</v>
      </c>
      <c r="W7" s="23">
        <f>IF($T7="","",ROUND(($T7-35000)/1000,0))</f>
        <v>-24</v>
      </c>
    </row>
    <row r="8" spans="1:23" x14ac:dyDescent="0.4">
      <c r="A8" s="33" t="str">
        <f t="shared" si="5"/>
        <v>東</v>
      </c>
      <c r="B8" s="34">
        <f t="shared" si="6"/>
        <v>2</v>
      </c>
      <c r="C8" s="34">
        <f t="shared" si="7"/>
        <v>0</v>
      </c>
      <c r="D8" s="34">
        <f t="shared" si="8"/>
        <v>0</v>
      </c>
      <c r="E8" s="6" t="s">
        <v>26</v>
      </c>
      <c r="F8" s="17" t="s">
        <v>23</v>
      </c>
      <c r="G8" s="18">
        <v>-12000</v>
      </c>
      <c r="H8" s="18"/>
      <c r="I8" s="19">
        <f t="shared" si="9"/>
        <v>0</v>
      </c>
      <c r="J8" s="20">
        <f t="shared" si="0"/>
        <v>47800</v>
      </c>
      <c r="K8" s="17" t="s">
        <v>22</v>
      </c>
      <c r="L8" s="18">
        <v>24000</v>
      </c>
      <c r="M8" s="18"/>
      <c r="N8" s="19">
        <f t="shared" si="3"/>
        <v>0</v>
      </c>
      <c r="O8" s="20">
        <f t="shared" si="1"/>
        <v>58600</v>
      </c>
      <c r="P8" s="17" t="s">
        <v>23</v>
      </c>
      <c r="Q8" s="18">
        <v>-12000</v>
      </c>
      <c r="R8" s="18"/>
      <c r="S8" s="19">
        <f t="shared" si="4"/>
        <v>0</v>
      </c>
      <c r="T8" s="20">
        <f t="shared" si="2"/>
        <v>-1400</v>
      </c>
      <c r="U8" s="21">
        <f>IF($J8="","",ROUND(($J8-35000)/1000,0))</f>
        <v>13</v>
      </c>
      <c r="V8" s="22">
        <f>IF($O8="","",ROUND(($O8-35000)/1000,0))</f>
        <v>24</v>
      </c>
      <c r="W8" s="23">
        <f>IF($T8="","",ROUND(($T8-35000)/1000,0))</f>
        <v>-36</v>
      </c>
    </row>
    <row r="9" spans="1:23" x14ac:dyDescent="0.4">
      <c r="A9" s="33" t="str">
        <f t="shared" si="5"/>
        <v/>
      </c>
      <c r="B9" s="34" t="str">
        <f t="shared" si="6"/>
        <v/>
      </c>
      <c r="C9" s="34" t="str">
        <f t="shared" si="7"/>
        <v/>
      </c>
      <c r="D9" s="34" t="str">
        <f t="shared" si="8"/>
        <v/>
      </c>
      <c r="E9" s="6"/>
      <c r="F9" s="17"/>
      <c r="G9" s="18"/>
      <c r="H9" s="18"/>
      <c r="I9" s="19" t="str">
        <f t="shared" si="9"/>
        <v/>
      </c>
      <c r="J9" s="20" t="str">
        <f t="shared" si="0"/>
        <v/>
      </c>
      <c r="K9" s="17"/>
      <c r="L9" s="18"/>
      <c r="M9" s="18"/>
      <c r="N9" s="19" t="str">
        <f t="shared" si="3"/>
        <v/>
      </c>
      <c r="O9" s="20" t="str">
        <f t="shared" si="1"/>
        <v/>
      </c>
      <c r="P9" s="17"/>
      <c r="Q9" s="18"/>
      <c r="R9" s="18"/>
      <c r="S9" s="19" t="str">
        <f t="shared" si="4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5"/>
        <v/>
      </c>
      <c r="B10" s="34" t="str">
        <f t="shared" si="6"/>
        <v/>
      </c>
      <c r="C10" s="34" t="str">
        <f t="shared" si="7"/>
        <v/>
      </c>
      <c r="D10" s="34" t="str">
        <f t="shared" si="8"/>
        <v/>
      </c>
      <c r="E10" s="6"/>
      <c r="F10" s="17"/>
      <c r="G10" s="18"/>
      <c r="H10" s="18"/>
      <c r="I10" s="19" t="str">
        <f t="shared" si="9"/>
        <v/>
      </c>
      <c r="J10" s="20" t="str">
        <f t="shared" si="0"/>
        <v/>
      </c>
      <c r="K10" s="17"/>
      <c r="L10" s="18"/>
      <c r="M10" s="18"/>
      <c r="N10" s="19" t="str">
        <f t="shared" si="3"/>
        <v/>
      </c>
      <c r="O10" s="20" t="str">
        <f t="shared" si="1"/>
        <v/>
      </c>
      <c r="P10" s="17"/>
      <c r="Q10" s="18"/>
      <c r="R10" s="18"/>
      <c r="S10" s="19" t="str">
        <f t="shared" si="4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0A227740-4035-4020-93B4-2D1F5CB10710}">
      <formula1>"ロン,ツモ,放銃,ツモ支払,流局,チョンボ"</formula1>
    </dataValidation>
    <dataValidation type="list" allowBlank="1" showErrorMessage="1" sqref="E4:E30" xr:uid="{B782F06F-2F6F-4027-87E7-FAD3E608AD2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2018-12-01T11:35:09Z</dcterms:modified>
</cp:coreProperties>
</file>