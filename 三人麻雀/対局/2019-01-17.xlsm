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E3F584F-0F1C-4B7B-8501-7747055536B6}" xr6:coauthVersionLast="31" xr6:coauthVersionMax="31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20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C10" i="20"/>
  <c r="D9" i="20"/>
  <c r="C9" i="20"/>
  <c r="D8" i="20"/>
  <c r="D7" i="20"/>
  <c r="D6" i="20"/>
  <c r="C6" i="20"/>
  <c r="C7" i="20" s="1"/>
  <c r="C8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C11" i="20" l="1"/>
  <c r="A5" i="20"/>
  <c r="V5" i="20"/>
  <c r="B7" i="20"/>
  <c r="V6" i="20"/>
  <c r="O7" i="20"/>
  <c r="T5" i="20"/>
  <c r="A6" i="20"/>
  <c r="J6" i="20"/>
  <c r="A7" i="20" l="1"/>
  <c r="O8" i="20"/>
  <c r="V7" i="20"/>
  <c r="U6" i="20"/>
  <c r="J7" i="20"/>
  <c r="T6" i="20"/>
  <c r="W5" i="20"/>
  <c r="B8" i="20"/>
  <c r="A8" i="20" s="1"/>
  <c r="U7" i="20" l="1"/>
  <c r="J8" i="20"/>
  <c r="B9" i="20"/>
  <c r="A9" i="20" s="1"/>
  <c r="W6" i="20"/>
  <c r="T7" i="20"/>
  <c r="V8" i="20"/>
  <c r="O9" i="20"/>
  <c r="O10" i="20" l="1"/>
  <c r="V9" i="20"/>
  <c r="B10" i="20"/>
  <c r="A10" i="20" s="1"/>
  <c r="W7" i="20"/>
  <c r="T8" i="20"/>
  <c r="U8" i="20"/>
  <c r="J9" i="20"/>
  <c r="U9" i="20" l="1"/>
  <c r="J10" i="20"/>
  <c r="B11" i="20"/>
  <c r="A11" i="20"/>
  <c r="W8" i="20"/>
  <c r="T9" i="20"/>
  <c r="V10" i="20"/>
  <c r="O11" i="20"/>
  <c r="O12" i="20" l="1"/>
  <c r="V11" i="20"/>
  <c r="B12" i="20"/>
  <c r="A12" i="20" s="1"/>
  <c r="T10" i="20"/>
  <c r="W9" i="20"/>
  <c r="U10" i="20"/>
  <c r="J11" i="20"/>
  <c r="B13" i="20" l="1"/>
  <c r="A13" i="20"/>
  <c r="U11" i="20"/>
  <c r="J12" i="20"/>
  <c r="W10" i="20"/>
  <c r="T11" i="20"/>
  <c r="V12" i="20"/>
  <c r="O13" i="20"/>
  <c r="V13" i="20" s="1"/>
  <c r="U12" i="20" l="1"/>
  <c r="J13" i="20"/>
  <c r="U13" i="20" s="1"/>
  <c r="W11" i="20"/>
  <c r="T12" i="20"/>
  <c r="W12" i="20" l="1"/>
  <c r="T13" i="20"/>
  <c r="W13" i="20" s="1"/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T12" i="18"/>
  <c r="W12" i="18" s="1"/>
  <c r="O12" i="18"/>
  <c r="V12" i="18" s="1"/>
  <c r="J12" i="18"/>
  <c r="U12" i="18" s="1"/>
  <c r="D12" i="18"/>
  <c r="C12" i="18"/>
  <c r="B12" i="18"/>
  <c r="A12" i="18" s="1"/>
  <c r="D11" i="18"/>
  <c r="C11" i="18"/>
  <c r="D10" i="18"/>
  <c r="D9" i="18"/>
  <c r="D8" i="18"/>
  <c r="C8" i="18"/>
  <c r="C9" i="18" s="1"/>
  <c r="C10" i="18" s="1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18" l="1"/>
  <c r="V5" i="18"/>
  <c r="B7" i="18"/>
  <c r="O7" i="18"/>
  <c r="V6" i="18"/>
  <c r="T5" i="18"/>
  <c r="A6" i="18"/>
  <c r="J6" i="18"/>
  <c r="A7" i="18" l="1"/>
  <c r="J7" i="18"/>
  <c r="U6" i="18"/>
  <c r="O8" i="18"/>
  <c r="V7" i="18"/>
  <c r="W5" i="18"/>
  <c r="T6" i="18"/>
  <c r="B8" i="18"/>
  <c r="B9" i="18" l="1"/>
  <c r="A9" i="18" s="1"/>
  <c r="V8" i="18"/>
  <c r="O9" i="18"/>
  <c r="A8" i="18"/>
  <c r="W6" i="18"/>
  <c r="T7" i="18"/>
  <c r="U7" i="18"/>
  <c r="J8" i="18"/>
  <c r="W7" i="18" l="1"/>
  <c r="T8" i="18"/>
  <c r="O10" i="18"/>
  <c r="V9" i="18"/>
  <c r="J9" i="18"/>
  <c r="U8" i="18"/>
  <c r="B10" i="18"/>
  <c r="A10" i="18" s="1"/>
  <c r="B11" i="18" l="1"/>
  <c r="A11" i="18"/>
  <c r="V10" i="18"/>
  <c r="O11" i="18"/>
  <c r="V11" i="18" s="1"/>
  <c r="W8" i="18"/>
  <c r="T9" i="18"/>
  <c r="U9" i="18"/>
  <c r="J10" i="18"/>
  <c r="U10" i="18" l="1"/>
  <c r="J11" i="18"/>
  <c r="U11" i="18" s="1"/>
  <c r="T10" i="18"/>
  <c r="W9" i="18"/>
  <c r="W10" i="18" l="1"/>
  <c r="T11" i="18"/>
  <c r="W11" i="18" s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D10" i="17"/>
  <c r="C10" i="17"/>
  <c r="C9" i="17"/>
  <c r="D8" i="17"/>
  <c r="D9" i="17" s="1"/>
  <c r="C8" i="17"/>
  <c r="D7" i="17"/>
  <c r="C7" i="17"/>
  <c r="B7" i="17"/>
  <c r="B8" i="17" s="1"/>
  <c r="T6" i="17"/>
  <c r="W6" i="17" s="1"/>
  <c r="D6" i="17"/>
  <c r="C6" i="17"/>
  <c r="B6" i="17"/>
  <c r="T5" i="17"/>
  <c r="W5" i="17" s="1"/>
  <c r="O5" i="17"/>
  <c r="O6" i="17" s="1"/>
  <c r="J5" i="17"/>
  <c r="U5" i="17" s="1"/>
  <c r="D5" i="17"/>
  <c r="C5" i="17"/>
  <c r="B5" i="17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6" i="17" l="1"/>
  <c r="V5" i="17"/>
  <c r="V6" i="17"/>
  <c r="O7" i="17"/>
  <c r="B9" i="17"/>
  <c r="J6" i="17"/>
  <c r="T7" i="17"/>
  <c r="A8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D12" i="16"/>
  <c r="D13" i="16" s="1"/>
  <c r="C12" i="16"/>
  <c r="C13" i="16" s="1"/>
  <c r="C14" i="16" s="1"/>
  <c r="D11" i="16"/>
  <c r="C11" i="16"/>
  <c r="D10" i="16"/>
  <c r="C10" i="16"/>
  <c r="D9" i="16"/>
  <c r="C9" i="16"/>
  <c r="D8" i="16"/>
  <c r="C8" i="16"/>
  <c r="D6" i="16"/>
  <c r="D7" i="16" s="1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9" i="17" l="1"/>
  <c r="A7" i="17"/>
  <c r="B10" i="17"/>
  <c r="A10" i="17"/>
  <c r="W7" i="17"/>
  <c r="T8" i="17"/>
  <c r="O8" i="17"/>
  <c r="V7" i="17"/>
  <c r="U6" i="17"/>
  <c r="J7" i="17"/>
  <c r="V5" i="16"/>
  <c r="B7" i="16"/>
  <c r="O7" i="16"/>
  <c r="V6" i="16"/>
  <c r="T5" i="16"/>
  <c r="A6" i="16"/>
  <c r="J6" i="16"/>
  <c r="W3" i="1"/>
  <c r="V3" i="1"/>
  <c r="U3" i="1"/>
  <c r="V8" i="17" l="1"/>
  <c r="O9" i="17"/>
  <c r="U7" i="17"/>
  <c r="J8" i="17"/>
  <c r="W8" i="17"/>
  <c r="T9" i="17"/>
  <c r="A7" i="16"/>
  <c r="U6" i="16"/>
  <c r="J7" i="16"/>
  <c r="O8" i="16"/>
  <c r="V7" i="16"/>
  <c r="W5" i="16"/>
  <c r="T6" i="16"/>
  <c r="B8" i="16"/>
  <c r="B5" i="1"/>
  <c r="A5" i="1" s="1"/>
  <c r="D6" i="1"/>
  <c r="C6" i="1"/>
  <c r="B6" i="1"/>
  <c r="A6" i="1" s="1"/>
  <c r="D5" i="1"/>
  <c r="C5" i="1"/>
  <c r="W9" i="17" l="1"/>
  <c r="T10" i="17"/>
  <c r="O10" i="17"/>
  <c r="V9" i="17"/>
  <c r="U8" i="17"/>
  <c r="J9" i="17"/>
  <c r="B9" i="16"/>
  <c r="V8" i="16"/>
  <c r="O9" i="16"/>
  <c r="U7" i="16"/>
  <c r="J8" i="16"/>
  <c r="A8" i="16"/>
  <c r="W6" i="16"/>
  <c r="T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V10" i="17" l="1"/>
  <c r="W10" i="17"/>
  <c r="U9" i="17"/>
  <c r="J10" i="17"/>
  <c r="A9" i="16"/>
  <c r="O10" i="16"/>
  <c r="V9" i="16"/>
  <c r="J9" i="16"/>
  <c r="U8" i="16"/>
  <c r="W7" i="16"/>
  <c r="T8" i="16"/>
  <c r="B10" i="16"/>
  <c r="A10" i="16" s="1"/>
  <c r="Y1" i="1"/>
  <c r="U10" i="17" l="1"/>
  <c r="W8" i="16"/>
  <c r="T9" i="16"/>
  <c r="B11" i="16"/>
  <c r="A11" i="16" s="1"/>
  <c r="U9" i="16"/>
  <c r="J10" i="16"/>
  <c r="V10" i="16"/>
  <c r="O11" i="16"/>
  <c r="BO1" i="1"/>
  <c r="AT1" i="1"/>
  <c r="O12" i="16" l="1"/>
  <c r="V11" i="16"/>
  <c r="U10" i="16"/>
  <c r="J11" i="16"/>
  <c r="B12" i="16"/>
  <c r="A12" i="16"/>
  <c r="T10" i="16"/>
  <c r="W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11" i="16" l="1"/>
  <c r="J12" i="16"/>
  <c r="W10" i="16"/>
  <c r="T11" i="16"/>
  <c r="B13" i="16"/>
  <c r="V12" i="16"/>
  <c r="O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W11" i="16"/>
  <c r="B14" i="16"/>
  <c r="A14" i="16"/>
  <c r="O14" i="16"/>
  <c r="V14" i="16" s="1"/>
  <c r="V13" i="16"/>
  <c r="A13" i="16"/>
  <c r="U12" i="16"/>
  <c r="J13" i="16"/>
  <c r="W2" i="1"/>
  <c r="V2" i="1"/>
  <c r="U2" i="1"/>
  <c r="U13" i="16" l="1"/>
  <c r="J14" i="16"/>
  <c r="U14" i="16" s="1"/>
  <c r="W12" i="16"/>
  <c r="T13" i="16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T14" i="16" l="1"/>
  <c r="W14" i="16" s="1"/>
  <c r="W13" i="16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<sst xmlns="http://schemas.openxmlformats.org/spreadsheetml/2006/main" count="986" uniqueCount="157">
  <si>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</si>
  <si>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</si>
  <si>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</si>
  <si>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</si>
  <si>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</si>
  <si>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</si>
  <si>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</si>
  <si>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</si>
  <si>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</si>
  <si>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</si>
  <si>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</si>
  <si>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</si>
  <si>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</si>
  <si>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</si>
  <si>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</si>
  <si>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</si>
  <si>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</si>
  <si>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</si>
  <si>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</si>
  <si>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</si>
  <si>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</si>
  <si>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</si>
  <si>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</si>
  <si>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</si>
  <si>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</si>
  <si>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</si>
  <si>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</si>
  <si>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</si>
  <si>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</si>
  <si>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</si>
  <si>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</si>
  <si>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</si>
  <si>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</si>
  <si>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</si>
  <si>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</si>
  <si>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</si>
  <si>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</si>
  <si>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</si>
  <si>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</si>
  <si>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</si>
  <si>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</si>
  <si>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</si>
  <si>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</si>
  <si>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</si>
  <si>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</si>
  <si>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</si>
  <si>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</si>
  <si>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</si>
  <si>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</si>
  <si>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</si>
  <si>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</si>
  <si>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</si>
  <si>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</si>
  <si>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</si>
  <si>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</si>
  <si>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</si>
  <si>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</si>
  <si>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</si>
  <si>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</si>
  <si>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</si>
  <si>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</si>
  <si>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</si>
  <si>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</si>
  <si>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</si>
  <si>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</si>
  <si>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</si>
  <si>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</si>
  <si>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</si>
  <si>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</si>
  <si>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</si>
  <si>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</si>
  <si>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</si>
  <si>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</si>
  <si>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</si>
  <si>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</si>
  <si>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</si>
  <si>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</si>
  <si>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</si>
  <si>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</si>
  <si>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</si>
  <si>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</si>
  <si>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</si>
  <si>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</si>
  <si>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</si>
  <si>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</si>
  <si>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</si>
  <si>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</si>
  <si>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</si>
  <si>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</si>
  <si>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</si>
  <si>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</si>
  <si>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</si>
  <si>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</si>
  <si>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</si>
  <si>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</si>
  <si>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</si>
  <si>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</si>
  <si>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</si>
  <si>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</si>
  <si>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</si>
  <si>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</si>
  <si>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</si>
  <si>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</si>
  <si>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</si>
  <si>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</si>
  <si>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</si>
  <si>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</si>
  <si>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</si>
  <si>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</si>
  <si>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</si>
  <si>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</si>
  <si>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</si>
  <si>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</si>
  <si>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</si>
  <si>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</si>
  <si>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</si>
  <si>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</si>
  <si>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</si>
  <si>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</si>
  <si>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</si>
  <si>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</si>
  <si>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</si>
  <si>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</si>
  <si>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</si>
  <si>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</si>
  <si>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</si>
  <si>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</si>
  <si>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</si>
  <si>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</si>
  <si>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</si>
  <si>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</si>
  <si>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</si>
  <si>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</si>
  <si>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</si>
  <si>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</si>
  <si>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</si>
  <si>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</si>
  <si>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</si>
  <si>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</si>
  <si>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</si>
  <si>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</si>
  <si>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</si>
  <si>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</si>
  <si>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01</t>
  </si>
  <si>
    <t>*</t>
  </si>
  <si>
    <t>N</t>
  </si>
  <si>
    <t>T</t>
  </si>
  <si>
    <t>流局</t>
    <phoneticPr fontId="1"/>
  </si>
  <si>
    <t>ツモ支払</t>
  </si>
  <si>
    <t>ツモ</t>
  </si>
  <si>
    <t>02</t>
  </si>
  <si>
    <t>たかの</t>
  </si>
  <si>
    <t>たかの</t>
    <phoneticPr fontId="1"/>
  </si>
  <si>
    <t>流局</t>
    <phoneticPr fontId="1"/>
  </si>
  <si>
    <t>りくと</t>
  </si>
  <si>
    <t>りくと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</si>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</sst>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-2600</v>
      </c>
      <c r="M4" s="9"/>
      <c r="N4" s="55">
        <v>0</v>
      </c>
      <c r="O4" s="21">
        <f>IF(COUNTA($F4,$K4,$P4)&gt;0,O3+SUM(L4:N4),"")</f>
        <v>32400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0">
        <f t="shared" ref="U4:U30" si="0">IF($J4="","",ROUND(($J4-$J$3)/1000,1))</f>
        <v>0</v>
      </c>
      <c r="V4" s="61">
        <f t="shared" ref="V4:V30" si="1">IF($O4="","",ROUND(($O4-$O$3)/1000,1))</f>
        <v>-2.6</v>
      </c>
      <c r="W4" s="62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142</v>
      </c>
      <c r="L5" s="9">
        <v>24000</v>
      </c>
      <c r="M5" s="9"/>
      <c r="N5" s="55">
        <v>0</v>
      </c>
      <c r="O5" s="21">
        <f t="shared" ref="O5:O30" si="7">IF(COUNTA($F5,$K5,$P5)&gt;0,O4+SUM(L5:N5),"")</f>
        <v>56400</v>
      </c>
      <c r="P5" s="8" t="s">
        <v>141</v>
      </c>
      <c r="Q5" s="9">
        <v>-24000</v>
      </c>
      <c r="R5" s="9"/>
      <c r="S5" s="55">
        <v>0</v>
      </c>
      <c r="T5" s="21">
        <f t="shared" ref="T5:T30" si="8">IF(COUNTA($F5,$K5,$P5)&gt;0,T4+SUM(Q5:S5),"")</f>
        <v>13600</v>
      </c>
      <c r="U5" s="60">
        <f t="shared" si="0"/>
        <v>0</v>
      </c>
      <c r="V5" s="61">
        <f t="shared" si="1"/>
        <v>21.4</v>
      </c>
      <c r="W5" s="62">
        <f t="shared" si="2"/>
        <v>-21.4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8</v>
      </c>
      <c r="AY5" s="36" t="s">
        <v>144</v>
      </c>
      <c r="AZ5" s="47" t="s">
        <v>143</v>
      </c>
      <c r="BA5" s="48" t="s">
        <v>82</v>
      </c>
      <c r="BB5" s="48" t="s">
        <v>81</v>
      </c>
      <c r="BC5" s="48" t="s">
        <v>81</v>
      </c>
      <c r="BD5" s="48" t="s">
        <v>80</v>
      </c>
      <c r="BE5" s="48" t="s">
        <v>93</v>
      </c>
      <c r="BF5" s="48" t="s">
        <v>84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147</v>
      </c>
      <c r="G6" s="9">
        <v>-1500</v>
      </c>
      <c r="H6" s="9"/>
      <c r="I6" s="55"/>
      <c r="J6" s="21">
        <f t="shared" si="6"/>
        <v>33500</v>
      </c>
      <c r="K6" s="8" t="s">
        <v>147</v>
      </c>
      <c r="L6" s="9">
        <v>3000</v>
      </c>
      <c r="M6" s="9">
        <v>-1000</v>
      </c>
      <c r="N6" s="55"/>
      <c r="O6" s="21">
        <f t="shared" si="7"/>
        <v>58400</v>
      </c>
      <c r="P6" s="8" t="s">
        <v>147</v>
      </c>
      <c r="Q6" s="9">
        <v>-1500</v>
      </c>
      <c r="R6" s="9"/>
      <c r="S6" s="55"/>
      <c r="T6" s="21">
        <f t="shared" si="8"/>
        <v>12100</v>
      </c>
      <c r="U6" s="60">
        <f t="shared" si="0"/>
        <v>-1.5</v>
      </c>
      <c r="V6" s="61">
        <f t="shared" si="1"/>
        <v>23.4</v>
      </c>
      <c r="W6" s="62">
        <f t="shared" si="2"/>
        <v>-22.9</v>
      </c>
      <c r="Y6" s="8" t="s">
        <v>145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146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1</v>
      </c>
      <c r="E7" s="4" t="s">
        <v>137</v>
      </c>
      <c r="F7" s="8" t="s">
        <v>141</v>
      </c>
      <c r="G7" s="9">
        <v>-1000</v>
      </c>
      <c r="H7" s="9"/>
      <c r="I7" s="55">
        <v>-2000</v>
      </c>
      <c r="J7" s="21">
        <f t="shared" si="6"/>
        <v>30500</v>
      </c>
      <c r="K7" s="8"/>
      <c r="L7" s="9"/>
      <c r="M7" s="9"/>
      <c r="N7" s="55"/>
      <c r="O7" s="21">
        <f t="shared" si="7"/>
        <v>58400</v>
      </c>
      <c r="P7" s="8" t="s">
        <v>142</v>
      </c>
      <c r="Q7" s="9">
        <v>1000</v>
      </c>
      <c r="R7" s="9">
        <v>1000</v>
      </c>
      <c r="S7" s="55">
        <v>2000</v>
      </c>
      <c r="T7" s="21">
        <f t="shared" si="8"/>
        <v>16100</v>
      </c>
      <c r="U7" s="60">
        <f t="shared" si="0"/>
        <v>-4.5</v>
      </c>
      <c r="V7" s="61">
        <f t="shared" si="1"/>
        <v>23.4</v>
      </c>
      <c r="W7" s="62">
        <f t="shared" si="2"/>
        <v>-18.899999999999999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1</v>
      </c>
      <c r="BT7" s="36">
        <v>30</v>
      </c>
      <c r="BU7" s="47" t="s">
        <v>87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148</v>
      </c>
      <c r="G8" s="9">
        <v>-4500</v>
      </c>
      <c r="H8" s="9"/>
      <c r="I8" s="55">
        <v>0</v>
      </c>
      <c r="J8" s="21">
        <f t="shared" si="6"/>
        <v>26000</v>
      </c>
      <c r="K8" s="8" t="s">
        <v>149</v>
      </c>
      <c r="L8" s="9">
        <v>12000</v>
      </c>
      <c r="M8" s="9"/>
      <c r="N8" s="55">
        <v>0</v>
      </c>
      <c r="O8" s="21">
        <f t="shared" si="7"/>
        <v>70400</v>
      </c>
      <c r="P8" s="8" t="s">
        <v>148</v>
      </c>
      <c r="Q8" s="9">
        <v>-7500</v>
      </c>
      <c r="R8" s="9"/>
      <c r="S8" s="55">
        <v>0</v>
      </c>
      <c r="T8" s="21">
        <f t="shared" si="8"/>
        <v>8600</v>
      </c>
      <c r="U8" s="60">
        <f t="shared" si="0"/>
        <v>-9</v>
      </c>
      <c r="V8" s="61">
        <f t="shared" si="1"/>
        <v>35.4</v>
      </c>
      <c r="W8" s="62">
        <f t="shared" si="2"/>
        <v>-26.4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80</v>
      </c>
      <c r="BE8" s="48" t="s">
        <v>80</v>
      </c>
      <c r="BF8" s="48" t="s">
        <v>81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135</v>
      </c>
      <c r="F9" s="8"/>
      <c r="G9" s="9"/>
      <c r="H9" s="9">
        <v>-1000</v>
      </c>
      <c r="I9" s="55"/>
      <c r="J9" s="21">
        <f t="shared" si="6"/>
        <v>25000</v>
      </c>
      <c r="K9" s="8" t="s">
        <v>142</v>
      </c>
      <c r="L9" s="9">
        <v>3900</v>
      </c>
      <c r="M9" s="9">
        <v>1000</v>
      </c>
      <c r="N9" s="55">
        <v>0</v>
      </c>
      <c r="O9" s="21">
        <f t="shared" si="7"/>
        <v>75300</v>
      </c>
      <c r="P9" s="8" t="s">
        <v>141</v>
      </c>
      <c r="Q9" s="9">
        <v>-3900</v>
      </c>
      <c r="R9" s="9"/>
      <c r="S9" s="55">
        <v>0</v>
      </c>
      <c r="T9" s="21">
        <f t="shared" si="8"/>
        <v>4700</v>
      </c>
      <c r="U9" s="60">
        <f t="shared" si="0"/>
        <v>-10</v>
      </c>
      <c r="V9" s="61">
        <f t="shared" si="1"/>
        <v>40.299999999999997</v>
      </c>
      <c r="W9" s="62">
        <f t="shared" si="2"/>
        <v>-30.3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3</v>
      </c>
      <c r="AY9" s="36">
        <v>30</v>
      </c>
      <c r="AZ9" s="47" t="s">
        <v>85</v>
      </c>
      <c r="BA9" s="48" t="s">
        <v>82</v>
      </c>
      <c r="BB9" s="48" t="s">
        <v>84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141</v>
      </c>
      <c r="G10" s="9">
        <v>-8000</v>
      </c>
      <c r="H10" s="9">
        <v>-1000</v>
      </c>
      <c r="I10" s="55">
        <v>0</v>
      </c>
      <c r="J10" s="21">
        <f t="shared" si="6"/>
        <v>16000</v>
      </c>
      <c r="K10" s="8"/>
      <c r="L10" s="9"/>
      <c r="M10" s="9"/>
      <c r="N10" s="55"/>
      <c r="O10" s="21">
        <f t="shared" si="7"/>
        <v>75300</v>
      </c>
      <c r="P10" s="8" t="s">
        <v>142</v>
      </c>
      <c r="Q10" s="9">
        <v>8000</v>
      </c>
      <c r="R10" s="9">
        <v>1000</v>
      </c>
      <c r="S10" s="55">
        <v>0</v>
      </c>
      <c r="T10" s="21">
        <f t="shared" si="8"/>
        <v>13700</v>
      </c>
      <c r="U10" s="60">
        <f t="shared" si="0"/>
        <v>-19</v>
      </c>
      <c r="V10" s="61">
        <f t="shared" si="1"/>
        <v>40.299999999999997</v>
      </c>
      <c r="W10" s="62">
        <f t="shared" si="2"/>
        <v>-21.3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40</v>
      </c>
      <c r="BU10" s="47" t="s">
        <v>87</v>
      </c>
      <c r="BV10" s="48" t="s">
        <v>82</v>
      </c>
      <c r="BW10" s="48" t="s">
        <v>82</v>
      </c>
      <c r="BX10" s="48" t="s">
        <v>80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148</v>
      </c>
      <c r="G11" s="9">
        <v>-3000</v>
      </c>
      <c r="H11" s="9"/>
      <c r="I11" s="55">
        <v>0</v>
      </c>
      <c r="J11" s="21">
        <f t="shared" si="6"/>
        <v>13000</v>
      </c>
      <c r="K11" s="8" t="s">
        <v>148</v>
      </c>
      <c r="L11" s="9">
        <v>-3000</v>
      </c>
      <c r="M11" s="9"/>
      <c r="N11" s="55">
        <v>0</v>
      </c>
      <c r="O11" s="21">
        <f t="shared" si="7"/>
        <v>72300</v>
      </c>
      <c r="P11" s="8" t="s">
        <v>149</v>
      </c>
      <c r="Q11" s="9">
        <v>6000</v>
      </c>
      <c r="R11" s="9"/>
      <c r="S11" s="55">
        <v>0</v>
      </c>
      <c r="T11" s="21">
        <f t="shared" si="8"/>
        <v>19700</v>
      </c>
      <c r="U11" s="60">
        <f t="shared" si="0"/>
        <v>-22</v>
      </c>
      <c r="V11" s="61">
        <f t="shared" si="1"/>
        <v>37.299999999999997</v>
      </c>
      <c r="W11" s="62">
        <f t="shared" si="2"/>
        <v>-15.3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3</v>
      </c>
      <c r="BT11" s="36">
        <v>30</v>
      </c>
      <c r="BU11" s="47" t="s">
        <v>87</v>
      </c>
      <c r="BV11" s="48" t="s">
        <v>87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1</v>
      </c>
      <c r="D12" s="18">
        <f t="shared" si="5"/>
        <v>0</v>
      </c>
      <c r="E12" s="4" t="s">
        <v>139</v>
      </c>
      <c r="F12" s="8" t="s">
        <v>147</v>
      </c>
      <c r="G12" s="9">
        <v>-1500</v>
      </c>
      <c r="H12" s="9"/>
      <c r="I12" s="55"/>
      <c r="J12" s="21">
        <f t="shared" si="6"/>
        <v>11500</v>
      </c>
      <c r="K12" s="8" t="s">
        <v>147</v>
      </c>
      <c r="L12" s="9">
        <v>-1500</v>
      </c>
      <c r="M12" s="9"/>
      <c r="N12" s="55"/>
      <c r="O12" s="21">
        <f t="shared" si="7"/>
        <v>70800</v>
      </c>
      <c r="P12" s="8" t="s">
        <v>147</v>
      </c>
      <c r="Q12" s="9">
        <v>3000</v>
      </c>
      <c r="R12" s="9"/>
      <c r="S12" s="55"/>
      <c r="T12" s="21">
        <f t="shared" si="8"/>
        <v>22700</v>
      </c>
      <c r="U12" s="60">
        <f t="shared" si="0"/>
        <v>-23.5</v>
      </c>
      <c r="V12" s="61">
        <f t="shared" si="1"/>
        <v>35.799999999999997</v>
      </c>
      <c r="W12" s="62">
        <f t="shared" si="2"/>
        <v>-12.3</v>
      </c>
      <c r="Y12" s="8" t="s">
        <v>145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145</v>
      </c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146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9"/>
        <v>3</v>
      </c>
      <c r="C13" s="18">
        <f t="shared" si="11"/>
        <v>2</v>
      </c>
      <c r="D13" s="18">
        <f t="shared" si="5"/>
        <v>0</v>
      </c>
      <c r="E13" s="4" t="s">
        <v>139</v>
      </c>
      <c r="F13" s="8" t="s">
        <v>148</v>
      </c>
      <c r="G13" s="9">
        <v>-6000</v>
      </c>
      <c r="H13" s="9"/>
      <c r="I13" s="55">
        <v>-1000</v>
      </c>
      <c r="J13" s="21">
        <f t="shared" si="6"/>
        <v>4500</v>
      </c>
      <c r="K13" s="8" t="s">
        <v>148</v>
      </c>
      <c r="L13" s="9">
        <v>-6000</v>
      </c>
      <c r="M13" s="9"/>
      <c r="N13" s="55">
        <v>-1000</v>
      </c>
      <c r="O13" s="21">
        <f t="shared" si="7"/>
        <v>63800</v>
      </c>
      <c r="P13" s="8" t="s">
        <v>149</v>
      </c>
      <c r="Q13" s="9">
        <v>12000</v>
      </c>
      <c r="R13" s="9"/>
      <c r="S13" s="55">
        <v>2000</v>
      </c>
      <c r="T13" s="21">
        <f t="shared" si="8"/>
        <v>36700</v>
      </c>
      <c r="U13" s="60">
        <f t="shared" si="0"/>
        <v>-30.5</v>
      </c>
      <c r="V13" s="61">
        <f t="shared" si="1"/>
        <v>28.8</v>
      </c>
      <c r="W13" s="62">
        <f t="shared" si="2"/>
        <v>1.7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5</v>
      </c>
      <c r="BT13" s="36" t="s">
        <v>144</v>
      </c>
      <c r="BU13" s="47" t="s">
        <v>143</v>
      </c>
      <c r="BV13" s="48" t="s">
        <v>83</v>
      </c>
      <c r="BW13" s="48" t="s">
        <v>82</v>
      </c>
      <c r="BX13" s="48" t="s">
        <v>82</v>
      </c>
      <c r="BY13" s="48" t="s">
        <v>84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9"/>
        <v>3</v>
      </c>
      <c r="C14" s="18">
        <f t="shared" si="11"/>
        <v>3</v>
      </c>
      <c r="D14" s="18">
        <f t="shared" si="5"/>
        <v>0</v>
      </c>
      <c r="E14" s="4" t="s">
        <v>139</v>
      </c>
      <c r="F14" s="8" t="s">
        <v>142</v>
      </c>
      <c r="G14" s="9">
        <v>8000</v>
      </c>
      <c r="H14" s="9"/>
      <c r="I14" s="55">
        <v>3000</v>
      </c>
      <c r="J14" s="21">
        <f t="shared" si="6"/>
        <v>15500</v>
      </c>
      <c r="K14" s="8" t="s">
        <v>141</v>
      </c>
      <c r="L14" s="9">
        <v>-8000</v>
      </c>
      <c r="M14" s="9"/>
      <c r="N14" s="55">
        <v>-3000</v>
      </c>
      <c r="O14" s="21">
        <f t="shared" si="7"/>
        <v>52800</v>
      </c>
      <c r="P14" s="8"/>
      <c r="Q14" s="9"/>
      <c r="R14" s="9"/>
      <c r="S14" s="55"/>
      <c r="T14" s="21">
        <f t="shared" si="8"/>
        <v>36700</v>
      </c>
      <c r="U14" s="60">
        <f t="shared" si="0"/>
        <v>-19.5</v>
      </c>
      <c r="V14" s="61">
        <f t="shared" si="1"/>
        <v>17.8</v>
      </c>
      <c r="W14" s="62">
        <f t="shared" si="2"/>
        <v>1.7</v>
      </c>
      <c r="Y14" s="8"/>
      <c r="Z14" s="41"/>
      <c r="AA14" s="32">
        <v>1</v>
      </c>
      <c r="AB14" s="32"/>
      <c r="AC14" s="32">
        <v>5</v>
      </c>
      <c r="AD14" s="36" t="s">
        <v>144</v>
      </c>
      <c r="AE14" s="47" t="s">
        <v>143</v>
      </c>
      <c r="AF14" s="48" t="s">
        <v>150</v>
      </c>
      <c r="AG14" s="48" t="s">
        <v>84</v>
      </c>
      <c r="AH14" s="48" t="s">
        <v>82</v>
      </c>
      <c r="AI14" s="48" t="s">
        <v>80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6D78-77FE-4A7B-8588-725F40B3AA45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152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12</v>
      </c>
      <c r="V4" s="61">
        <f t="shared" ref="V4:V30" si="1">IF($O4="","",ROUND(($O4-$O$3)/1000,1))</f>
        <v>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6</v>
      </c>
      <c r="AD4" s="36" t="s">
        <v>144</v>
      </c>
      <c r="AE4" s="47" t="s">
        <v>87</v>
      </c>
      <c r="AF4" s="48" t="s">
        <v>87</v>
      </c>
      <c r="AG4" s="48" t="s">
        <v>82</v>
      </c>
      <c r="AH4" s="48" t="s">
        <v>82</v>
      </c>
      <c r="AI4" s="48" t="s">
        <v>105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153</v>
      </c>
      <c r="G5" s="9">
        <v>0</v>
      </c>
      <c r="H5" s="9">
        <v>-1000</v>
      </c>
      <c r="I5" s="55"/>
      <c r="J5" s="21">
        <f t="shared" ref="J5:J30" si="6">IF(COUNTA($F5,$K5,$P5)&gt;0,J4+SUM(G5:I5),"")</f>
        <v>46000</v>
      </c>
      <c r="K5" s="8" t="s">
        <v>153</v>
      </c>
      <c r="L5" s="9">
        <v>0</v>
      </c>
      <c r="M5" s="9"/>
      <c r="N5" s="55"/>
      <c r="O5" s="21">
        <f t="shared" ref="O5:O30" si="7">IF(COUNTA($F5,$K5,$P5)&gt;0,O4+SUM(L5:N5),"")</f>
        <v>35000</v>
      </c>
      <c r="P5" s="8" t="s">
        <v>153</v>
      </c>
      <c r="Q5" s="9">
        <v>0</v>
      </c>
      <c r="R5" s="9"/>
      <c r="S5" s="55"/>
      <c r="T5" s="21">
        <f t="shared" ref="T5:T30" si="8">IF(COUNTA($F5,$K5,$P5)&gt;0,T4+SUM(Q5:S5),"")</f>
        <v>23000</v>
      </c>
      <c r="U5" s="60">
        <f t="shared" si="0"/>
        <v>11</v>
      </c>
      <c r="V5" s="61">
        <f t="shared" si="1"/>
        <v>0</v>
      </c>
      <c r="W5" s="62">
        <f t="shared" si="2"/>
        <v>-12</v>
      </c>
      <c r="Y5" s="8" t="s">
        <v>146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146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1</v>
      </c>
      <c r="E6" s="4" t="s">
        <v>151</v>
      </c>
      <c r="F6" s="8" t="s">
        <v>149</v>
      </c>
      <c r="G6" s="9">
        <v>6400</v>
      </c>
      <c r="H6" s="9">
        <v>1000</v>
      </c>
      <c r="I6" s="55">
        <v>1000</v>
      </c>
      <c r="J6" s="21">
        <f t="shared" si="6"/>
        <v>54400</v>
      </c>
      <c r="K6" s="8" t="s">
        <v>148</v>
      </c>
      <c r="L6" s="9">
        <v>-2400</v>
      </c>
      <c r="M6" s="9"/>
      <c r="N6" s="55">
        <v>-500</v>
      </c>
      <c r="O6" s="21">
        <f t="shared" si="7"/>
        <v>32100</v>
      </c>
      <c r="P6" s="8" t="s">
        <v>148</v>
      </c>
      <c r="Q6" s="9">
        <v>-4000</v>
      </c>
      <c r="R6" s="9"/>
      <c r="S6" s="55">
        <v>-500</v>
      </c>
      <c r="T6" s="21">
        <f t="shared" si="8"/>
        <v>18500</v>
      </c>
      <c r="U6" s="60">
        <f t="shared" si="0"/>
        <v>19.399999999999999</v>
      </c>
      <c r="V6" s="61">
        <f t="shared" si="1"/>
        <v>-2.9</v>
      </c>
      <c r="W6" s="62">
        <f t="shared" si="2"/>
        <v>-16.5</v>
      </c>
      <c r="Y6" s="8"/>
      <c r="Z6" s="41"/>
      <c r="AA6" s="32">
        <v>1</v>
      </c>
      <c r="AB6" s="32"/>
      <c r="AC6" s="32">
        <v>4</v>
      </c>
      <c r="AD6" s="36">
        <v>25</v>
      </c>
      <c r="AE6" s="47" t="s">
        <v>143</v>
      </c>
      <c r="AF6" s="48" t="s">
        <v>83</v>
      </c>
      <c r="AG6" s="48" t="s">
        <v>102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-3000</v>
      </c>
      <c r="H7" s="9"/>
      <c r="I7" s="55"/>
      <c r="J7" s="21">
        <f t="shared" si="6"/>
        <v>51400</v>
      </c>
      <c r="K7" s="8" t="s">
        <v>153</v>
      </c>
      <c r="L7" s="9">
        <v>1500</v>
      </c>
      <c r="M7" s="9">
        <v>-1000</v>
      </c>
      <c r="N7" s="55"/>
      <c r="O7" s="21">
        <f t="shared" si="7"/>
        <v>32600</v>
      </c>
      <c r="P7" s="8" t="s">
        <v>153</v>
      </c>
      <c r="Q7" s="9">
        <v>1500</v>
      </c>
      <c r="R7" s="9"/>
      <c r="S7" s="55"/>
      <c r="T7" s="21">
        <f t="shared" si="8"/>
        <v>20000</v>
      </c>
      <c r="U7" s="60">
        <f t="shared" si="0"/>
        <v>16.399999999999999</v>
      </c>
      <c r="V7" s="61">
        <f t="shared" si="1"/>
        <v>-2.4</v>
      </c>
      <c r="W7" s="62">
        <f t="shared" si="2"/>
        <v>-15</v>
      </c>
      <c r="Y7" s="8" t="s">
        <v>145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1</v>
      </c>
      <c r="E8" s="4" t="s">
        <v>137</v>
      </c>
      <c r="F8" s="8" t="s">
        <v>153</v>
      </c>
      <c r="G8" s="9">
        <v>0</v>
      </c>
      <c r="H8" s="9"/>
      <c r="I8" s="55"/>
      <c r="J8" s="21">
        <f t="shared" si="6"/>
        <v>51400</v>
      </c>
      <c r="K8" s="8" t="s">
        <v>153</v>
      </c>
      <c r="L8" s="9">
        <v>0</v>
      </c>
      <c r="M8" s="9"/>
      <c r="N8" s="55"/>
      <c r="O8" s="21">
        <f t="shared" si="7"/>
        <v>32600</v>
      </c>
      <c r="P8" s="8" t="s">
        <v>153</v>
      </c>
      <c r="Q8" s="9">
        <v>0</v>
      </c>
      <c r="R8" s="9"/>
      <c r="S8" s="55"/>
      <c r="T8" s="21">
        <f t="shared" si="8"/>
        <v>20000</v>
      </c>
      <c r="U8" s="60">
        <f t="shared" si="0"/>
        <v>16.399999999999999</v>
      </c>
      <c r="V8" s="61">
        <f t="shared" si="1"/>
        <v>-2.4</v>
      </c>
      <c r="W8" s="62">
        <f t="shared" si="2"/>
        <v>-15</v>
      </c>
      <c r="Y8" s="8" t="s">
        <v>145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1</v>
      </c>
      <c r="E9" s="4" t="s">
        <v>151</v>
      </c>
      <c r="F9" s="8" t="s">
        <v>142</v>
      </c>
      <c r="G9" s="9">
        <v>12000</v>
      </c>
      <c r="H9" s="9">
        <v>1000</v>
      </c>
      <c r="I9" s="55">
        <v>0</v>
      </c>
      <c r="J9" s="21">
        <f t="shared" si="6"/>
        <v>64400</v>
      </c>
      <c r="K9" s="8" t="s">
        <v>141</v>
      </c>
      <c r="L9" s="9">
        <v>-12000</v>
      </c>
      <c r="M9" s="9"/>
      <c r="N9" s="55">
        <v>0</v>
      </c>
      <c r="O9" s="21">
        <f t="shared" si="7"/>
        <v>20600</v>
      </c>
      <c r="P9" s="8"/>
      <c r="Q9" s="9"/>
      <c r="R9" s="9"/>
      <c r="S9" s="55"/>
      <c r="T9" s="21">
        <f t="shared" si="8"/>
        <v>20000</v>
      </c>
      <c r="U9" s="60">
        <f t="shared" si="0"/>
        <v>29.4</v>
      </c>
      <c r="V9" s="61">
        <f t="shared" si="1"/>
        <v>-14.4</v>
      </c>
      <c r="W9" s="62">
        <f t="shared" si="2"/>
        <v>-15</v>
      </c>
      <c r="Y9" s="8"/>
      <c r="Z9" s="41"/>
      <c r="AA9" s="32"/>
      <c r="AB9" s="32">
        <v>1</v>
      </c>
      <c r="AC9" s="32">
        <v>7</v>
      </c>
      <c r="AD9" s="36" t="s">
        <v>144</v>
      </c>
      <c r="AE9" s="47" t="s">
        <v>105</v>
      </c>
      <c r="AF9" s="48" t="s">
        <v>82</v>
      </c>
      <c r="AG9" s="48" t="s">
        <v>80</v>
      </c>
      <c r="AH9" s="48" t="s">
        <v>80</v>
      </c>
      <c r="AI9" s="48" t="s">
        <v>80</v>
      </c>
      <c r="AJ9" s="48" t="s">
        <v>80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142</v>
      </c>
      <c r="G10" s="9">
        <v>12000</v>
      </c>
      <c r="H10" s="9"/>
      <c r="I10" s="55">
        <v>0</v>
      </c>
      <c r="J10" s="21">
        <f t="shared" si="6"/>
        <v>76400</v>
      </c>
      <c r="K10" s="8" t="s">
        <v>141</v>
      </c>
      <c r="L10" s="9">
        <v>-12000</v>
      </c>
      <c r="M10" s="9"/>
      <c r="N10" s="55">
        <v>0</v>
      </c>
      <c r="O10" s="21">
        <f t="shared" si="7"/>
        <v>8600</v>
      </c>
      <c r="P10" s="8"/>
      <c r="Q10" s="9"/>
      <c r="R10" s="9"/>
      <c r="S10" s="55"/>
      <c r="T10" s="21">
        <f t="shared" si="8"/>
        <v>20000</v>
      </c>
      <c r="U10" s="60">
        <f t="shared" si="0"/>
        <v>41.4</v>
      </c>
      <c r="V10" s="61">
        <f t="shared" si="1"/>
        <v>-26.4</v>
      </c>
      <c r="W10" s="62">
        <f t="shared" si="2"/>
        <v>-15</v>
      </c>
      <c r="Y10" s="8"/>
      <c r="Z10" s="41"/>
      <c r="AA10" s="32"/>
      <c r="AB10" s="32"/>
      <c r="AC10" s="32">
        <v>4</v>
      </c>
      <c r="AD10" s="36">
        <v>30</v>
      </c>
      <c r="AE10" s="47" t="s">
        <v>84</v>
      </c>
      <c r="AF10" s="48" t="s">
        <v>85</v>
      </c>
      <c r="AG10" s="48" t="s">
        <v>86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6FFF9B4F-C2F0-4431-8894-44F4AC23A84D}">
      <formula1>$U$2:$W$2</formula1>
    </dataValidation>
    <dataValidation type="list" showInputMessage="1" showErrorMessage="1" sqref="K4:K30 P4:P30 F4:F30" xr:uid="{528D4CA8-4B12-4544-A09E-2112088B2BF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584A-B68D-4EEA-A339-478F5D8B917D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155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149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 t="s">
        <v>148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148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8</v>
      </c>
      <c r="V4" s="61">
        <f t="shared" ref="V4:V30" si="1">IF($O4="","",ROUND(($O4-$O$3)/1000,1))</f>
        <v>-5</v>
      </c>
      <c r="W4" s="62">
        <f t="shared" ref="W4:W30" si="2">IF($T4="","",ROUND(($T4-$T$3)/1000,1))</f>
        <v>-3</v>
      </c>
      <c r="Y4" s="8"/>
      <c r="Z4" s="41"/>
      <c r="AA4" s="32"/>
      <c r="AB4" s="32">
        <v>1</v>
      </c>
      <c r="AC4" s="32">
        <v>5</v>
      </c>
      <c r="AD4" s="36" t="s">
        <v>144</v>
      </c>
      <c r="AE4" s="47" t="s">
        <v>105</v>
      </c>
      <c r="AF4" s="48" t="s">
        <v>87</v>
      </c>
      <c r="AG4" s="48" t="s">
        <v>82</v>
      </c>
      <c r="AH4" s="48" t="s">
        <v>80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154</v>
      </c>
      <c r="F5" s="8" t="s">
        <v>142</v>
      </c>
      <c r="G5" s="9">
        <v>8000</v>
      </c>
      <c r="H5" s="9"/>
      <c r="I5" s="55">
        <v>0</v>
      </c>
      <c r="J5" s="21">
        <f t="shared" ref="J5:J30" si="6">IF(COUNTA($F5,$K5,$P5)&gt;0,J4+SUM(G5:I5),"")</f>
        <v>51000</v>
      </c>
      <c r="K5" s="8"/>
      <c r="L5" s="9"/>
      <c r="M5" s="9"/>
      <c r="N5" s="55"/>
      <c r="O5" s="21">
        <f t="shared" ref="O5:O30" si="7">IF(COUNTA($F5,$K5,$P5)&gt;0,O4+SUM(L5:N5),"")</f>
        <v>30000</v>
      </c>
      <c r="P5" s="8" t="s">
        <v>141</v>
      </c>
      <c r="Q5" s="9">
        <v>-8000</v>
      </c>
      <c r="R5" s="9"/>
      <c r="S5" s="55">
        <v>0</v>
      </c>
      <c r="T5" s="21">
        <f t="shared" ref="T5:T30" si="8">IF(COUNTA($F5,$K5,$P5)&gt;0,T4+SUM(Q5:S5),"")</f>
        <v>24000</v>
      </c>
      <c r="U5" s="60">
        <f t="shared" si="0"/>
        <v>16</v>
      </c>
      <c r="V5" s="61">
        <f t="shared" si="1"/>
        <v>-5</v>
      </c>
      <c r="W5" s="62">
        <f t="shared" si="2"/>
        <v>-11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143</v>
      </c>
      <c r="AF5" s="48" t="s">
        <v>80</v>
      </c>
      <c r="AG5" s="48" t="s">
        <v>81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148</v>
      </c>
      <c r="G6" s="9">
        <v>-10000</v>
      </c>
      <c r="H6" s="9">
        <v>-1000</v>
      </c>
      <c r="I6" s="55">
        <v>0</v>
      </c>
      <c r="J6" s="21">
        <f t="shared" si="6"/>
        <v>40000</v>
      </c>
      <c r="K6" s="8" t="s">
        <v>148</v>
      </c>
      <c r="L6" s="9">
        <v>-6000</v>
      </c>
      <c r="M6" s="9"/>
      <c r="N6" s="55">
        <v>0</v>
      </c>
      <c r="O6" s="21">
        <f t="shared" si="7"/>
        <v>24000</v>
      </c>
      <c r="P6" s="8" t="s">
        <v>149</v>
      </c>
      <c r="Q6" s="9">
        <v>16000</v>
      </c>
      <c r="R6" s="9">
        <v>1000</v>
      </c>
      <c r="S6" s="55">
        <v>0</v>
      </c>
      <c r="T6" s="21">
        <f t="shared" si="8"/>
        <v>41000</v>
      </c>
      <c r="U6" s="60">
        <f t="shared" si="0"/>
        <v>5</v>
      </c>
      <c r="V6" s="61">
        <f t="shared" si="1"/>
        <v>-11</v>
      </c>
      <c r="W6" s="62">
        <f t="shared" si="2"/>
        <v>6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8</v>
      </c>
      <c r="BT6" s="36" t="s">
        <v>144</v>
      </c>
      <c r="BU6" s="47" t="s">
        <v>143</v>
      </c>
      <c r="BV6" s="48" t="s">
        <v>83</v>
      </c>
      <c r="BW6" s="48" t="s">
        <v>84</v>
      </c>
      <c r="BX6" s="48" t="s">
        <v>85</v>
      </c>
      <c r="BY6" s="48" t="s">
        <v>80</v>
      </c>
      <c r="BZ6" s="48" t="s">
        <v>80</v>
      </c>
      <c r="CA6" s="48" t="s">
        <v>81</v>
      </c>
      <c r="CB6" s="48" t="s">
        <v>82</v>
      </c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151</v>
      </c>
      <c r="F7" s="8" t="s">
        <v>142</v>
      </c>
      <c r="G7" s="9">
        <v>3900</v>
      </c>
      <c r="H7" s="9">
        <v>2000</v>
      </c>
      <c r="I7" s="55">
        <v>0</v>
      </c>
      <c r="J7" s="21">
        <f t="shared" si="6"/>
        <v>45900</v>
      </c>
      <c r="K7" s="8" t="s">
        <v>141</v>
      </c>
      <c r="L7" s="9">
        <v>-3900</v>
      </c>
      <c r="M7" s="9">
        <v>-1000</v>
      </c>
      <c r="N7" s="55">
        <v>0</v>
      </c>
      <c r="O7" s="21">
        <f t="shared" si="7"/>
        <v>19100</v>
      </c>
      <c r="P7" s="8"/>
      <c r="Q7" s="9"/>
      <c r="R7" s="9">
        <v>-1000</v>
      </c>
      <c r="S7" s="55"/>
      <c r="T7" s="21">
        <f t="shared" si="8"/>
        <v>40000</v>
      </c>
      <c r="U7" s="60">
        <f t="shared" si="0"/>
        <v>10.9</v>
      </c>
      <c r="V7" s="61">
        <f t="shared" si="1"/>
        <v>-15.9</v>
      </c>
      <c r="W7" s="62">
        <f t="shared" si="2"/>
        <v>5</v>
      </c>
      <c r="Y7" s="8"/>
      <c r="Z7" s="41"/>
      <c r="AA7" s="32"/>
      <c r="AB7" s="32">
        <v>1</v>
      </c>
      <c r="AC7" s="32">
        <v>3</v>
      </c>
      <c r="AD7" s="36">
        <v>30</v>
      </c>
      <c r="AE7" s="47" t="s">
        <v>87</v>
      </c>
      <c r="AF7" s="48" t="s">
        <v>80</v>
      </c>
      <c r="AG7" s="48" t="s">
        <v>80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2</v>
      </c>
      <c r="C8" s="18">
        <f t="shared" si="4"/>
        <v>0</v>
      </c>
      <c r="D8" s="18">
        <f t="shared" si="5"/>
        <v>0</v>
      </c>
      <c r="E8" s="4" t="s">
        <v>154</v>
      </c>
      <c r="F8" s="8" t="s">
        <v>148</v>
      </c>
      <c r="G8" s="9">
        <v>-9000</v>
      </c>
      <c r="H8" s="9"/>
      <c r="I8" s="55">
        <v>0</v>
      </c>
      <c r="J8" s="21">
        <f t="shared" si="6"/>
        <v>36900</v>
      </c>
      <c r="K8" s="8" t="s">
        <v>148</v>
      </c>
      <c r="L8" s="9">
        <v>-9000</v>
      </c>
      <c r="M8" s="9"/>
      <c r="N8" s="55">
        <v>0</v>
      </c>
      <c r="O8" s="21">
        <f t="shared" si="7"/>
        <v>10100</v>
      </c>
      <c r="P8" s="8" t="s">
        <v>149</v>
      </c>
      <c r="Q8" s="9">
        <v>18000</v>
      </c>
      <c r="R8" s="9"/>
      <c r="S8" s="55">
        <v>0</v>
      </c>
      <c r="T8" s="21">
        <f t="shared" si="8"/>
        <v>58000</v>
      </c>
      <c r="U8" s="60">
        <f t="shared" si="0"/>
        <v>1.9</v>
      </c>
      <c r="V8" s="61">
        <f t="shared" si="1"/>
        <v>-24.9</v>
      </c>
      <c r="W8" s="62">
        <f t="shared" si="2"/>
        <v>23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144</v>
      </c>
      <c r="BU8" s="47" t="s">
        <v>105</v>
      </c>
      <c r="BV8" s="48" t="s">
        <v>143</v>
      </c>
      <c r="BW8" s="48" t="s">
        <v>83</v>
      </c>
      <c r="BX8" s="48" t="s">
        <v>87</v>
      </c>
      <c r="BY8" s="48" t="s">
        <v>85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1</v>
      </c>
      <c r="D9" s="18">
        <f t="shared" si="5"/>
        <v>0</v>
      </c>
      <c r="E9" s="4" t="s">
        <v>154</v>
      </c>
      <c r="F9" s="8" t="s">
        <v>147</v>
      </c>
      <c r="G9" s="9">
        <v>-3000</v>
      </c>
      <c r="H9" s="9"/>
      <c r="I9" s="55"/>
      <c r="J9" s="21">
        <f t="shared" si="6"/>
        <v>33900</v>
      </c>
      <c r="K9" s="8" t="s">
        <v>147</v>
      </c>
      <c r="L9" s="9">
        <v>1500</v>
      </c>
      <c r="M9" s="9">
        <v>-1000</v>
      </c>
      <c r="N9" s="55"/>
      <c r="O9" s="21">
        <f t="shared" si="7"/>
        <v>10600</v>
      </c>
      <c r="P9" s="8" t="s">
        <v>147</v>
      </c>
      <c r="Q9" s="9">
        <v>1500</v>
      </c>
      <c r="R9" s="9">
        <v>-1000</v>
      </c>
      <c r="S9" s="55"/>
      <c r="T9" s="21">
        <f t="shared" si="8"/>
        <v>58500</v>
      </c>
      <c r="U9" s="60">
        <f t="shared" si="0"/>
        <v>-1.1000000000000001</v>
      </c>
      <c r="V9" s="61">
        <f t="shared" si="1"/>
        <v>-24.4</v>
      </c>
      <c r="W9" s="62">
        <f t="shared" si="2"/>
        <v>23.5</v>
      </c>
      <c r="Y9" s="8" t="s">
        <v>145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146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146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2</v>
      </c>
      <c r="D10" s="18">
        <f t="shared" si="5"/>
        <v>2</v>
      </c>
      <c r="E10" s="4" t="s">
        <v>154</v>
      </c>
      <c r="F10" s="8" t="s">
        <v>142</v>
      </c>
      <c r="G10" s="9">
        <v>5200</v>
      </c>
      <c r="H10" s="9">
        <v>3000</v>
      </c>
      <c r="I10" s="55">
        <v>2000</v>
      </c>
      <c r="J10" s="21">
        <f t="shared" si="6"/>
        <v>44100</v>
      </c>
      <c r="K10" s="8" t="s">
        <v>141</v>
      </c>
      <c r="L10" s="9">
        <v>-5200</v>
      </c>
      <c r="M10" s="9">
        <v>-1000</v>
      </c>
      <c r="N10" s="55">
        <v>-2000</v>
      </c>
      <c r="O10" s="21">
        <f t="shared" si="7"/>
        <v>2400</v>
      </c>
      <c r="P10" s="8"/>
      <c r="Q10" s="9"/>
      <c r="R10" s="9"/>
      <c r="S10" s="55"/>
      <c r="T10" s="21">
        <f t="shared" si="8"/>
        <v>58500</v>
      </c>
      <c r="U10" s="60">
        <f t="shared" si="0"/>
        <v>9.1</v>
      </c>
      <c r="V10" s="61">
        <f t="shared" si="1"/>
        <v>-32.6</v>
      </c>
      <c r="W10" s="62">
        <f t="shared" si="2"/>
        <v>23.5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143</v>
      </c>
      <c r="AF10" s="48" t="s">
        <v>150</v>
      </c>
      <c r="AG10" s="48" t="s">
        <v>82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142</v>
      </c>
      <c r="G11" s="9">
        <v>18000</v>
      </c>
      <c r="H11" s="9"/>
      <c r="I11" s="55">
        <v>0</v>
      </c>
      <c r="J11" s="21">
        <f t="shared" si="6"/>
        <v>62100</v>
      </c>
      <c r="K11" s="8" t="s">
        <v>141</v>
      </c>
      <c r="L11" s="9">
        <v>-18000</v>
      </c>
      <c r="M11" s="9"/>
      <c r="N11" s="55">
        <v>0</v>
      </c>
      <c r="O11" s="21">
        <f t="shared" si="7"/>
        <v>-15600</v>
      </c>
      <c r="P11" s="8"/>
      <c r="Q11" s="9"/>
      <c r="R11" s="9"/>
      <c r="S11" s="55"/>
      <c r="T11" s="21">
        <f t="shared" si="8"/>
        <v>58500</v>
      </c>
      <c r="U11" s="60">
        <f t="shared" si="0"/>
        <v>27.1</v>
      </c>
      <c r="V11" s="61">
        <f t="shared" si="1"/>
        <v>-50.6</v>
      </c>
      <c r="W11" s="62">
        <f t="shared" si="2"/>
        <v>23.5</v>
      </c>
      <c r="Y11" s="8"/>
      <c r="Z11" s="41"/>
      <c r="AA11" s="32"/>
      <c r="AB11" s="32">
        <v>1</v>
      </c>
      <c r="AC11" s="32">
        <v>7</v>
      </c>
      <c r="AD11" s="36" t="s">
        <v>144</v>
      </c>
      <c r="AE11" s="47" t="s">
        <v>87</v>
      </c>
      <c r="AF11" s="48" t="s">
        <v>87</v>
      </c>
      <c r="AG11" s="48" t="s">
        <v>82</v>
      </c>
      <c r="AH11" s="48" t="s">
        <v>82</v>
      </c>
      <c r="AI11" s="48" t="s">
        <v>80</v>
      </c>
      <c r="AJ11" s="48" t="s">
        <v>80</v>
      </c>
      <c r="AK11" s="48" t="s">
        <v>80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4853C203-594C-43C0-BEF4-7CB4D0D91663}">
      <formula1>"ロン,ツモ,放銃,ツモ支払,流局,チョンボ"</formula1>
    </dataValidation>
    <dataValidation type="list" allowBlank="1" showInputMessage="1" showErrorMessage="1" sqref="E4:E30" xr:uid="{6C755065-2AFD-4D5C-A8A0-3D3B2DC31A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E053B-B160-4C13-B519-670B738AA589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148</v>
      </c>
      <c r="G4" s="9">
        <v>-2500</v>
      </c>
      <c r="H4" s="9"/>
      <c r="I4" s="55">
        <v>0</v>
      </c>
      <c r="J4" s="21">
        <f>IF(COUNTA($F4,$K4,$P4)&gt;0,J3+SUM(G4:I4),"")</f>
        <v>32500</v>
      </c>
      <c r="K4" s="8" t="s">
        <v>149</v>
      </c>
      <c r="L4" s="9">
        <v>4000</v>
      </c>
      <c r="M4" s="9">
        <v>1000</v>
      </c>
      <c r="N4" s="55">
        <v>0</v>
      </c>
      <c r="O4" s="21">
        <f>IF(COUNTA($F4,$K4,$P4)&gt;0,O3+SUM(L4:N4),"")</f>
        <v>40000</v>
      </c>
      <c r="P4" s="8" t="s">
        <v>148</v>
      </c>
      <c r="Q4" s="9">
        <v>-1500</v>
      </c>
      <c r="R4" s="9">
        <v>-1000</v>
      </c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-2.5</v>
      </c>
      <c r="V4" s="61">
        <f t="shared" ref="V4:V30" si="1">IF($O4="","",ROUND(($O4-$O$3)/1000,1))</f>
        <v>5</v>
      </c>
      <c r="W4" s="62">
        <f t="shared" ref="W4:W30" si="2">IF($T4="","",ROUND(($T4-$T$3)/1000,1))</f>
        <v>-2.5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105</v>
      </c>
      <c r="BA4" s="48" t="s">
        <v>87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154</v>
      </c>
      <c r="F5" s="8" t="s">
        <v>156</v>
      </c>
      <c r="G5" s="9">
        <v>3000</v>
      </c>
      <c r="H5" s="9"/>
      <c r="I5" s="55"/>
      <c r="J5" s="21">
        <f t="shared" ref="J5:J30" si="6">IF(COUNTA($F5,$K5,$P5)&gt;0,J4+SUM(G5:I5),"")</f>
        <v>35500</v>
      </c>
      <c r="K5" s="8" t="s">
        <v>156</v>
      </c>
      <c r="L5" s="9">
        <v>5000</v>
      </c>
      <c r="M5" s="9"/>
      <c r="N5" s="55"/>
      <c r="O5" s="21">
        <f t="shared" ref="O5:O30" si="7">IF(COUNTA($F5,$K5,$P5)&gt;0,O4+SUM(L5:N5),"")</f>
        <v>45000</v>
      </c>
      <c r="P5" s="8" t="s">
        <v>156</v>
      </c>
      <c r="Q5" s="9">
        <v>-8000</v>
      </c>
      <c r="R5" s="9"/>
      <c r="S5" s="55"/>
      <c r="T5" s="21">
        <f t="shared" ref="T5:T30" si="8">IF(COUNTA($F5,$K5,$P5)&gt;0,T4+SUM(Q5:S5),"")</f>
        <v>24500</v>
      </c>
      <c r="U5" s="60">
        <f t="shared" si="0"/>
        <v>0.5</v>
      </c>
      <c r="V5" s="61">
        <f t="shared" si="1"/>
        <v>10</v>
      </c>
      <c r="W5" s="62">
        <f t="shared" si="2"/>
        <v>-10.5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>
        <v>1</v>
      </c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154</v>
      </c>
      <c r="F6" s="8" t="s">
        <v>148</v>
      </c>
      <c r="G6" s="9">
        <v>-6000</v>
      </c>
      <c r="H6" s="9"/>
      <c r="I6" s="55">
        <v>0</v>
      </c>
      <c r="J6" s="21">
        <f t="shared" si="6"/>
        <v>29500</v>
      </c>
      <c r="K6" s="8" t="s">
        <v>149</v>
      </c>
      <c r="L6" s="9">
        <v>12000</v>
      </c>
      <c r="M6" s="9"/>
      <c r="N6" s="55">
        <v>0</v>
      </c>
      <c r="O6" s="21">
        <f t="shared" si="7"/>
        <v>57000</v>
      </c>
      <c r="P6" s="8" t="s">
        <v>148</v>
      </c>
      <c r="Q6" s="9">
        <v>-6000</v>
      </c>
      <c r="R6" s="9"/>
      <c r="S6" s="55">
        <v>0</v>
      </c>
      <c r="T6" s="21">
        <f t="shared" si="8"/>
        <v>18500</v>
      </c>
      <c r="U6" s="60">
        <f t="shared" si="0"/>
        <v>-5.5</v>
      </c>
      <c r="V6" s="61">
        <f t="shared" si="1"/>
        <v>22</v>
      </c>
      <c r="W6" s="62">
        <f t="shared" si="2"/>
        <v>-16.5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143</v>
      </c>
      <c r="BA6" s="48" t="s">
        <v>83</v>
      </c>
      <c r="BB6" s="48" t="s">
        <v>85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154</v>
      </c>
      <c r="F7" s="8" t="s">
        <v>148</v>
      </c>
      <c r="G7" s="9">
        <v>-6000</v>
      </c>
      <c r="H7" s="9"/>
      <c r="I7" s="55">
        <v>-500</v>
      </c>
      <c r="J7" s="21">
        <f t="shared" si="6"/>
        <v>23000</v>
      </c>
      <c r="K7" s="8" t="s">
        <v>149</v>
      </c>
      <c r="L7" s="9">
        <v>12000</v>
      </c>
      <c r="M7" s="9">
        <v>1000</v>
      </c>
      <c r="N7" s="55">
        <v>1000</v>
      </c>
      <c r="O7" s="21">
        <f t="shared" si="7"/>
        <v>71000</v>
      </c>
      <c r="P7" s="8" t="s">
        <v>148</v>
      </c>
      <c r="Q7" s="9">
        <v>-6000</v>
      </c>
      <c r="R7" s="9">
        <v>-1000</v>
      </c>
      <c r="S7" s="55">
        <v>-500</v>
      </c>
      <c r="T7" s="21">
        <f t="shared" si="8"/>
        <v>11000</v>
      </c>
      <c r="U7" s="60">
        <f t="shared" si="0"/>
        <v>-12</v>
      </c>
      <c r="V7" s="61">
        <f t="shared" si="1"/>
        <v>36</v>
      </c>
      <c r="W7" s="62">
        <f t="shared" si="2"/>
        <v>-24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144</v>
      </c>
      <c r="AZ7" s="47" t="s">
        <v>143</v>
      </c>
      <c r="BA7" s="48" t="s">
        <v>84</v>
      </c>
      <c r="BB7" s="48" t="s">
        <v>83</v>
      </c>
      <c r="BC7" s="48" t="s">
        <v>82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154</v>
      </c>
      <c r="F8" s="8" t="s">
        <v>149</v>
      </c>
      <c r="G8" s="9">
        <v>12000</v>
      </c>
      <c r="H8" s="9"/>
      <c r="I8" s="55">
        <v>2000</v>
      </c>
      <c r="J8" s="21">
        <f t="shared" si="6"/>
        <v>37000</v>
      </c>
      <c r="K8" s="8" t="s">
        <v>148</v>
      </c>
      <c r="L8" s="9">
        <v>-7500</v>
      </c>
      <c r="M8" s="9"/>
      <c r="N8" s="55">
        <v>-1000</v>
      </c>
      <c r="O8" s="21">
        <f t="shared" si="7"/>
        <v>62500</v>
      </c>
      <c r="P8" s="8" t="s">
        <v>148</v>
      </c>
      <c r="Q8" s="9">
        <v>-4500</v>
      </c>
      <c r="R8" s="9"/>
      <c r="S8" s="55">
        <v>-1000</v>
      </c>
      <c r="T8" s="21">
        <f t="shared" si="8"/>
        <v>5500</v>
      </c>
      <c r="U8" s="60">
        <f t="shared" si="0"/>
        <v>2</v>
      </c>
      <c r="V8" s="61">
        <f t="shared" si="1"/>
        <v>27.5</v>
      </c>
      <c r="W8" s="62">
        <f t="shared" si="2"/>
        <v>-29.5</v>
      </c>
      <c r="Y8" s="8"/>
      <c r="Z8" s="41"/>
      <c r="AA8" s="32">
        <v>1</v>
      </c>
      <c r="AB8" s="32"/>
      <c r="AC8" s="32">
        <v>6</v>
      </c>
      <c r="AD8" s="36" t="s">
        <v>144</v>
      </c>
      <c r="AE8" s="47" t="s">
        <v>143</v>
      </c>
      <c r="AF8" s="48" t="s">
        <v>83</v>
      </c>
      <c r="AG8" s="48" t="s">
        <v>85</v>
      </c>
      <c r="AH8" s="48" t="s">
        <v>81</v>
      </c>
      <c r="AI8" s="48" t="s">
        <v>81</v>
      </c>
      <c r="AJ8" s="48" t="s">
        <v>86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149</v>
      </c>
      <c r="G9" s="9">
        <v>4000</v>
      </c>
      <c r="H9" s="9"/>
      <c r="I9" s="55">
        <v>0</v>
      </c>
      <c r="J9" s="21">
        <f t="shared" si="6"/>
        <v>41000</v>
      </c>
      <c r="K9" s="8" t="s">
        <v>148</v>
      </c>
      <c r="L9" s="9">
        <v>-1500</v>
      </c>
      <c r="M9" s="9"/>
      <c r="N9" s="55">
        <v>0</v>
      </c>
      <c r="O9" s="21">
        <f t="shared" si="7"/>
        <v>61000</v>
      </c>
      <c r="P9" s="8" t="s">
        <v>148</v>
      </c>
      <c r="Q9" s="9">
        <v>-2500</v>
      </c>
      <c r="R9" s="9"/>
      <c r="S9" s="55">
        <v>0</v>
      </c>
      <c r="T9" s="21">
        <f t="shared" si="8"/>
        <v>3000</v>
      </c>
      <c r="U9" s="60">
        <f t="shared" si="0"/>
        <v>6</v>
      </c>
      <c r="V9" s="61">
        <f t="shared" si="1"/>
        <v>26</v>
      </c>
      <c r="W9" s="62">
        <f t="shared" si="2"/>
        <v>-32</v>
      </c>
      <c r="Y9" s="8"/>
      <c r="Z9" s="41"/>
      <c r="AA9" s="32"/>
      <c r="AB9" s="32">
        <v>1</v>
      </c>
      <c r="AC9" s="32">
        <v>3</v>
      </c>
      <c r="AD9" s="36">
        <v>30</v>
      </c>
      <c r="AE9" s="47" t="s">
        <v>87</v>
      </c>
      <c r="AF9" s="48" t="s">
        <v>105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149</v>
      </c>
      <c r="G10" s="9">
        <v>6000</v>
      </c>
      <c r="H10" s="9"/>
      <c r="I10" s="55">
        <v>0</v>
      </c>
      <c r="J10" s="21">
        <f t="shared" si="6"/>
        <v>47000</v>
      </c>
      <c r="K10" s="8" t="s">
        <v>148</v>
      </c>
      <c r="L10" s="9">
        <v>-3000</v>
      </c>
      <c r="M10" s="9"/>
      <c r="N10" s="55">
        <v>0</v>
      </c>
      <c r="O10" s="21">
        <f t="shared" si="7"/>
        <v>58000</v>
      </c>
      <c r="P10" s="8" t="s">
        <v>148</v>
      </c>
      <c r="Q10" s="9">
        <v>-3000</v>
      </c>
      <c r="R10" s="9"/>
      <c r="S10" s="55">
        <v>0</v>
      </c>
      <c r="T10" s="21">
        <f t="shared" si="8"/>
        <v>0</v>
      </c>
      <c r="U10" s="60">
        <f t="shared" si="0"/>
        <v>12</v>
      </c>
      <c r="V10" s="61">
        <f t="shared" si="1"/>
        <v>23</v>
      </c>
      <c r="W10" s="62">
        <f t="shared" si="2"/>
        <v>-35</v>
      </c>
      <c r="Y10" s="8"/>
      <c r="Z10" s="41"/>
      <c r="AA10" s="32"/>
      <c r="AB10" s="32">
        <v>1</v>
      </c>
      <c r="AC10" s="32">
        <v>3</v>
      </c>
      <c r="AD10" s="36">
        <v>30</v>
      </c>
      <c r="AE10" s="47" t="s">
        <v>87</v>
      </c>
      <c r="AF10" s="48" t="s">
        <v>105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148</v>
      </c>
      <c r="G11" s="9">
        <v>-5000</v>
      </c>
      <c r="H11" s="9"/>
      <c r="I11" s="55">
        <v>-500</v>
      </c>
      <c r="J11" s="21">
        <f t="shared" si="6"/>
        <v>41500</v>
      </c>
      <c r="K11" s="8" t="s">
        <v>148</v>
      </c>
      <c r="L11" s="9">
        <v>-3000</v>
      </c>
      <c r="M11" s="9"/>
      <c r="N11" s="55">
        <v>-500</v>
      </c>
      <c r="O11" s="21">
        <f t="shared" si="7"/>
        <v>54500</v>
      </c>
      <c r="P11" s="8" t="s">
        <v>149</v>
      </c>
      <c r="Q11" s="9">
        <v>8000</v>
      </c>
      <c r="R11" s="9"/>
      <c r="S11" s="55">
        <v>1000</v>
      </c>
      <c r="T11" s="21">
        <f t="shared" si="8"/>
        <v>9000</v>
      </c>
      <c r="U11" s="60">
        <f t="shared" si="0"/>
        <v>6.5</v>
      </c>
      <c r="V11" s="61">
        <f t="shared" si="1"/>
        <v>19.5</v>
      </c>
      <c r="W11" s="62">
        <f t="shared" si="2"/>
        <v>-26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4</v>
      </c>
      <c r="BT11" s="36">
        <v>30</v>
      </c>
      <c r="BU11" s="47" t="s">
        <v>105</v>
      </c>
      <c r="BV11" s="48" t="s">
        <v>87</v>
      </c>
      <c r="BW11" s="48" t="s">
        <v>87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154</v>
      </c>
      <c r="F12" s="8" t="s">
        <v>142</v>
      </c>
      <c r="G12" s="9">
        <v>2000</v>
      </c>
      <c r="H12" s="9"/>
      <c r="I12" s="55">
        <v>0</v>
      </c>
      <c r="J12" s="21">
        <f t="shared" si="6"/>
        <v>43500</v>
      </c>
      <c r="K12" s="8"/>
      <c r="L12" s="9"/>
      <c r="M12" s="9"/>
      <c r="N12" s="55"/>
      <c r="O12" s="21">
        <f t="shared" si="7"/>
        <v>54500</v>
      </c>
      <c r="P12" s="8" t="s">
        <v>141</v>
      </c>
      <c r="Q12" s="9">
        <v>-2000</v>
      </c>
      <c r="R12" s="9"/>
      <c r="S12" s="55">
        <v>0</v>
      </c>
      <c r="T12" s="21">
        <f t="shared" si="8"/>
        <v>7000</v>
      </c>
      <c r="U12" s="60">
        <f t="shared" si="0"/>
        <v>8.5</v>
      </c>
      <c r="V12" s="61">
        <f t="shared" si="1"/>
        <v>19.5</v>
      </c>
      <c r="W12" s="62">
        <f t="shared" si="2"/>
        <v>-28</v>
      </c>
      <c r="Y12" s="8"/>
      <c r="Z12" s="41"/>
      <c r="AA12" s="32"/>
      <c r="AB12" s="32">
        <v>1</v>
      </c>
      <c r="AC12" s="32">
        <v>2</v>
      </c>
      <c r="AD12" s="36">
        <v>30</v>
      </c>
      <c r="AE12" s="47" t="s">
        <v>87</v>
      </c>
      <c r="AF12" s="48" t="s">
        <v>82</v>
      </c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139</v>
      </c>
      <c r="F13" s="8"/>
      <c r="G13" s="9"/>
      <c r="H13" s="9"/>
      <c r="I13" s="55"/>
      <c r="J13" s="21">
        <f t="shared" si="6"/>
        <v>43500</v>
      </c>
      <c r="K13" s="8" t="s">
        <v>142</v>
      </c>
      <c r="L13" s="9">
        <v>5200</v>
      </c>
      <c r="M13" s="9">
        <v>1000</v>
      </c>
      <c r="N13" s="55">
        <v>0</v>
      </c>
      <c r="O13" s="21">
        <f t="shared" si="7"/>
        <v>60700</v>
      </c>
      <c r="P13" s="8" t="s">
        <v>141</v>
      </c>
      <c r="Q13" s="9">
        <v>-5200</v>
      </c>
      <c r="R13" s="9">
        <v>-1000</v>
      </c>
      <c r="S13" s="55">
        <v>0</v>
      </c>
      <c r="T13" s="21">
        <f t="shared" si="8"/>
        <v>800</v>
      </c>
      <c r="U13" s="60">
        <f t="shared" si="0"/>
        <v>8.5</v>
      </c>
      <c r="V13" s="61">
        <f t="shared" si="1"/>
        <v>25.7</v>
      </c>
      <c r="W13" s="62">
        <f t="shared" si="2"/>
        <v>-34.200000000000003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3</v>
      </c>
      <c r="AY13" s="36">
        <v>40</v>
      </c>
      <c r="AZ13" s="47" t="s">
        <v>143</v>
      </c>
      <c r="BA13" s="48" t="s">
        <v>150</v>
      </c>
      <c r="BB13" s="48" t="s">
        <v>80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D1E984EC-93F2-44F7-B390-A79BF1F587DC}">
      <formula1>$U$2:$W$2</formula1>
    </dataValidation>
    <dataValidation type="list" showInputMessage="1" showErrorMessage="1" sqref="K4:K30 P4:P30 F4:F30" xr:uid="{20E058D4-5C15-4E44-A7A7-BD94D63F9CE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1B7F-89FC-43DC-8A04-6A02BD544A6A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152</v>
      </c>
      <c r="G1" s="80"/>
      <c r="H1" s="80"/>
      <c r="I1" s="89"/>
      <c r="J1" s="81"/>
      <c r="K1" s="78" t="s">
        <v>155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たかの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たかの</v>
      </c>
      <c r="V2" s="77" t="str">
        <f>$K$1</f>
        <v>りくと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154</v>
      </c>
      <c r="F4" s="8" t="s">
        <v>148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149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148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-6</v>
      </c>
      <c r="V4" s="61">
        <f t="shared" ref="V4:V30" si="1">IF($O4="","",ROUND(($O4-$O$3)/1000,1))</f>
        <v>12</v>
      </c>
      <c r="W4" s="62">
        <f t="shared" ref="W4:W30" si="2">IF($T4="","",ROUND(($T4-$T$3)/1000,1))</f>
        <v>-6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144</v>
      </c>
      <c r="AZ4" s="47" t="s">
        <v>143</v>
      </c>
      <c r="BA4" s="48" t="s">
        <v>83</v>
      </c>
      <c r="BB4" s="48" t="s">
        <v>84</v>
      </c>
      <c r="BC4" s="48" t="s">
        <v>80</v>
      </c>
      <c r="BD4" s="48" t="s">
        <v>82</v>
      </c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154</v>
      </c>
      <c r="F5" s="8"/>
      <c r="G5" s="9"/>
      <c r="H5" s="9"/>
      <c r="I5" s="55"/>
      <c r="J5" s="21">
        <f t="shared" ref="J5:J30" si="6">IF(COUNTA($F5,$K5,$P5)&gt;0,J4+SUM(G5:I5),"")</f>
        <v>29000</v>
      </c>
      <c r="K5" s="8" t="s">
        <v>141</v>
      </c>
      <c r="L5" s="9">
        <v>-12000</v>
      </c>
      <c r="M5" s="9"/>
      <c r="N5" s="55">
        <v>-1000</v>
      </c>
      <c r="O5" s="21">
        <f t="shared" ref="O5:O30" si="7">IF(COUNTA($F5,$K5,$P5)&gt;0,O4+SUM(L5:N5),"")</f>
        <v>34000</v>
      </c>
      <c r="P5" s="8" t="s">
        <v>142</v>
      </c>
      <c r="Q5" s="9">
        <v>12000</v>
      </c>
      <c r="R5" s="9"/>
      <c r="S5" s="55">
        <v>1000</v>
      </c>
      <c r="T5" s="21">
        <f t="shared" ref="T5:T30" si="8">IF(COUNTA($F5,$K5,$P5)&gt;0,T4+SUM(Q5:S5),"")</f>
        <v>42000</v>
      </c>
      <c r="U5" s="60">
        <f t="shared" si="0"/>
        <v>-6</v>
      </c>
      <c r="V5" s="61">
        <f t="shared" si="1"/>
        <v>-1</v>
      </c>
      <c r="W5" s="62">
        <f t="shared" si="2"/>
        <v>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144</v>
      </c>
      <c r="BU5" s="47" t="s">
        <v>143</v>
      </c>
      <c r="BV5" s="48" t="s">
        <v>80</v>
      </c>
      <c r="BW5" s="48" t="s">
        <v>80</v>
      </c>
      <c r="BX5" s="48" t="s">
        <v>80</v>
      </c>
      <c r="BY5" s="48" t="s">
        <v>81</v>
      </c>
      <c r="BZ5" s="48" t="s">
        <v>82</v>
      </c>
      <c r="CA5" s="48" t="s">
        <v>82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147</v>
      </c>
      <c r="G6" s="9">
        <v>0</v>
      </c>
      <c r="H6" s="9">
        <v>-1000</v>
      </c>
      <c r="I6" s="55"/>
      <c r="J6" s="21">
        <f t="shared" si="6"/>
        <v>28000</v>
      </c>
      <c r="K6" s="8" t="s">
        <v>147</v>
      </c>
      <c r="L6" s="9">
        <v>0</v>
      </c>
      <c r="M6" s="9"/>
      <c r="N6" s="55"/>
      <c r="O6" s="21">
        <f t="shared" si="7"/>
        <v>34000</v>
      </c>
      <c r="P6" s="8" t="s">
        <v>147</v>
      </c>
      <c r="Q6" s="9">
        <v>0</v>
      </c>
      <c r="R6" s="9">
        <v>-1000</v>
      </c>
      <c r="S6" s="55"/>
      <c r="T6" s="21">
        <f t="shared" si="8"/>
        <v>41000</v>
      </c>
      <c r="U6" s="60">
        <f t="shared" si="0"/>
        <v>-7</v>
      </c>
      <c r="V6" s="61">
        <f t="shared" si="1"/>
        <v>-1</v>
      </c>
      <c r="W6" s="62">
        <f t="shared" si="2"/>
        <v>6</v>
      </c>
      <c r="Y6" s="8" t="s">
        <v>146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146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146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2</v>
      </c>
      <c r="E7" s="4" t="s">
        <v>139</v>
      </c>
      <c r="F7" s="8" t="s">
        <v>141</v>
      </c>
      <c r="G7" s="9">
        <v>-7700</v>
      </c>
      <c r="H7" s="9"/>
      <c r="I7" s="55">
        <v>-1000</v>
      </c>
      <c r="J7" s="21">
        <f t="shared" si="6"/>
        <v>19300</v>
      </c>
      <c r="K7" s="8"/>
      <c r="L7" s="9"/>
      <c r="M7" s="9"/>
      <c r="N7" s="55"/>
      <c r="O7" s="21">
        <f t="shared" si="7"/>
        <v>34000</v>
      </c>
      <c r="P7" s="8" t="s">
        <v>142</v>
      </c>
      <c r="Q7" s="9">
        <v>7700</v>
      </c>
      <c r="R7" s="9">
        <v>2000</v>
      </c>
      <c r="S7" s="55">
        <v>1000</v>
      </c>
      <c r="T7" s="21">
        <f t="shared" si="8"/>
        <v>51700</v>
      </c>
      <c r="U7" s="60">
        <f t="shared" si="0"/>
        <v>-15.7</v>
      </c>
      <c r="V7" s="61">
        <f t="shared" si="1"/>
        <v>-1</v>
      </c>
      <c r="W7" s="62">
        <f t="shared" si="2"/>
        <v>16.7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40</v>
      </c>
      <c r="BU7" s="47" t="s">
        <v>143</v>
      </c>
      <c r="BV7" s="48" t="s">
        <v>82</v>
      </c>
      <c r="BW7" s="48" t="s">
        <v>85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139</v>
      </c>
      <c r="F8" s="8"/>
      <c r="G8" s="9"/>
      <c r="H8" s="9"/>
      <c r="I8" s="55"/>
      <c r="J8" s="21">
        <f t="shared" si="6"/>
        <v>19300</v>
      </c>
      <c r="K8" s="8" t="s">
        <v>142</v>
      </c>
      <c r="L8" s="9">
        <v>2000</v>
      </c>
      <c r="M8" s="9"/>
      <c r="N8" s="55">
        <v>2000</v>
      </c>
      <c r="O8" s="21">
        <f t="shared" si="7"/>
        <v>38000</v>
      </c>
      <c r="P8" s="8" t="s">
        <v>141</v>
      </c>
      <c r="Q8" s="9">
        <v>-2000</v>
      </c>
      <c r="R8" s="9"/>
      <c r="S8" s="55">
        <v>-2000</v>
      </c>
      <c r="T8" s="21">
        <f t="shared" si="8"/>
        <v>47700</v>
      </c>
      <c r="U8" s="60">
        <f t="shared" si="0"/>
        <v>-15.7</v>
      </c>
      <c r="V8" s="61">
        <f t="shared" si="1"/>
        <v>3</v>
      </c>
      <c r="W8" s="62">
        <f t="shared" si="2"/>
        <v>12.7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2</v>
      </c>
      <c r="AY8" s="36">
        <v>30</v>
      </c>
      <c r="AZ8" s="47" t="s">
        <v>87</v>
      </c>
      <c r="BA8" s="48" t="s">
        <v>80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151</v>
      </c>
      <c r="F9" s="8" t="s">
        <v>147</v>
      </c>
      <c r="G9" s="9">
        <v>-1500</v>
      </c>
      <c r="H9" s="9"/>
      <c r="I9" s="55"/>
      <c r="J9" s="21">
        <f t="shared" si="6"/>
        <v>17800</v>
      </c>
      <c r="K9" s="8" t="s">
        <v>147</v>
      </c>
      <c r="L9" s="9">
        <v>-1500</v>
      </c>
      <c r="M9" s="9"/>
      <c r="N9" s="55"/>
      <c r="O9" s="21">
        <f t="shared" si="7"/>
        <v>36500</v>
      </c>
      <c r="P9" s="8" t="s">
        <v>147</v>
      </c>
      <c r="Q9" s="9">
        <v>3000</v>
      </c>
      <c r="R9" s="9">
        <v>-1000</v>
      </c>
      <c r="S9" s="55"/>
      <c r="T9" s="21">
        <f t="shared" si="8"/>
        <v>49700</v>
      </c>
      <c r="U9" s="60">
        <f t="shared" si="0"/>
        <v>-17.2</v>
      </c>
      <c r="V9" s="61">
        <f t="shared" si="1"/>
        <v>1.5</v>
      </c>
      <c r="W9" s="62">
        <f t="shared" si="2"/>
        <v>14.7</v>
      </c>
      <c r="Y9" s="8" t="s">
        <v>145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145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146</v>
      </c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1</v>
      </c>
      <c r="E10" s="4" t="s">
        <v>154</v>
      </c>
      <c r="F10" s="8"/>
      <c r="G10" s="9"/>
      <c r="H10" s="9"/>
      <c r="I10" s="55"/>
      <c r="J10" s="21">
        <f t="shared" si="6"/>
        <v>17800</v>
      </c>
      <c r="K10" s="8" t="s">
        <v>142</v>
      </c>
      <c r="L10" s="9">
        <v>3900</v>
      </c>
      <c r="M10" s="9">
        <v>2000</v>
      </c>
      <c r="N10" s="55">
        <v>0</v>
      </c>
      <c r="O10" s="21">
        <f t="shared" si="7"/>
        <v>42400</v>
      </c>
      <c r="P10" s="8" t="s">
        <v>141</v>
      </c>
      <c r="Q10" s="9">
        <v>-3900</v>
      </c>
      <c r="R10" s="9">
        <v>-1000</v>
      </c>
      <c r="S10" s="55">
        <v>0</v>
      </c>
      <c r="T10" s="21">
        <f t="shared" si="8"/>
        <v>44800</v>
      </c>
      <c r="U10" s="60">
        <f t="shared" si="0"/>
        <v>-17.2</v>
      </c>
      <c r="V10" s="61">
        <f t="shared" si="1"/>
        <v>7.4</v>
      </c>
      <c r="W10" s="62">
        <f t="shared" si="2"/>
        <v>9.8000000000000007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143</v>
      </c>
      <c r="BA10" s="48" t="s">
        <v>81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154</v>
      </c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FA8E6A1-E744-405C-B8F8-C93FCA107BCE}">
      <formula1>"ロン,ツモ,放銃,ツモ支払,流局,チョンボ"</formula1>
    </dataValidation>
    <dataValidation type="list" allowBlank="1" showInputMessage="1" showErrorMessage="1" sqref="E4:E30" xr:uid="{9A2BBCF9-CF05-4AA0-A51B-1FCE82C6D7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2019-01-17T15:45:01Z</dcterms:modified>
</cp:coreProperties>
</file>