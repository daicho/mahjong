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三人麻雀\対局\"/>
    </mc:Choice>
  </mc:AlternateContent>
  <xr:revisionPtr revIDLastSave="0" documentId="10_ncr:100000_{BCB8D2AE-0FAA-4E59-A4A4-3FFD129E6521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20" l="1"/>
  <c r="W30" i="20" s="1"/>
  <c r="S30" i="20"/>
  <c r="O30" i="20"/>
  <c r="V30" i="20" s="1"/>
  <c r="N30" i="20"/>
  <c r="J30" i="20"/>
  <c r="U30" i="20" s="1"/>
  <c r="I30" i="20"/>
  <c r="D30" i="20"/>
  <c r="C30" i="20"/>
  <c r="B30" i="20"/>
  <c r="A30" i="20"/>
  <c r="T29" i="20"/>
  <c r="W29" i="20" s="1"/>
  <c r="S29" i="20"/>
  <c r="O29" i="20"/>
  <c r="V29" i="20" s="1"/>
  <c r="N29" i="20"/>
  <c r="J29" i="20"/>
  <c r="U29" i="20" s="1"/>
  <c r="I29" i="20"/>
  <c r="D29" i="20"/>
  <c r="C29" i="20"/>
  <c r="B29" i="20"/>
  <c r="A29" i="20"/>
  <c r="T28" i="20"/>
  <c r="W28" i="20" s="1"/>
  <c r="S28" i="20"/>
  <c r="O28" i="20"/>
  <c r="V28" i="20" s="1"/>
  <c r="N28" i="20"/>
  <c r="J28" i="20"/>
  <c r="U28" i="20" s="1"/>
  <c r="I28" i="20"/>
  <c r="D28" i="20"/>
  <c r="C28" i="20"/>
  <c r="B28" i="20"/>
  <c r="A28" i="20"/>
  <c r="T27" i="20"/>
  <c r="W27" i="20" s="1"/>
  <c r="S27" i="20"/>
  <c r="O27" i="20"/>
  <c r="V27" i="20" s="1"/>
  <c r="N27" i="20"/>
  <c r="J27" i="20"/>
  <c r="U27" i="20" s="1"/>
  <c r="I27" i="20"/>
  <c r="D27" i="20"/>
  <c r="C27" i="20"/>
  <c r="B27" i="20"/>
  <c r="A27" i="20"/>
  <c r="T26" i="20"/>
  <c r="W26" i="20" s="1"/>
  <c r="S26" i="20"/>
  <c r="O26" i="20"/>
  <c r="V26" i="20" s="1"/>
  <c r="N26" i="20"/>
  <c r="J26" i="20"/>
  <c r="U26" i="20" s="1"/>
  <c r="I26" i="20"/>
  <c r="D26" i="20"/>
  <c r="C26" i="20"/>
  <c r="B26" i="20"/>
  <c r="A26" i="20"/>
  <c r="T25" i="20"/>
  <c r="W25" i="20" s="1"/>
  <c r="S25" i="20"/>
  <c r="O25" i="20"/>
  <c r="V25" i="20" s="1"/>
  <c r="N25" i="20"/>
  <c r="J25" i="20"/>
  <c r="U25" i="20" s="1"/>
  <c r="I25" i="20"/>
  <c r="D25" i="20"/>
  <c r="C25" i="20"/>
  <c r="B25" i="20"/>
  <c r="A25" i="20"/>
  <c r="T24" i="20"/>
  <c r="W24" i="20" s="1"/>
  <c r="S24" i="20"/>
  <c r="O24" i="20"/>
  <c r="V24" i="20" s="1"/>
  <c r="N24" i="20"/>
  <c r="J24" i="20"/>
  <c r="U24" i="20" s="1"/>
  <c r="I24" i="20"/>
  <c r="D24" i="20"/>
  <c r="C24" i="20"/>
  <c r="B24" i="20"/>
  <c r="A24" i="20"/>
  <c r="T23" i="20"/>
  <c r="W23" i="20" s="1"/>
  <c r="S23" i="20"/>
  <c r="O23" i="20"/>
  <c r="V23" i="20" s="1"/>
  <c r="N23" i="20"/>
  <c r="J23" i="20"/>
  <c r="U23" i="20" s="1"/>
  <c r="I23" i="20"/>
  <c r="D23" i="20"/>
  <c r="C23" i="20"/>
  <c r="B23" i="20"/>
  <c r="A23" i="20"/>
  <c r="T22" i="20"/>
  <c r="W22" i="20" s="1"/>
  <c r="S22" i="20"/>
  <c r="O22" i="20"/>
  <c r="V22" i="20" s="1"/>
  <c r="N22" i="20"/>
  <c r="J22" i="20"/>
  <c r="U22" i="20" s="1"/>
  <c r="I22" i="20"/>
  <c r="D22" i="20"/>
  <c r="C22" i="20"/>
  <c r="B22" i="20"/>
  <c r="A22" i="20"/>
  <c r="T21" i="20"/>
  <c r="W21" i="20" s="1"/>
  <c r="S21" i="20"/>
  <c r="O21" i="20"/>
  <c r="V21" i="20" s="1"/>
  <c r="N21" i="20"/>
  <c r="J21" i="20"/>
  <c r="U21" i="20" s="1"/>
  <c r="I21" i="20"/>
  <c r="D21" i="20"/>
  <c r="C21" i="20"/>
  <c r="B21" i="20"/>
  <c r="A21" i="20"/>
  <c r="T20" i="20"/>
  <c r="W20" i="20" s="1"/>
  <c r="S20" i="20"/>
  <c r="O20" i="20"/>
  <c r="V20" i="20" s="1"/>
  <c r="N20" i="20"/>
  <c r="J20" i="20"/>
  <c r="U20" i="20" s="1"/>
  <c r="I20" i="20"/>
  <c r="D20" i="20"/>
  <c r="C20" i="20"/>
  <c r="B20" i="20"/>
  <c r="A20" i="20"/>
  <c r="T19" i="20"/>
  <c r="W19" i="20" s="1"/>
  <c r="S19" i="20"/>
  <c r="O19" i="20"/>
  <c r="V19" i="20" s="1"/>
  <c r="N19" i="20"/>
  <c r="J19" i="20"/>
  <c r="U19" i="20" s="1"/>
  <c r="I19" i="20"/>
  <c r="D19" i="20"/>
  <c r="C19" i="20"/>
  <c r="B19" i="20"/>
  <c r="A19" i="20"/>
  <c r="T18" i="20"/>
  <c r="W18" i="20" s="1"/>
  <c r="S18" i="20"/>
  <c r="O18" i="20"/>
  <c r="V18" i="20" s="1"/>
  <c r="N18" i="20"/>
  <c r="J18" i="20"/>
  <c r="U18" i="20" s="1"/>
  <c r="I18" i="20"/>
  <c r="D18" i="20"/>
  <c r="C18" i="20"/>
  <c r="B18" i="20"/>
  <c r="A18" i="20"/>
  <c r="T17" i="20"/>
  <c r="W17" i="20" s="1"/>
  <c r="S17" i="20"/>
  <c r="O17" i="20"/>
  <c r="V17" i="20" s="1"/>
  <c r="N17" i="20"/>
  <c r="J17" i="20"/>
  <c r="U17" i="20" s="1"/>
  <c r="I17" i="20"/>
  <c r="D17" i="20"/>
  <c r="C17" i="20"/>
  <c r="B17" i="20"/>
  <c r="A17" i="20"/>
  <c r="T16" i="20"/>
  <c r="W16" i="20" s="1"/>
  <c r="S16" i="20"/>
  <c r="O16" i="20"/>
  <c r="V16" i="20" s="1"/>
  <c r="N16" i="20"/>
  <c r="J16" i="20"/>
  <c r="U16" i="20" s="1"/>
  <c r="I16" i="20"/>
  <c r="D16" i="20"/>
  <c r="C16" i="20"/>
  <c r="B16" i="20"/>
  <c r="A16" i="20"/>
  <c r="T15" i="20"/>
  <c r="W15" i="20" s="1"/>
  <c r="S15" i="20"/>
  <c r="O15" i="20"/>
  <c r="V15" i="20" s="1"/>
  <c r="N15" i="20"/>
  <c r="J15" i="20"/>
  <c r="U15" i="20" s="1"/>
  <c r="I15" i="20"/>
  <c r="D15" i="20"/>
  <c r="C15" i="20"/>
  <c r="B15" i="20"/>
  <c r="A15" i="20"/>
  <c r="T14" i="20"/>
  <c r="W14" i="20" s="1"/>
  <c r="S14" i="20"/>
  <c r="O14" i="20"/>
  <c r="V14" i="20" s="1"/>
  <c r="N14" i="20"/>
  <c r="J14" i="20"/>
  <c r="U14" i="20" s="1"/>
  <c r="I14" i="20"/>
  <c r="D14" i="20"/>
  <c r="C14" i="20"/>
  <c r="B14" i="20"/>
  <c r="A14" i="20"/>
  <c r="T13" i="20"/>
  <c r="W13" i="20" s="1"/>
  <c r="S13" i="20"/>
  <c r="O13" i="20"/>
  <c r="V13" i="20" s="1"/>
  <c r="N13" i="20"/>
  <c r="J13" i="20"/>
  <c r="U13" i="20" s="1"/>
  <c r="I13" i="20"/>
  <c r="D13" i="20"/>
  <c r="C13" i="20"/>
  <c r="B13" i="20"/>
  <c r="A13" i="20"/>
  <c r="T12" i="20"/>
  <c r="W12" i="20" s="1"/>
  <c r="S12" i="20"/>
  <c r="O12" i="20"/>
  <c r="V12" i="20" s="1"/>
  <c r="N12" i="20"/>
  <c r="J12" i="20"/>
  <c r="U12" i="20" s="1"/>
  <c r="I12" i="20"/>
  <c r="D12" i="20"/>
  <c r="C12" i="20"/>
  <c r="B12" i="20"/>
  <c r="A12" i="20"/>
  <c r="N11" i="20"/>
  <c r="I11" i="20"/>
  <c r="D11" i="20"/>
  <c r="C11" i="20"/>
  <c r="S11" i="20" s="1"/>
  <c r="D10" i="20"/>
  <c r="S9" i="20"/>
  <c r="C9" i="20"/>
  <c r="I9" i="20" s="1"/>
  <c r="S8" i="20"/>
  <c r="N8" i="20"/>
  <c r="I8" i="20"/>
  <c r="D8" i="20"/>
  <c r="D9" i="20" s="1"/>
  <c r="C8" i="20"/>
  <c r="S7" i="20"/>
  <c r="I7" i="20"/>
  <c r="C7" i="20"/>
  <c r="N7" i="20" s="1"/>
  <c r="S6" i="20"/>
  <c r="N6" i="20"/>
  <c r="I6" i="20"/>
  <c r="D6" i="20"/>
  <c r="D7" i="20" s="1"/>
  <c r="B6" i="20"/>
  <c r="B7" i="20" s="1"/>
  <c r="N5" i="20"/>
  <c r="I5" i="20"/>
  <c r="D5" i="20"/>
  <c r="C5" i="20"/>
  <c r="S5" i="20" s="1"/>
  <c r="B5" i="20"/>
  <c r="A6" i="20" s="1"/>
  <c r="A5" i="20"/>
  <c r="S4" i="20"/>
  <c r="T4" i="20" s="1"/>
  <c r="N4" i="20"/>
  <c r="O4" i="20" s="1"/>
  <c r="I4" i="20"/>
  <c r="J4" i="20" s="1"/>
  <c r="W3" i="20"/>
  <c r="V3" i="20"/>
  <c r="U3" i="20"/>
  <c r="W2" i="20"/>
  <c r="V2" i="20"/>
  <c r="U2" i="20"/>
  <c r="O5" i="20" l="1"/>
  <c r="O6" i="20" s="1"/>
  <c r="N9" i="20"/>
  <c r="B8" i="20"/>
  <c r="A8" i="20"/>
  <c r="T5" i="20"/>
  <c r="W4" i="20"/>
  <c r="J5" i="20"/>
  <c r="U4" i="20"/>
  <c r="V4" i="20"/>
  <c r="C10" i="20"/>
  <c r="A7" i="20"/>
  <c r="C6" i="20"/>
  <c r="T30" i="19"/>
  <c r="W30" i="19" s="1"/>
  <c r="S30" i="19"/>
  <c r="O30" i="19"/>
  <c r="V30" i="19" s="1"/>
  <c r="N30" i="19"/>
  <c r="J30" i="19"/>
  <c r="U30" i="19" s="1"/>
  <c r="I30" i="19"/>
  <c r="D30" i="19"/>
  <c r="C30" i="19"/>
  <c r="B30" i="19"/>
  <c r="A30" i="19"/>
  <c r="T29" i="19"/>
  <c r="W29" i="19" s="1"/>
  <c r="S29" i="19"/>
  <c r="O29" i="19"/>
  <c r="V29" i="19" s="1"/>
  <c r="N29" i="19"/>
  <c r="J29" i="19"/>
  <c r="U29" i="19" s="1"/>
  <c r="I29" i="19"/>
  <c r="D29" i="19"/>
  <c r="C29" i="19"/>
  <c r="B29" i="19"/>
  <c r="A29" i="19"/>
  <c r="T28" i="19"/>
  <c r="W28" i="19" s="1"/>
  <c r="S28" i="19"/>
  <c r="O28" i="19"/>
  <c r="V28" i="19" s="1"/>
  <c r="N28" i="19"/>
  <c r="J28" i="19"/>
  <c r="U28" i="19" s="1"/>
  <c r="I28" i="19"/>
  <c r="D28" i="19"/>
  <c r="C28" i="19"/>
  <c r="B28" i="19"/>
  <c r="A28" i="19"/>
  <c r="T27" i="19"/>
  <c r="W27" i="19" s="1"/>
  <c r="S27" i="19"/>
  <c r="O27" i="19"/>
  <c r="V27" i="19" s="1"/>
  <c r="N27" i="19"/>
  <c r="J27" i="19"/>
  <c r="U27" i="19" s="1"/>
  <c r="I27" i="19"/>
  <c r="D27" i="19"/>
  <c r="C27" i="19"/>
  <c r="B27" i="19"/>
  <c r="A27" i="19"/>
  <c r="T26" i="19"/>
  <c r="W26" i="19" s="1"/>
  <c r="S26" i="19"/>
  <c r="O26" i="19"/>
  <c r="V26" i="19" s="1"/>
  <c r="N26" i="19"/>
  <c r="J26" i="19"/>
  <c r="U26" i="19" s="1"/>
  <c r="I26" i="19"/>
  <c r="D26" i="19"/>
  <c r="C26" i="19"/>
  <c r="B26" i="19"/>
  <c r="A26" i="19"/>
  <c r="T25" i="19"/>
  <c r="W25" i="19" s="1"/>
  <c r="S25" i="19"/>
  <c r="O25" i="19"/>
  <c r="V25" i="19" s="1"/>
  <c r="N25" i="19"/>
  <c r="J25" i="19"/>
  <c r="U25" i="19" s="1"/>
  <c r="I25" i="19"/>
  <c r="D25" i="19"/>
  <c r="C25" i="19"/>
  <c r="B25" i="19"/>
  <c r="A25" i="19"/>
  <c r="T24" i="19"/>
  <c r="W24" i="19" s="1"/>
  <c r="S24" i="19"/>
  <c r="O24" i="19"/>
  <c r="V24" i="19" s="1"/>
  <c r="N24" i="19"/>
  <c r="J24" i="19"/>
  <c r="U24" i="19" s="1"/>
  <c r="I24" i="19"/>
  <c r="D24" i="19"/>
  <c r="C24" i="19"/>
  <c r="B24" i="19"/>
  <c r="A24" i="19"/>
  <c r="T23" i="19"/>
  <c r="W23" i="19" s="1"/>
  <c r="S23" i="19"/>
  <c r="O23" i="19"/>
  <c r="V23" i="19" s="1"/>
  <c r="N23" i="19"/>
  <c r="J23" i="19"/>
  <c r="U23" i="19" s="1"/>
  <c r="I23" i="19"/>
  <c r="D23" i="19"/>
  <c r="C23" i="19"/>
  <c r="B23" i="19"/>
  <c r="A23" i="19"/>
  <c r="T22" i="19"/>
  <c r="W22" i="19" s="1"/>
  <c r="S22" i="19"/>
  <c r="O22" i="19"/>
  <c r="V22" i="19" s="1"/>
  <c r="N22" i="19"/>
  <c r="J22" i="19"/>
  <c r="U22" i="19" s="1"/>
  <c r="I22" i="19"/>
  <c r="D22" i="19"/>
  <c r="C22" i="19"/>
  <c r="B22" i="19"/>
  <c r="A22" i="19"/>
  <c r="T21" i="19"/>
  <c r="W21" i="19" s="1"/>
  <c r="S21" i="19"/>
  <c r="O21" i="19"/>
  <c r="V21" i="19" s="1"/>
  <c r="N21" i="19"/>
  <c r="J21" i="19"/>
  <c r="U21" i="19" s="1"/>
  <c r="I21" i="19"/>
  <c r="D21" i="19"/>
  <c r="C21" i="19"/>
  <c r="B21" i="19"/>
  <c r="A21" i="19"/>
  <c r="T20" i="19"/>
  <c r="W20" i="19" s="1"/>
  <c r="S20" i="19"/>
  <c r="O20" i="19"/>
  <c r="V20" i="19" s="1"/>
  <c r="N20" i="19"/>
  <c r="J20" i="19"/>
  <c r="U20" i="19" s="1"/>
  <c r="I20" i="19"/>
  <c r="D20" i="19"/>
  <c r="C20" i="19"/>
  <c r="B20" i="19"/>
  <c r="A20" i="19"/>
  <c r="T19" i="19"/>
  <c r="W19" i="19" s="1"/>
  <c r="S19" i="19"/>
  <c r="O19" i="19"/>
  <c r="V19" i="19" s="1"/>
  <c r="N19" i="19"/>
  <c r="J19" i="19"/>
  <c r="U19" i="19" s="1"/>
  <c r="I19" i="19"/>
  <c r="D19" i="19"/>
  <c r="C19" i="19"/>
  <c r="B19" i="19"/>
  <c r="A19" i="19"/>
  <c r="T18" i="19"/>
  <c r="W18" i="19" s="1"/>
  <c r="S18" i="19"/>
  <c r="O18" i="19"/>
  <c r="V18" i="19" s="1"/>
  <c r="N18" i="19"/>
  <c r="J18" i="19"/>
  <c r="U18" i="19" s="1"/>
  <c r="I18" i="19"/>
  <c r="D18" i="19"/>
  <c r="C18" i="19"/>
  <c r="B18" i="19"/>
  <c r="A18" i="19"/>
  <c r="T17" i="19"/>
  <c r="W17" i="19" s="1"/>
  <c r="S17" i="19"/>
  <c r="O17" i="19"/>
  <c r="V17" i="19" s="1"/>
  <c r="N17" i="19"/>
  <c r="J17" i="19"/>
  <c r="U17" i="19" s="1"/>
  <c r="I17" i="19"/>
  <c r="D17" i="19"/>
  <c r="C17" i="19"/>
  <c r="B17" i="19"/>
  <c r="A17" i="19"/>
  <c r="T16" i="19"/>
  <c r="W16" i="19" s="1"/>
  <c r="S16" i="19"/>
  <c r="O16" i="19"/>
  <c r="V16" i="19" s="1"/>
  <c r="N16" i="19"/>
  <c r="J16" i="19"/>
  <c r="U16" i="19" s="1"/>
  <c r="I16" i="19"/>
  <c r="D16" i="19"/>
  <c r="C16" i="19"/>
  <c r="B16" i="19"/>
  <c r="A16" i="19"/>
  <c r="T15" i="19"/>
  <c r="W15" i="19" s="1"/>
  <c r="S15" i="19"/>
  <c r="O15" i="19"/>
  <c r="V15" i="19" s="1"/>
  <c r="N15" i="19"/>
  <c r="J15" i="19"/>
  <c r="U15" i="19" s="1"/>
  <c r="I15" i="19"/>
  <c r="D15" i="19"/>
  <c r="C15" i="19"/>
  <c r="B15" i="19"/>
  <c r="A15" i="19"/>
  <c r="T14" i="19"/>
  <c r="W14" i="19" s="1"/>
  <c r="S14" i="19"/>
  <c r="O14" i="19"/>
  <c r="V14" i="19" s="1"/>
  <c r="N14" i="19"/>
  <c r="J14" i="19"/>
  <c r="U14" i="19" s="1"/>
  <c r="I14" i="19"/>
  <c r="D14" i="19"/>
  <c r="C14" i="19"/>
  <c r="B14" i="19"/>
  <c r="A14" i="19"/>
  <c r="T13" i="19"/>
  <c r="W13" i="19" s="1"/>
  <c r="S13" i="19"/>
  <c r="O13" i="19"/>
  <c r="V13" i="19" s="1"/>
  <c r="N13" i="19"/>
  <c r="J13" i="19"/>
  <c r="U13" i="19" s="1"/>
  <c r="I13" i="19"/>
  <c r="D13" i="19"/>
  <c r="C13" i="19"/>
  <c r="B13" i="19"/>
  <c r="A13" i="19"/>
  <c r="T12" i="19"/>
  <c r="W12" i="19" s="1"/>
  <c r="S12" i="19"/>
  <c r="O12" i="19"/>
  <c r="V12" i="19" s="1"/>
  <c r="N12" i="19"/>
  <c r="J12" i="19"/>
  <c r="U12" i="19" s="1"/>
  <c r="I12" i="19"/>
  <c r="D12" i="19"/>
  <c r="C12" i="19"/>
  <c r="B12" i="19"/>
  <c r="A12" i="19"/>
  <c r="S11" i="19"/>
  <c r="I11" i="19"/>
  <c r="D11" i="19"/>
  <c r="C11" i="19"/>
  <c r="N11" i="19" s="1"/>
  <c r="I10" i="19"/>
  <c r="D10" i="19"/>
  <c r="C10" i="19"/>
  <c r="N10" i="19" s="1"/>
  <c r="I9" i="19"/>
  <c r="D9" i="19"/>
  <c r="N8" i="19"/>
  <c r="D8" i="19"/>
  <c r="S7" i="19"/>
  <c r="I7" i="19"/>
  <c r="D7" i="19"/>
  <c r="C7" i="19"/>
  <c r="C8" i="19" s="1"/>
  <c r="N6" i="19"/>
  <c r="I6" i="19"/>
  <c r="D6" i="19"/>
  <c r="C6" i="19"/>
  <c r="S6" i="19" s="1"/>
  <c r="B6" i="19"/>
  <c r="D5" i="19"/>
  <c r="C5" i="19"/>
  <c r="S5" i="19" s="1"/>
  <c r="B5" i="19"/>
  <c r="A6" i="19" s="1"/>
  <c r="A5" i="19"/>
  <c r="S4" i="19"/>
  <c r="N4" i="19"/>
  <c r="W3" i="19"/>
  <c r="V3" i="19"/>
  <c r="U3" i="19"/>
  <c r="W2" i="19"/>
  <c r="V2" i="19"/>
  <c r="U2" i="19"/>
  <c r="V5" i="20" l="1"/>
  <c r="B9" i="20"/>
  <c r="A9" i="20" s="1"/>
  <c r="S10" i="20"/>
  <c r="I10" i="20"/>
  <c r="N10" i="20"/>
  <c r="U5" i="20"/>
  <c r="J6" i="20"/>
  <c r="W5" i="20"/>
  <c r="T6" i="20"/>
  <c r="O7" i="20"/>
  <c r="V6" i="20"/>
  <c r="I4" i="19"/>
  <c r="J4" i="19" s="1"/>
  <c r="U4" i="19" s="1"/>
  <c r="O4" i="19"/>
  <c r="V4" i="19" s="1"/>
  <c r="T4" i="19"/>
  <c r="W4" i="19" s="1"/>
  <c r="S10" i="19"/>
  <c r="N5" i="19"/>
  <c r="O5" i="19" s="1"/>
  <c r="T5" i="19"/>
  <c r="S8" i="19"/>
  <c r="I8" i="19"/>
  <c r="C9" i="19"/>
  <c r="B7" i="19"/>
  <c r="I5" i="19"/>
  <c r="J5" i="19" s="1"/>
  <c r="N7" i="19"/>
  <c r="V3" i="18"/>
  <c r="J7" i="20" l="1"/>
  <c r="U6" i="20"/>
  <c r="V7" i="20"/>
  <c r="O8" i="20"/>
  <c r="W6" i="20"/>
  <c r="T7" i="20"/>
  <c r="B10" i="20"/>
  <c r="A10" i="20" s="1"/>
  <c r="B8" i="19"/>
  <c r="A8" i="19" s="1"/>
  <c r="J6" i="19"/>
  <c r="U5" i="19"/>
  <c r="O6" i="19"/>
  <c r="V5" i="19"/>
  <c r="A7" i="19"/>
  <c r="S9" i="19"/>
  <c r="N9" i="19"/>
  <c r="W5" i="19"/>
  <c r="T6" i="19"/>
  <c r="T30" i="18"/>
  <c r="W30" i="18" s="1"/>
  <c r="S30" i="18"/>
  <c r="O30" i="18"/>
  <c r="V30" i="18" s="1"/>
  <c r="N30" i="18"/>
  <c r="J30" i="18"/>
  <c r="U30" i="18" s="1"/>
  <c r="I30" i="18"/>
  <c r="D30" i="18"/>
  <c r="C30" i="18"/>
  <c r="B30" i="18"/>
  <c r="A30" i="18"/>
  <c r="T29" i="18"/>
  <c r="W29" i="18" s="1"/>
  <c r="S29" i="18"/>
  <c r="O29" i="18"/>
  <c r="V29" i="18" s="1"/>
  <c r="N29" i="18"/>
  <c r="J29" i="18"/>
  <c r="U29" i="18" s="1"/>
  <c r="I29" i="18"/>
  <c r="D29" i="18"/>
  <c r="C29" i="18"/>
  <c r="B29" i="18"/>
  <c r="A29" i="18"/>
  <c r="T28" i="18"/>
  <c r="W28" i="18" s="1"/>
  <c r="S28" i="18"/>
  <c r="O28" i="18"/>
  <c r="V28" i="18" s="1"/>
  <c r="N28" i="18"/>
  <c r="J28" i="18"/>
  <c r="U28" i="18" s="1"/>
  <c r="I28" i="18"/>
  <c r="D28" i="18"/>
  <c r="C28" i="18"/>
  <c r="B28" i="18"/>
  <c r="A28" i="18"/>
  <c r="T27" i="18"/>
  <c r="W27" i="18" s="1"/>
  <c r="S27" i="18"/>
  <c r="O27" i="18"/>
  <c r="V27" i="18" s="1"/>
  <c r="N27" i="18"/>
  <c r="J27" i="18"/>
  <c r="U27" i="18" s="1"/>
  <c r="I27" i="18"/>
  <c r="D27" i="18"/>
  <c r="C27" i="18"/>
  <c r="B27" i="18"/>
  <c r="A27" i="18"/>
  <c r="T26" i="18"/>
  <c r="W26" i="18" s="1"/>
  <c r="S26" i="18"/>
  <c r="O26" i="18"/>
  <c r="V26" i="18" s="1"/>
  <c r="N26" i="18"/>
  <c r="J26" i="18"/>
  <c r="U26" i="18" s="1"/>
  <c r="I26" i="18"/>
  <c r="D26" i="18"/>
  <c r="C26" i="18"/>
  <c r="B26" i="18"/>
  <c r="A26" i="18"/>
  <c r="T25" i="18"/>
  <c r="W25" i="18" s="1"/>
  <c r="S25" i="18"/>
  <c r="O25" i="18"/>
  <c r="V25" i="18" s="1"/>
  <c r="N25" i="18"/>
  <c r="J25" i="18"/>
  <c r="U25" i="18" s="1"/>
  <c r="I25" i="18"/>
  <c r="D25" i="18"/>
  <c r="C25" i="18"/>
  <c r="B25" i="18"/>
  <c r="A25" i="18"/>
  <c r="T24" i="18"/>
  <c r="W24" i="18" s="1"/>
  <c r="S24" i="18"/>
  <c r="O24" i="18"/>
  <c r="V24" i="18" s="1"/>
  <c r="N24" i="18"/>
  <c r="J24" i="18"/>
  <c r="U24" i="18" s="1"/>
  <c r="I24" i="18"/>
  <c r="D24" i="18"/>
  <c r="C24" i="18"/>
  <c r="B24" i="18"/>
  <c r="A24" i="18"/>
  <c r="T23" i="18"/>
  <c r="W23" i="18" s="1"/>
  <c r="S23" i="18"/>
  <c r="O23" i="18"/>
  <c r="V23" i="18" s="1"/>
  <c r="N23" i="18"/>
  <c r="J23" i="18"/>
  <c r="U23" i="18" s="1"/>
  <c r="I23" i="18"/>
  <c r="D23" i="18"/>
  <c r="C23" i="18"/>
  <c r="B23" i="18"/>
  <c r="A23" i="18"/>
  <c r="T22" i="18"/>
  <c r="W22" i="18" s="1"/>
  <c r="S22" i="18"/>
  <c r="O22" i="18"/>
  <c r="V22" i="18" s="1"/>
  <c r="N22" i="18"/>
  <c r="J22" i="18"/>
  <c r="U22" i="18" s="1"/>
  <c r="I22" i="18"/>
  <c r="D22" i="18"/>
  <c r="C22" i="18"/>
  <c r="B22" i="18"/>
  <c r="A22" i="18"/>
  <c r="T21" i="18"/>
  <c r="W21" i="18" s="1"/>
  <c r="S21" i="18"/>
  <c r="O21" i="18"/>
  <c r="V21" i="18" s="1"/>
  <c r="N21" i="18"/>
  <c r="J21" i="18"/>
  <c r="U21" i="18" s="1"/>
  <c r="I21" i="18"/>
  <c r="D21" i="18"/>
  <c r="C21" i="18"/>
  <c r="B21" i="18"/>
  <c r="A21" i="18"/>
  <c r="T20" i="18"/>
  <c r="W20" i="18" s="1"/>
  <c r="S20" i="18"/>
  <c r="O20" i="18"/>
  <c r="V20" i="18" s="1"/>
  <c r="N20" i="18"/>
  <c r="J20" i="18"/>
  <c r="U20" i="18" s="1"/>
  <c r="I20" i="18"/>
  <c r="D20" i="18"/>
  <c r="C20" i="18"/>
  <c r="B20" i="18"/>
  <c r="A20" i="18"/>
  <c r="T19" i="18"/>
  <c r="W19" i="18" s="1"/>
  <c r="S19" i="18"/>
  <c r="O19" i="18"/>
  <c r="V19" i="18" s="1"/>
  <c r="N19" i="18"/>
  <c r="J19" i="18"/>
  <c r="U19" i="18" s="1"/>
  <c r="I19" i="18"/>
  <c r="D19" i="18"/>
  <c r="C19" i="18"/>
  <c r="B19" i="18"/>
  <c r="A19" i="18"/>
  <c r="T18" i="18"/>
  <c r="W18" i="18" s="1"/>
  <c r="S18" i="18"/>
  <c r="O18" i="18"/>
  <c r="V18" i="18" s="1"/>
  <c r="N18" i="18"/>
  <c r="J18" i="18"/>
  <c r="U18" i="18" s="1"/>
  <c r="I18" i="18"/>
  <c r="D18" i="18"/>
  <c r="C18" i="18"/>
  <c r="B18" i="18"/>
  <c r="A18" i="18"/>
  <c r="T17" i="18"/>
  <c r="W17" i="18" s="1"/>
  <c r="S17" i="18"/>
  <c r="O17" i="18"/>
  <c r="V17" i="18" s="1"/>
  <c r="N17" i="18"/>
  <c r="J17" i="18"/>
  <c r="U17" i="18" s="1"/>
  <c r="I17" i="18"/>
  <c r="D17" i="18"/>
  <c r="C17" i="18"/>
  <c r="B17" i="18"/>
  <c r="A17" i="18"/>
  <c r="T16" i="18"/>
  <c r="W16" i="18" s="1"/>
  <c r="S16" i="18"/>
  <c r="O16" i="18"/>
  <c r="V16" i="18" s="1"/>
  <c r="N16" i="18"/>
  <c r="J16" i="18"/>
  <c r="U16" i="18" s="1"/>
  <c r="I16" i="18"/>
  <c r="D16" i="18"/>
  <c r="C16" i="18"/>
  <c r="B16" i="18"/>
  <c r="A16" i="18"/>
  <c r="T15" i="18"/>
  <c r="W15" i="18" s="1"/>
  <c r="S15" i="18"/>
  <c r="O15" i="18"/>
  <c r="V15" i="18" s="1"/>
  <c r="N15" i="18"/>
  <c r="J15" i="18"/>
  <c r="U15" i="18" s="1"/>
  <c r="I15" i="18"/>
  <c r="D15" i="18"/>
  <c r="C15" i="18"/>
  <c r="B15" i="18"/>
  <c r="A15" i="18"/>
  <c r="T14" i="18"/>
  <c r="W14" i="18" s="1"/>
  <c r="S14" i="18"/>
  <c r="O14" i="18"/>
  <c r="V14" i="18" s="1"/>
  <c r="N14" i="18"/>
  <c r="J14" i="18"/>
  <c r="U14" i="18" s="1"/>
  <c r="I14" i="18"/>
  <c r="D14" i="18"/>
  <c r="C14" i="18"/>
  <c r="B14" i="18"/>
  <c r="A14" i="18"/>
  <c r="N13" i="18"/>
  <c r="I13" i="18"/>
  <c r="D13" i="18"/>
  <c r="C13" i="18"/>
  <c r="S13" i="18" s="1"/>
  <c r="S12" i="18"/>
  <c r="N12" i="18"/>
  <c r="I12" i="18"/>
  <c r="D12" i="18"/>
  <c r="C12" i="18"/>
  <c r="I11" i="18"/>
  <c r="D11" i="18"/>
  <c r="C11" i="18"/>
  <c r="N11" i="18" s="1"/>
  <c r="S10" i="18"/>
  <c r="I10" i="18"/>
  <c r="D10" i="18"/>
  <c r="C10" i="18"/>
  <c r="N10" i="18" s="1"/>
  <c r="N9" i="18"/>
  <c r="I9" i="18"/>
  <c r="D9" i="18"/>
  <c r="C9" i="18"/>
  <c r="S9" i="18" s="1"/>
  <c r="N8" i="18"/>
  <c r="I8" i="18"/>
  <c r="D8" i="18"/>
  <c r="C8" i="18"/>
  <c r="S8" i="18" s="1"/>
  <c r="B8" i="18"/>
  <c r="B9" i="18" s="1"/>
  <c r="S7" i="18"/>
  <c r="I7" i="18"/>
  <c r="D7" i="18"/>
  <c r="C7" i="18"/>
  <c r="N7" i="18" s="1"/>
  <c r="B7" i="18"/>
  <c r="A7" i="18"/>
  <c r="I6" i="18"/>
  <c r="D6" i="18"/>
  <c r="C6" i="18"/>
  <c r="S6" i="18" s="1"/>
  <c r="B6" i="18"/>
  <c r="A6" i="18"/>
  <c r="S5" i="18"/>
  <c r="I5" i="18"/>
  <c r="D5" i="18"/>
  <c r="C5" i="18"/>
  <c r="N5" i="18" s="1"/>
  <c r="O5" i="18" s="1"/>
  <c r="B5" i="18"/>
  <c r="A5" i="18" s="1"/>
  <c r="S4" i="18"/>
  <c r="T4" i="18" s="1"/>
  <c r="N4" i="18"/>
  <c r="O4" i="18" s="1"/>
  <c r="V4" i="18" s="1"/>
  <c r="J4" i="18"/>
  <c r="I4" i="18"/>
  <c r="W3" i="18"/>
  <c r="U3" i="18"/>
  <c r="W2" i="18"/>
  <c r="V2" i="18"/>
  <c r="U2" i="18"/>
  <c r="V8" i="20" l="1"/>
  <c r="O9" i="20"/>
  <c r="T8" i="20"/>
  <c r="W7" i="20"/>
  <c r="B11" i="20"/>
  <c r="A11" i="20" s="1"/>
  <c r="J8" i="20"/>
  <c r="U7" i="20"/>
  <c r="W6" i="19"/>
  <c r="T7" i="19"/>
  <c r="J7" i="19"/>
  <c r="U6" i="19"/>
  <c r="O7" i="19"/>
  <c r="V6" i="19"/>
  <c r="B9" i="19"/>
  <c r="A9" i="19"/>
  <c r="A8" i="18"/>
  <c r="J5" i="18"/>
  <c r="T5" i="18"/>
  <c r="S11" i="18"/>
  <c r="V5" i="18"/>
  <c r="U5" i="18"/>
  <c r="J6" i="18"/>
  <c r="T6" i="18"/>
  <c r="W5" i="18"/>
  <c r="B10" i="18"/>
  <c r="W4" i="18"/>
  <c r="N6" i="18"/>
  <c r="O6" i="18" s="1"/>
  <c r="A9" i="18"/>
  <c r="U4" i="18"/>
  <c r="T30" i="17"/>
  <c r="W30" i="17" s="1"/>
  <c r="S30" i="17"/>
  <c r="O30" i="17"/>
  <c r="V30" i="17" s="1"/>
  <c r="N30" i="17"/>
  <c r="J30" i="17"/>
  <c r="U30" i="17" s="1"/>
  <c r="I30" i="17"/>
  <c r="D30" i="17"/>
  <c r="C30" i="17"/>
  <c r="B30" i="17"/>
  <c r="A30" i="17"/>
  <c r="T29" i="17"/>
  <c r="W29" i="17" s="1"/>
  <c r="S29" i="17"/>
  <c r="O29" i="17"/>
  <c r="V29" i="17" s="1"/>
  <c r="N29" i="17"/>
  <c r="J29" i="17"/>
  <c r="U29" i="17" s="1"/>
  <c r="I29" i="17"/>
  <c r="D29" i="17"/>
  <c r="C29" i="17"/>
  <c r="B29" i="17"/>
  <c r="A29" i="17"/>
  <c r="T28" i="17"/>
  <c r="W28" i="17" s="1"/>
  <c r="S28" i="17"/>
  <c r="O28" i="17"/>
  <c r="V28" i="17" s="1"/>
  <c r="N28" i="17"/>
  <c r="J28" i="17"/>
  <c r="U28" i="17" s="1"/>
  <c r="I28" i="17"/>
  <c r="D28" i="17"/>
  <c r="C28" i="17"/>
  <c r="B28" i="17"/>
  <c r="A28" i="17"/>
  <c r="T27" i="17"/>
  <c r="W27" i="17" s="1"/>
  <c r="S27" i="17"/>
  <c r="O27" i="17"/>
  <c r="V27" i="17" s="1"/>
  <c r="N27" i="17"/>
  <c r="J27" i="17"/>
  <c r="U27" i="17" s="1"/>
  <c r="I27" i="17"/>
  <c r="D27" i="17"/>
  <c r="C27" i="17"/>
  <c r="B27" i="17"/>
  <c r="A27" i="17"/>
  <c r="T26" i="17"/>
  <c r="W26" i="17" s="1"/>
  <c r="S26" i="17"/>
  <c r="O26" i="17"/>
  <c r="V26" i="17" s="1"/>
  <c r="N26" i="17"/>
  <c r="J26" i="17"/>
  <c r="U26" i="17" s="1"/>
  <c r="I26" i="17"/>
  <c r="D26" i="17"/>
  <c r="C26" i="17"/>
  <c r="B26" i="17"/>
  <c r="A26" i="17"/>
  <c r="T25" i="17"/>
  <c r="W25" i="17" s="1"/>
  <c r="S25" i="17"/>
  <c r="O25" i="17"/>
  <c r="V25" i="17" s="1"/>
  <c r="N25" i="17"/>
  <c r="J25" i="17"/>
  <c r="U25" i="17" s="1"/>
  <c r="I25" i="17"/>
  <c r="D25" i="17"/>
  <c r="C25" i="17"/>
  <c r="B25" i="17"/>
  <c r="A25" i="17"/>
  <c r="T24" i="17"/>
  <c r="W24" i="17" s="1"/>
  <c r="S24" i="17"/>
  <c r="O24" i="17"/>
  <c r="V24" i="17" s="1"/>
  <c r="N24" i="17"/>
  <c r="J24" i="17"/>
  <c r="U24" i="17" s="1"/>
  <c r="I24" i="17"/>
  <c r="D24" i="17"/>
  <c r="C24" i="17"/>
  <c r="B24" i="17"/>
  <c r="A24" i="17"/>
  <c r="T23" i="17"/>
  <c r="W23" i="17" s="1"/>
  <c r="S23" i="17"/>
  <c r="O23" i="17"/>
  <c r="V23" i="17" s="1"/>
  <c r="N23" i="17"/>
  <c r="J23" i="17"/>
  <c r="U23" i="17" s="1"/>
  <c r="I23" i="17"/>
  <c r="D23" i="17"/>
  <c r="C23" i="17"/>
  <c r="B23" i="17"/>
  <c r="A23" i="17"/>
  <c r="T22" i="17"/>
  <c r="W22" i="17" s="1"/>
  <c r="S22" i="17"/>
  <c r="O22" i="17"/>
  <c r="V22" i="17" s="1"/>
  <c r="N22" i="17"/>
  <c r="J22" i="17"/>
  <c r="U22" i="17" s="1"/>
  <c r="I22" i="17"/>
  <c r="D22" i="17"/>
  <c r="C22" i="17"/>
  <c r="B22" i="17"/>
  <c r="A22" i="17"/>
  <c r="T21" i="17"/>
  <c r="W21" i="17" s="1"/>
  <c r="S21" i="17"/>
  <c r="O21" i="17"/>
  <c r="V21" i="17" s="1"/>
  <c r="N21" i="17"/>
  <c r="J21" i="17"/>
  <c r="U21" i="17" s="1"/>
  <c r="I21" i="17"/>
  <c r="D21" i="17"/>
  <c r="C21" i="17"/>
  <c r="B21" i="17"/>
  <c r="A21" i="17"/>
  <c r="T20" i="17"/>
  <c r="W20" i="17" s="1"/>
  <c r="S20" i="17"/>
  <c r="O20" i="17"/>
  <c r="V20" i="17" s="1"/>
  <c r="N20" i="17"/>
  <c r="J20" i="17"/>
  <c r="U20" i="17" s="1"/>
  <c r="I20" i="17"/>
  <c r="D20" i="17"/>
  <c r="C20" i="17"/>
  <c r="B20" i="17"/>
  <c r="A20" i="17"/>
  <c r="T19" i="17"/>
  <c r="W19" i="17" s="1"/>
  <c r="S19" i="17"/>
  <c r="O19" i="17"/>
  <c r="V19" i="17" s="1"/>
  <c r="N19" i="17"/>
  <c r="J19" i="17"/>
  <c r="U19" i="17" s="1"/>
  <c r="I19" i="17"/>
  <c r="D19" i="17"/>
  <c r="C19" i="17"/>
  <c r="B19" i="17"/>
  <c r="A19" i="17"/>
  <c r="T18" i="17"/>
  <c r="W18" i="17" s="1"/>
  <c r="S18" i="17"/>
  <c r="O18" i="17"/>
  <c r="V18" i="17" s="1"/>
  <c r="N18" i="17"/>
  <c r="J18" i="17"/>
  <c r="U18" i="17" s="1"/>
  <c r="I18" i="17"/>
  <c r="D18" i="17"/>
  <c r="C18" i="17"/>
  <c r="B18" i="17"/>
  <c r="A18" i="17"/>
  <c r="T17" i="17"/>
  <c r="W17" i="17" s="1"/>
  <c r="S17" i="17"/>
  <c r="O17" i="17"/>
  <c r="V17" i="17" s="1"/>
  <c r="N17" i="17"/>
  <c r="J17" i="17"/>
  <c r="U17" i="17" s="1"/>
  <c r="I17" i="17"/>
  <c r="D17" i="17"/>
  <c r="C17" i="17"/>
  <c r="B17" i="17"/>
  <c r="A17" i="17"/>
  <c r="T16" i="17"/>
  <c r="W16" i="17" s="1"/>
  <c r="S16" i="17"/>
  <c r="O16" i="17"/>
  <c r="V16" i="17" s="1"/>
  <c r="N16" i="17"/>
  <c r="J16" i="17"/>
  <c r="U16" i="17" s="1"/>
  <c r="I16" i="17"/>
  <c r="D16" i="17"/>
  <c r="C16" i="17"/>
  <c r="B16" i="17"/>
  <c r="A16" i="17"/>
  <c r="T15" i="17"/>
  <c r="W15" i="17" s="1"/>
  <c r="S15" i="17"/>
  <c r="O15" i="17"/>
  <c r="V15" i="17" s="1"/>
  <c r="N15" i="17"/>
  <c r="J15" i="17"/>
  <c r="U15" i="17" s="1"/>
  <c r="I15" i="17"/>
  <c r="D15" i="17"/>
  <c r="C15" i="17"/>
  <c r="B15" i="17"/>
  <c r="A15" i="17"/>
  <c r="T14" i="17"/>
  <c r="W14" i="17" s="1"/>
  <c r="S14" i="17"/>
  <c r="O14" i="17"/>
  <c r="V14" i="17" s="1"/>
  <c r="N14" i="17"/>
  <c r="J14" i="17"/>
  <c r="U14" i="17" s="1"/>
  <c r="I14" i="17"/>
  <c r="D14" i="17"/>
  <c r="C14" i="17"/>
  <c r="B14" i="17"/>
  <c r="A14" i="17"/>
  <c r="S13" i="17"/>
  <c r="T13" i="17" s="1"/>
  <c r="W13" i="17" s="1"/>
  <c r="O13" i="17"/>
  <c r="V13" i="17" s="1"/>
  <c r="N13" i="17"/>
  <c r="I13" i="17"/>
  <c r="J13" i="17" s="1"/>
  <c r="U13" i="17" s="1"/>
  <c r="D13" i="17"/>
  <c r="C13" i="17"/>
  <c r="B13" i="17"/>
  <c r="A13" i="17"/>
  <c r="T12" i="17"/>
  <c r="W12" i="17" s="1"/>
  <c r="S12" i="17"/>
  <c r="N12" i="17"/>
  <c r="O12" i="17" s="1"/>
  <c r="V12" i="17" s="1"/>
  <c r="I12" i="17"/>
  <c r="J12" i="17" s="1"/>
  <c r="U12" i="17" s="1"/>
  <c r="D12" i="17"/>
  <c r="C12" i="17"/>
  <c r="B12" i="17"/>
  <c r="A12" i="17" s="1"/>
  <c r="S11" i="17"/>
  <c r="T11" i="17" s="1"/>
  <c r="W11" i="17" s="1"/>
  <c r="N11" i="17"/>
  <c r="O11" i="17" s="1"/>
  <c r="V11" i="17" s="1"/>
  <c r="I11" i="17"/>
  <c r="J11" i="17" s="1"/>
  <c r="U11" i="17" s="1"/>
  <c r="D11" i="17"/>
  <c r="C11" i="17"/>
  <c r="B11" i="17"/>
  <c r="A11" i="17"/>
  <c r="T10" i="17"/>
  <c r="W10" i="17" s="1"/>
  <c r="S10" i="17"/>
  <c r="N10" i="17"/>
  <c r="O10" i="17" s="1"/>
  <c r="V10" i="17" s="1"/>
  <c r="I10" i="17"/>
  <c r="J10" i="17" s="1"/>
  <c r="U10" i="17" s="1"/>
  <c r="D10" i="17"/>
  <c r="C10" i="17"/>
  <c r="B10" i="17"/>
  <c r="A10" i="17"/>
  <c r="T9" i="17"/>
  <c r="W9" i="17" s="1"/>
  <c r="S9" i="17"/>
  <c r="N9" i="17"/>
  <c r="O9" i="17" s="1"/>
  <c r="V9" i="17" s="1"/>
  <c r="I9" i="17"/>
  <c r="J9" i="17" s="1"/>
  <c r="U9" i="17" s="1"/>
  <c r="D9" i="17"/>
  <c r="C9" i="17"/>
  <c r="B9" i="17"/>
  <c r="A9" i="17"/>
  <c r="S8" i="17"/>
  <c r="T8" i="17" s="1"/>
  <c r="W8" i="17" s="1"/>
  <c r="O8" i="17"/>
  <c r="V8" i="17" s="1"/>
  <c r="N8" i="17"/>
  <c r="J8" i="17"/>
  <c r="U8" i="17" s="1"/>
  <c r="I8" i="17"/>
  <c r="D8" i="17"/>
  <c r="C8" i="17"/>
  <c r="B8" i="17"/>
  <c r="A8" i="17"/>
  <c r="T7" i="17"/>
  <c r="W7" i="17" s="1"/>
  <c r="S7" i="17"/>
  <c r="N7" i="17"/>
  <c r="O7" i="17" s="1"/>
  <c r="V7" i="17" s="1"/>
  <c r="I7" i="17"/>
  <c r="J7" i="17" s="1"/>
  <c r="U7" i="17" s="1"/>
  <c r="D7" i="17"/>
  <c r="C7" i="17"/>
  <c r="B7" i="17"/>
  <c r="A7" i="17"/>
  <c r="S6" i="17"/>
  <c r="D6" i="17"/>
  <c r="B6" i="17"/>
  <c r="D5" i="17"/>
  <c r="C5" i="17"/>
  <c r="S5" i="17" s="1"/>
  <c r="B5" i="17"/>
  <c r="A5" i="17"/>
  <c r="S4" i="17"/>
  <c r="T4" i="17" s="1"/>
  <c r="N4" i="17"/>
  <c r="O4" i="17" s="1"/>
  <c r="I4" i="17"/>
  <c r="J4" i="17" s="1"/>
  <c r="W3" i="17"/>
  <c r="V3" i="17"/>
  <c r="U3" i="17"/>
  <c r="W2" i="17"/>
  <c r="V2" i="17"/>
  <c r="U2" i="17"/>
  <c r="J9" i="20" l="1"/>
  <c r="U8" i="20"/>
  <c r="O10" i="20"/>
  <c r="V9" i="20"/>
  <c r="T9" i="20"/>
  <c r="W8" i="20"/>
  <c r="B10" i="19"/>
  <c r="J8" i="19"/>
  <c r="U7" i="19"/>
  <c r="T8" i="19"/>
  <c r="W7" i="19"/>
  <c r="V7" i="19"/>
  <c r="O8" i="19"/>
  <c r="O7" i="18"/>
  <c r="V6" i="18"/>
  <c r="W6" i="18"/>
  <c r="T7" i="18"/>
  <c r="B11" i="18"/>
  <c r="J7" i="18"/>
  <c r="U6" i="18"/>
  <c r="A10" i="18"/>
  <c r="A6" i="17"/>
  <c r="N5" i="17"/>
  <c r="O5" i="17" s="1"/>
  <c r="V5" i="17" s="1"/>
  <c r="T5" i="17"/>
  <c r="W4" i="17"/>
  <c r="U4" i="17"/>
  <c r="V4" i="17"/>
  <c r="C6" i="17"/>
  <c r="I5" i="17"/>
  <c r="J5" i="17" s="1"/>
  <c r="O11" i="20" l="1"/>
  <c r="V11" i="20" s="1"/>
  <c r="V10" i="20"/>
  <c r="W9" i="20"/>
  <c r="T10" i="20"/>
  <c r="J10" i="20"/>
  <c r="U9" i="20"/>
  <c r="B11" i="19"/>
  <c r="A11" i="19" s="1"/>
  <c r="T9" i="19"/>
  <c r="W8" i="19"/>
  <c r="V8" i="19"/>
  <c r="O9" i="19"/>
  <c r="J9" i="19"/>
  <c r="U8" i="19"/>
  <c r="A10" i="19"/>
  <c r="J8" i="18"/>
  <c r="U7" i="18"/>
  <c r="B12" i="18"/>
  <c r="A12" i="18"/>
  <c r="T8" i="18"/>
  <c r="W7" i="18"/>
  <c r="A11" i="18"/>
  <c r="V7" i="18"/>
  <c r="O8" i="18"/>
  <c r="U5" i="17"/>
  <c r="I6" i="17"/>
  <c r="J6" i="17" s="1"/>
  <c r="U6" i="17" s="1"/>
  <c r="N6" i="17"/>
  <c r="O6" i="17" s="1"/>
  <c r="V6" i="17" s="1"/>
  <c r="W5" i="17"/>
  <c r="T6" i="17"/>
  <c r="W6" i="17" s="1"/>
  <c r="J11" i="20" l="1"/>
  <c r="U11" i="20" s="1"/>
  <c r="U10" i="20"/>
  <c r="W10" i="20"/>
  <c r="T11" i="20"/>
  <c r="W11" i="20" s="1"/>
  <c r="J10" i="19"/>
  <c r="U9" i="19"/>
  <c r="T10" i="19"/>
  <c r="W9" i="19"/>
  <c r="O10" i="19"/>
  <c r="V9" i="19"/>
  <c r="B13" i="18"/>
  <c r="A13" i="18"/>
  <c r="V8" i="18"/>
  <c r="O9" i="18"/>
  <c r="T9" i="18"/>
  <c r="W8" i="18"/>
  <c r="J9" i="18"/>
  <c r="U8" i="18"/>
  <c r="T30" i="16"/>
  <c r="W30" i="16" s="1"/>
  <c r="S30" i="16"/>
  <c r="O30" i="16"/>
  <c r="V30" i="16" s="1"/>
  <c r="N30" i="16"/>
  <c r="J30" i="16"/>
  <c r="U30" i="16" s="1"/>
  <c r="I30" i="16"/>
  <c r="D30" i="16"/>
  <c r="C30" i="16"/>
  <c r="B30" i="16"/>
  <c r="A30" i="16"/>
  <c r="T29" i="16"/>
  <c r="W29" i="16" s="1"/>
  <c r="S29" i="16"/>
  <c r="O29" i="16"/>
  <c r="V29" i="16" s="1"/>
  <c r="N29" i="16"/>
  <c r="J29" i="16"/>
  <c r="U29" i="16" s="1"/>
  <c r="I29" i="16"/>
  <c r="D29" i="16"/>
  <c r="C29" i="16"/>
  <c r="B29" i="16"/>
  <c r="A29" i="16"/>
  <c r="T28" i="16"/>
  <c r="W28" i="16" s="1"/>
  <c r="S28" i="16"/>
  <c r="O28" i="16"/>
  <c r="V28" i="16" s="1"/>
  <c r="N28" i="16"/>
  <c r="J28" i="16"/>
  <c r="U28" i="16" s="1"/>
  <c r="I28" i="16"/>
  <c r="D28" i="16"/>
  <c r="C28" i="16"/>
  <c r="B28" i="16"/>
  <c r="A28" i="16"/>
  <c r="T27" i="16"/>
  <c r="W27" i="16" s="1"/>
  <c r="S27" i="16"/>
  <c r="O27" i="16"/>
  <c r="V27" i="16" s="1"/>
  <c r="N27" i="16"/>
  <c r="J27" i="16"/>
  <c r="U27" i="16" s="1"/>
  <c r="I27" i="16"/>
  <c r="D27" i="16"/>
  <c r="C27" i="16"/>
  <c r="B27" i="16"/>
  <c r="A27" i="16"/>
  <c r="T26" i="16"/>
  <c r="W26" i="16" s="1"/>
  <c r="S26" i="16"/>
  <c r="O26" i="16"/>
  <c r="V26" i="16" s="1"/>
  <c r="N26" i="16"/>
  <c r="J26" i="16"/>
  <c r="U26" i="16" s="1"/>
  <c r="I26" i="16"/>
  <c r="D26" i="16"/>
  <c r="C26" i="16"/>
  <c r="B26" i="16"/>
  <c r="A26" i="16"/>
  <c r="T25" i="16"/>
  <c r="W25" i="16" s="1"/>
  <c r="S25" i="16"/>
  <c r="O25" i="16"/>
  <c r="V25" i="16" s="1"/>
  <c r="N25" i="16"/>
  <c r="J25" i="16"/>
  <c r="U25" i="16" s="1"/>
  <c r="I25" i="16"/>
  <c r="D25" i="16"/>
  <c r="C25" i="16"/>
  <c r="B25" i="16"/>
  <c r="A25" i="16"/>
  <c r="T24" i="16"/>
  <c r="W24" i="16" s="1"/>
  <c r="S24" i="16"/>
  <c r="O24" i="16"/>
  <c r="V24" i="16" s="1"/>
  <c r="N24" i="16"/>
  <c r="J24" i="16"/>
  <c r="U24" i="16" s="1"/>
  <c r="I24" i="16"/>
  <c r="D24" i="16"/>
  <c r="C24" i="16"/>
  <c r="B24" i="16"/>
  <c r="A24" i="16"/>
  <c r="T23" i="16"/>
  <c r="W23" i="16" s="1"/>
  <c r="S23" i="16"/>
  <c r="O23" i="16"/>
  <c r="V23" i="16" s="1"/>
  <c r="N23" i="16"/>
  <c r="J23" i="16"/>
  <c r="U23" i="16" s="1"/>
  <c r="I23" i="16"/>
  <c r="D23" i="16"/>
  <c r="C23" i="16"/>
  <c r="B23" i="16"/>
  <c r="A23" i="16"/>
  <c r="T22" i="16"/>
  <c r="W22" i="16" s="1"/>
  <c r="S22" i="16"/>
  <c r="O22" i="16"/>
  <c r="V22" i="16" s="1"/>
  <c r="N22" i="16"/>
  <c r="J22" i="16"/>
  <c r="U22" i="16" s="1"/>
  <c r="I22" i="16"/>
  <c r="D22" i="16"/>
  <c r="C22" i="16"/>
  <c r="B22" i="16"/>
  <c r="A22" i="16"/>
  <c r="T21" i="16"/>
  <c r="W21" i="16" s="1"/>
  <c r="S21" i="16"/>
  <c r="O21" i="16"/>
  <c r="V21" i="16" s="1"/>
  <c r="N21" i="16"/>
  <c r="J21" i="16"/>
  <c r="U21" i="16" s="1"/>
  <c r="I21" i="16"/>
  <c r="D21" i="16"/>
  <c r="C21" i="16"/>
  <c r="B21" i="16"/>
  <c r="A21" i="16"/>
  <c r="T20" i="16"/>
  <c r="W20" i="16" s="1"/>
  <c r="S20" i="16"/>
  <c r="O20" i="16"/>
  <c r="V20" i="16" s="1"/>
  <c r="N20" i="16"/>
  <c r="J20" i="16"/>
  <c r="U20" i="16" s="1"/>
  <c r="I20" i="16"/>
  <c r="D20" i="16"/>
  <c r="C20" i="16"/>
  <c r="B20" i="16"/>
  <c r="A20" i="16"/>
  <c r="T19" i="16"/>
  <c r="W19" i="16" s="1"/>
  <c r="S19" i="16"/>
  <c r="O19" i="16"/>
  <c r="V19" i="16" s="1"/>
  <c r="N19" i="16"/>
  <c r="J19" i="16"/>
  <c r="U19" i="16" s="1"/>
  <c r="I19" i="16"/>
  <c r="D19" i="16"/>
  <c r="C19" i="16"/>
  <c r="B19" i="16"/>
  <c r="A19" i="16"/>
  <c r="T18" i="16"/>
  <c r="W18" i="16" s="1"/>
  <c r="S18" i="16"/>
  <c r="O18" i="16"/>
  <c r="V18" i="16" s="1"/>
  <c r="N18" i="16"/>
  <c r="J18" i="16"/>
  <c r="U18" i="16" s="1"/>
  <c r="I18" i="16"/>
  <c r="D18" i="16"/>
  <c r="C18" i="16"/>
  <c r="B18" i="16"/>
  <c r="A18" i="16"/>
  <c r="T17" i="16"/>
  <c r="W17" i="16" s="1"/>
  <c r="S17" i="16"/>
  <c r="O17" i="16"/>
  <c r="V17" i="16" s="1"/>
  <c r="N17" i="16"/>
  <c r="J17" i="16"/>
  <c r="U17" i="16" s="1"/>
  <c r="I17" i="16"/>
  <c r="D17" i="16"/>
  <c r="C17" i="16"/>
  <c r="B17" i="16"/>
  <c r="A17" i="16"/>
  <c r="T16" i="16"/>
  <c r="W16" i="16" s="1"/>
  <c r="S16" i="16"/>
  <c r="O16" i="16"/>
  <c r="V16" i="16" s="1"/>
  <c r="N16" i="16"/>
  <c r="J16" i="16"/>
  <c r="U16" i="16" s="1"/>
  <c r="I16" i="16"/>
  <c r="D16" i="16"/>
  <c r="C16" i="16"/>
  <c r="B16" i="16"/>
  <c r="A16" i="16"/>
  <c r="T15" i="16"/>
  <c r="W15" i="16" s="1"/>
  <c r="S15" i="16"/>
  <c r="O15" i="16"/>
  <c r="V15" i="16" s="1"/>
  <c r="N15" i="16"/>
  <c r="J15" i="16"/>
  <c r="U15" i="16" s="1"/>
  <c r="I15" i="16"/>
  <c r="D15" i="16"/>
  <c r="C15" i="16"/>
  <c r="B15" i="16"/>
  <c r="A15" i="16"/>
  <c r="T14" i="16"/>
  <c r="W14" i="16" s="1"/>
  <c r="S14" i="16"/>
  <c r="O14" i="16"/>
  <c r="V14" i="16" s="1"/>
  <c r="N14" i="16"/>
  <c r="J14" i="16"/>
  <c r="U14" i="16" s="1"/>
  <c r="I14" i="16"/>
  <c r="D14" i="16"/>
  <c r="C14" i="16"/>
  <c r="B14" i="16"/>
  <c r="A14" i="16"/>
  <c r="T13" i="16"/>
  <c r="W13" i="16" s="1"/>
  <c r="S13" i="16"/>
  <c r="O13" i="16"/>
  <c r="V13" i="16" s="1"/>
  <c r="N13" i="16"/>
  <c r="J13" i="16"/>
  <c r="U13" i="16" s="1"/>
  <c r="I13" i="16"/>
  <c r="D13" i="16"/>
  <c r="C13" i="16"/>
  <c r="B13" i="16"/>
  <c r="A13" i="16"/>
  <c r="T12" i="16"/>
  <c r="W12" i="16" s="1"/>
  <c r="S12" i="16"/>
  <c r="O12" i="16"/>
  <c r="V12" i="16" s="1"/>
  <c r="N12" i="16"/>
  <c r="J12" i="16"/>
  <c r="U12" i="16" s="1"/>
  <c r="I12" i="16"/>
  <c r="D12" i="16"/>
  <c r="C12" i="16"/>
  <c r="B12" i="16"/>
  <c r="A12" i="16"/>
  <c r="T11" i="16"/>
  <c r="W11" i="16" s="1"/>
  <c r="S11" i="16"/>
  <c r="O11" i="16"/>
  <c r="V11" i="16" s="1"/>
  <c r="N11" i="16"/>
  <c r="J11" i="16"/>
  <c r="U11" i="16" s="1"/>
  <c r="I11" i="16"/>
  <c r="D11" i="16"/>
  <c r="C11" i="16"/>
  <c r="B11" i="16"/>
  <c r="A11" i="16"/>
  <c r="T10" i="16"/>
  <c r="W10" i="16" s="1"/>
  <c r="S10" i="16"/>
  <c r="O10" i="16"/>
  <c r="V10" i="16" s="1"/>
  <c r="N10" i="16"/>
  <c r="J10" i="16"/>
  <c r="U10" i="16" s="1"/>
  <c r="I10" i="16"/>
  <c r="D10" i="16"/>
  <c r="C10" i="16"/>
  <c r="B10" i="16"/>
  <c r="A10" i="16"/>
  <c r="C9" i="16"/>
  <c r="N9" i="16" s="1"/>
  <c r="S8" i="16"/>
  <c r="N8" i="16"/>
  <c r="I8" i="16"/>
  <c r="D8" i="16"/>
  <c r="D9" i="16" s="1"/>
  <c r="C8" i="16"/>
  <c r="I7" i="16"/>
  <c r="D7" i="16"/>
  <c r="C7" i="16"/>
  <c r="N7" i="16" s="1"/>
  <c r="I6" i="16"/>
  <c r="D6" i="16"/>
  <c r="C6" i="16"/>
  <c r="S6" i="16" s="1"/>
  <c r="B6" i="16"/>
  <c r="B7" i="16" s="1"/>
  <c r="N5" i="16"/>
  <c r="D5" i="16"/>
  <c r="C5" i="16"/>
  <c r="S5" i="16" s="1"/>
  <c r="B5" i="16"/>
  <c r="A6" i="16" s="1"/>
  <c r="A5" i="16"/>
  <c r="S4" i="16"/>
  <c r="T4" i="16" s="1"/>
  <c r="N4" i="16"/>
  <c r="O4" i="16" s="1"/>
  <c r="I4" i="16"/>
  <c r="J4" i="16" s="1"/>
  <c r="W3" i="16"/>
  <c r="V3" i="16"/>
  <c r="U3" i="16"/>
  <c r="W2" i="16"/>
  <c r="V2" i="16"/>
  <c r="U2" i="16"/>
  <c r="W10" i="19" l="1"/>
  <c r="T11" i="19"/>
  <c r="W11" i="19" s="1"/>
  <c r="O11" i="19"/>
  <c r="V11" i="19" s="1"/>
  <c r="V10" i="19"/>
  <c r="J11" i="19"/>
  <c r="U11" i="19" s="1"/>
  <c r="U10" i="19"/>
  <c r="O10" i="18"/>
  <c r="V9" i="18"/>
  <c r="U9" i="18"/>
  <c r="J10" i="18"/>
  <c r="W9" i="18"/>
  <c r="T10" i="18"/>
  <c r="O5" i="16"/>
  <c r="V5" i="16" s="1"/>
  <c r="S7" i="16"/>
  <c r="T5" i="16"/>
  <c r="W4" i="16"/>
  <c r="U4" i="16"/>
  <c r="B8" i="16"/>
  <c r="V4" i="16"/>
  <c r="A7" i="16"/>
  <c r="I5" i="16"/>
  <c r="J5" i="16" s="1"/>
  <c r="I9" i="16"/>
  <c r="S9" i="16"/>
  <c r="N6" i="16"/>
  <c r="O6" i="16" s="1"/>
  <c r="J11" i="18" l="1"/>
  <c r="U10" i="18"/>
  <c r="W10" i="18"/>
  <c r="T11" i="18"/>
  <c r="O11" i="18"/>
  <c r="V10" i="18"/>
  <c r="J6" i="16"/>
  <c r="U5" i="16"/>
  <c r="O7" i="16"/>
  <c r="V6" i="16"/>
  <c r="B9" i="16"/>
  <c r="A8" i="16"/>
  <c r="A9" i="16" s="1"/>
  <c r="W5" i="16"/>
  <c r="T6" i="16"/>
  <c r="T12" i="18" l="1"/>
  <c r="W11" i="18"/>
  <c r="V11" i="18"/>
  <c r="O12" i="18"/>
  <c r="J12" i="18"/>
  <c r="U11" i="18"/>
  <c r="V7" i="16"/>
  <c r="O8" i="16"/>
  <c r="W6" i="16"/>
  <c r="T7" i="16"/>
  <c r="J7" i="16"/>
  <c r="U6" i="16"/>
  <c r="V12" i="18" l="1"/>
  <c r="O13" i="18"/>
  <c r="V13" i="18" s="1"/>
  <c r="J13" i="18"/>
  <c r="U13" i="18" s="1"/>
  <c r="U12" i="18"/>
  <c r="T13" i="18"/>
  <c r="W13" i="18" s="1"/>
  <c r="W12" i="18"/>
  <c r="W7" i="16"/>
  <c r="T8" i="16"/>
  <c r="V8" i="16"/>
  <c r="O9" i="16"/>
  <c r="V9" i="16" s="1"/>
  <c r="J8" i="16"/>
  <c r="U7" i="16"/>
  <c r="T9" i="16" l="1"/>
  <c r="W9" i="16" s="1"/>
  <c r="W8" i="16"/>
  <c r="J9" i="16"/>
  <c r="U9" i="16" s="1"/>
  <c r="U8" i="16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W3" i="1" l="1"/>
  <c r="V3" i="1"/>
  <c r="U3" i="1"/>
  <c r="L12" i="10" l="1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W2" i="1" l="1"/>
  <c r="V2" i="1"/>
  <c r="U2" i="1"/>
  <c r="B2" i="10" l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I6" i="1"/>
  <c r="N6" i="1"/>
  <c r="C5" i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J5" i="1" l="1"/>
  <c r="U5" i="1" s="1"/>
  <c r="A5" i="1"/>
  <c r="U4" i="1"/>
  <c r="A6" i="1"/>
  <c r="A8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15" i="1"/>
  <c r="W15" i="1" s="1"/>
  <c r="T14" i="1"/>
  <c r="W14" i="1" s="1"/>
  <c r="T13" i="1"/>
  <c r="W13" i="1" s="1"/>
  <c r="T12" i="1"/>
  <c r="W12" i="1" s="1"/>
  <c r="T11" i="1"/>
  <c r="W11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15" i="1"/>
  <c r="V15" i="1" s="1"/>
  <c r="O14" i="1"/>
  <c r="V14" i="1" s="1"/>
  <c r="O13" i="1"/>
  <c r="V13" i="1" s="1"/>
  <c r="O12" i="1"/>
  <c r="V12" i="1" s="1"/>
  <c r="O11" i="1"/>
  <c r="V11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15" i="1"/>
  <c r="U15" i="1" s="1"/>
  <c r="J14" i="1"/>
  <c r="U14" i="1" s="1"/>
  <c r="J13" i="1"/>
  <c r="U13" i="1" s="1"/>
  <c r="J12" i="1"/>
  <c r="U12" i="1" s="1"/>
  <c r="J11" i="1"/>
  <c r="U11" i="1" s="1"/>
  <c r="J6" i="1"/>
  <c r="J7" i="1" s="1"/>
  <c r="U7" i="1" s="1"/>
  <c r="J8" i="1" l="1"/>
  <c r="U6" i="1"/>
  <c r="V4" i="1"/>
  <c r="W4" i="1"/>
  <c r="T5" i="1"/>
  <c r="O6" i="1"/>
  <c r="O7" i="1" s="1"/>
  <c r="B10" i="1"/>
  <c r="B11" i="1" s="1"/>
  <c r="V7" i="1" l="1"/>
  <c r="O8" i="1"/>
  <c r="U8" i="1"/>
  <c r="J9" i="1"/>
  <c r="V6" i="1"/>
  <c r="W5" i="1"/>
  <c r="T6" i="1"/>
  <c r="T7" i="1" s="1"/>
  <c r="A10" i="1"/>
  <c r="A11" i="1"/>
  <c r="B12" i="1"/>
  <c r="W7" i="1" l="1"/>
  <c r="T8" i="1"/>
  <c r="U9" i="1"/>
  <c r="J10" i="1"/>
  <c r="U10" i="1" s="1"/>
  <c r="V8" i="1"/>
  <c r="O9" i="1"/>
  <c r="W6" i="1"/>
  <c r="B13" i="1"/>
  <c r="A13" i="1"/>
  <c r="A12" i="1"/>
  <c r="V9" i="1" l="1"/>
  <c r="O10" i="1"/>
  <c r="V10" i="1" s="1"/>
  <c r="W8" i="1"/>
  <c r="T9" i="1"/>
  <c r="B14" i="1"/>
  <c r="A14" i="1" s="1"/>
  <c r="W9" i="1" l="1"/>
  <c r="T10" i="1"/>
  <c r="W10" i="1" s="1"/>
</calcChain>
</file>

<file path=xl/sharedStrings.xml><?xml version="1.0" encoding="utf-8"?>
<sst xmlns="http://schemas.openxmlformats.org/spreadsheetml/2006/main" count="361" uniqueCount="35">
  <si>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</si>
  <si>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</si>
  <si>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</si>
  <si>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</si>
  <si>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</si>
  <si>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</si>
  <si>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</si>
  <si>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</si>
  <si>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</si>
  <si>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</si>
  <si>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</si>
  <si>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</si>
  <si>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</si>
  <si>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</si>
  <si>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</si>
  <si>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</si>
  <si>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</si>
  <si>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</si>
  <si>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</si>
  <si>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</si>
  <si>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</si>
  <si>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</si>
  <si>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</si>
  <si>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</si>
  <si>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りくと</t>
  </si>
  <si>
    <t>りくと</t>
    <phoneticPr fontId="1"/>
  </si>
  <si>
    <t>いっしー</t>
  </si>
  <si>
    <t>いっしー</t>
    <phoneticPr fontId="1"/>
  </si>
  <si>
    <t>ツモ支払</t>
  </si>
  <si>
    <t>ツモ</t>
  </si>
  <si>
    <t>放銃</t>
  </si>
  <si>
    <t>ロン</t>
  </si>
  <si>
    <t>流局</t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</si>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</sst>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2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52" t="s">
        <v>0</v>
      </c>
      <c r="B1" s="54" t="s">
        <v>2</v>
      </c>
      <c r="C1" s="54" t="s">
        <v>1</v>
      </c>
      <c r="D1" s="54" t="s">
        <v>6</v>
      </c>
      <c r="E1" s="56" t="s">
        <v>3</v>
      </c>
      <c r="F1" s="48" t="s">
        <v>23</v>
      </c>
      <c r="G1" s="49"/>
      <c r="H1" s="49"/>
      <c r="I1" s="50"/>
      <c r="J1" s="51"/>
      <c r="K1" s="48" t="s">
        <v>25</v>
      </c>
      <c r="L1" s="49"/>
      <c r="M1" s="49"/>
      <c r="N1" s="50"/>
      <c r="O1" s="51"/>
      <c r="P1" s="48" t="s">
        <v>27</v>
      </c>
      <c r="Q1" s="49"/>
      <c r="R1" s="49"/>
      <c r="S1" s="50"/>
      <c r="T1" s="51"/>
      <c r="U1" s="48" t="s">
        <v>8</v>
      </c>
      <c r="V1" s="49"/>
      <c r="W1" s="51"/>
    </row>
    <row r="2" spans="1:23" x14ac:dyDescent="0.4">
      <c r="A2" s="53"/>
      <c r="B2" s="55"/>
      <c r="C2" s="55"/>
      <c r="D2" s="55"/>
      <c r="E2" s="57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りくと</v>
      </c>
      <c r="W2" s="22" t="str">
        <f>$P$1</f>
        <v>いっしー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26</v>
      </c>
      <c r="F4" s="10"/>
      <c r="G4" s="11"/>
      <c r="H4" s="11"/>
      <c r="I4" s="12" t="str">
        <f>IF(OR(F4="ロン",F4="ツモ"),$C4*1000,IF(F4="放銃",$C4*-1000,IF(F4="ツモ支払",$C4*-500,"")))</f>
        <v/>
      </c>
      <c r="J4" s="36">
        <f t="shared" ref="J4:J30" si="0">IF(COUNTA($F4,$K4,$P4)&gt;0,J3+SUM(G4:I4),"")</f>
        <v>35000</v>
      </c>
      <c r="K4" s="10" t="s">
        <v>30</v>
      </c>
      <c r="L4" s="11">
        <v>-7700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27300</v>
      </c>
      <c r="P4" s="10" t="s">
        <v>31</v>
      </c>
      <c r="Q4" s="11">
        <v>7700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42700</v>
      </c>
      <c r="U4" s="26">
        <f t="shared" ref="U4:U30" si="3">IF($J4="","",ROUND(($J4-$J$3)/1000,0))</f>
        <v>0</v>
      </c>
      <c r="V4" s="27">
        <f t="shared" ref="V4:V30" si="4">IF($O4="","",ROUND(($O4-$O$3)/1000,0))</f>
        <v>-8</v>
      </c>
      <c r="W4" s="28">
        <f t="shared" ref="W4:W30" si="5">IF($T4="","",ROUND(($T4-$T$3)/1000,0))</f>
        <v>8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1</v>
      </c>
      <c r="C5" s="33">
        <f>IF($E5="","",IF($E4=$E5,C4+1,0))</f>
        <v>1</v>
      </c>
      <c r="D5" s="33">
        <f>IF($E5="","",IF(OR($F4="流局",$F4="チョンボ"),D4+($H4+$M4+$R4)/-1000,0))</f>
        <v>0</v>
      </c>
      <c r="E5" s="5" t="s">
        <v>26</v>
      </c>
      <c r="F5" s="10" t="s">
        <v>31</v>
      </c>
      <c r="G5" s="11">
        <v>1300</v>
      </c>
      <c r="H5" s="11"/>
      <c r="I5" s="12">
        <f>IF(OR(F5="ロン",F5="ツモ"),$C5*1000,IF(F5="放銃",$C5*-1000,IF(F5="ツモ支払",$C5*-500,"")))</f>
        <v>1000</v>
      </c>
      <c r="J5" s="36">
        <f t="shared" si="0"/>
        <v>37300</v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36">
        <f t="shared" si="1"/>
        <v>27300</v>
      </c>
      <c r="P5" s="10" t="s">
        <v>30</v>
      </c>
      <c r="Q5" s="11">
        <v>-1300</v>
      </c>
      <c r="R5" s="11"/>
      <c r="S5" s="12">
        <f t="shared" ref="S5:S30" si="7">IF(OR(P5="ロン",P5="ツモ"),$C5*1000,IF(P5="放銃",$C5*-1000,IF(P5="ツモ支払",$C5*-500,"")))</f>
        <v>-1000</v>
      </c>
      <c r="T5" s="36">
        <f t="shared" si="2"/>
        <v>40400</v>
      </c>
      <c r="U5" s="26">
        <f t="shared" si="3"/>
        <v>2</v>
      </c>
      <c r="V5" s="27">
        <f t="shared" si="4"/>
        <v>-8</v>
      </c>
      <c r="W5" s="28">
        <f t="shared" si="5"/>
        <v>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2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22</v>
      </c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36">
        <f t="shared" si="0"/>
        <v>37300</v>
      </c>
      <c r="K6" s="10" t="s">
        <v>30</v>
      </c>
      <c r="L6" s="11">
        <v>-8000</v>
      </c>
      <c r="M6" s="11"/>
      <c r="N6" s="12">
        <f t="shared" si="6"/>
        <v>0</v>
      </c>
      <c r="O6" s="36">
        <f t="shared" si="1"/>
        <v>19300</v>
      </c>
      <c r="P6" s="10" t="s">
        <v>31</v>
      </c>
      <c r="Q6" s="11">
        <v>8000</v>
      </c>
      <c r="R6" s="11"/>
      <c r="S6" s="12">
        <f t="shared" si="7"/>
        <v>0</v>
      </c>
      <c r="T6" s="36">
        <f t="shared" si="2"/>
        <v>48400</v>
      </c>
      <c r="U6" s="26">
        <f t="shared" si="3"/>
        <v>2</v>
      </c>
      <c r="V6" s="27">
        <f t="shared" si="4"/>
        <v>-16</v>
      </c>
      <c r="W6" s="28">
        <f t="shared" si="5"/>
        <v>13</v>
      </c>
    </row>
    <row r="7" spans="1:23" x14ac:dyDescent="0.4">
      <c r="A7" s="17" t="str">
        <f t="shared" si="8"/>
        <v>東</v>
      </c>
      <c r="B7" s="33">
        <f t="shared" si="9"/>
        <v>3</v>
      </c>
      <c r="C7" s="33">
        <f t="shared" si="10"/>
        <v>0</v>
      </c>
      <c r="D7" s="33">
        <f t="shared" si="11"/>
        <v>0</v>
      </c>
      <c r="E7" s="5" t="s">
        <v>24</v>
      </c>
      <c r="F7" s="10"/>
      <c r="G7" s="11"/>
      <c r="H7" s="11"/>
      <c r="I7" s="12" t="str">
        <f t="shared" si="12"/>
        <v/>
      </c>
      <c r="J7" s="36">
        <f t="shared" si="0"/>
        <v>37300</v>
      </c>
      <c r="K7" s="10" t="s">
        <v>30</v>
      </c>
      <c r="L7" s="11">
        <v>-16000</v>
      </c>
      <c r="M7" s="11"/>
      <c r="N7" s="12">
        <f t="shared" si="6"/>
        <v>0</v>
      </c>
      <c r="O7" s="36">
        <f t="shared" si="1"/>
        <v>3300</v>
      </c>
      <c r="P7" s="10" t="s">
        <v>31</v>
      </c>
      <c r="Q7" s="11">
        <v>16000</v>
      </c>
      <c r="R7" s="11"/>
      <c r="S7" s="12">
        <f t="shared" si="7"/>
        <v>0</v>
      </c>
      <c r="T7" s="36">
        <f t="shared" si="2"/>
        <v>64400</v>
      </c>
      <c r="U7" s="26">
        <f t="shared" si="3"/>
        <v>2</v>
      </c>
      <c r="V7" s="27">
        <f t="shared" si="4"/>
        <v>-32</v>
      </c>
      <c r="W7" s="28">
        <f t="shared" si="5"/>
        <v>29</v>
      </c>
    </row>
    <row r="8" spans="1:23" x14ac:dyDescent="0.4">
      <c r="A8" s="17" t="str">
        <f t="shared" si="8"/>
        <v>南</v>
      </c>
      <c r="B8" s="33">
        <f t="shared" si="9"/>
        <v>1</v>
      </c>
      <c r="C8" s="33">
        <f t="shared" si="10"/>
        <v>0</v>
      </c>
      <c r="D8" s="33">
        <f t="shared" si="11"/>
        <v>0</v>
      </c>
      <c r="E8" s="5" t="s">
        <v>26</v>
      </c>
      <c r="F8" s="10" t="s">
        <v>32</v>
      </c>
      <c r="G8" s="11">
        <v>1500</v>
      </c>
      <c r="H8" s="11"/>
      <c r="I8" s="12" t="str">
        <f t="shared" si="12"/>
        <v/>
      </c>
      <c r="J8" s="36">
        <f t="shared" si="0"/>
        <v>38800</v>
      </c>
      <c r="K8" s="10" t="s">
        <v>32</v>
      </c>
      <c r="L8" s="11">
        <v>1500</v>
      </c>
      <c r="M8" s="11"/>
      <c r="N8" s="12" t="str">
        <f t="shared" si="6"/>
        <v/>
      </c>
      <c r="O8" s="36">
        <f t="shared" si="1"/>
        <v>4800</v>
      </c>
      <c r="P8" s="10" t="s">
        <v>32</v>
      </c>
      <c r="Q8" s="11">
        <v>-3000</v>
      </c>
      <c r="R8" s="11"/>
      <c r="S8" s="12" t="str">
        <f t="shared" si="7"/>
        <v/>
      </c>
      <c r="T8" s="36">
        <f t="shared" si="2"/>
        <v>61400</v>
      </c>
      <c r="U8" s="26">
        <f t="shared" si="3"/>
        <v>4</v>
      </c>
      <c r="V8" s="27">
        <f t="shared" si="4"/>
        <v>-30</v>
      </c>
      <c r="W8" s="28">
        <f t="shared" si="5"/>
        <v>26</v>
      </c>
    </row>
    <row r="9" spans="1:23" x14ac:dyDescent="0.4">
      <c r="A9" s="17" t="str">
        <f t="shared" si="8"/>
        <v>南</v>
      </c>
      <c r="B9" s="33">
        <f t="shared" si="9"/>
        <v>2</v>
      </c>
      <c r="C9" s="33">
        <f t="shared" si="10"/>
        <v>0</v>
      </c>
      <c r="D9" s="33">
        <f t="shared" si="11"/>
        <v>0</v>
      </c>
      <c r="E9" s="5" t="s">
        <v>22</v>
      </c>
      <c r="F9" s="10" t="s">
        <v>31</v>
      </c>
      <c r="G9" s="11">
        <v>12000</v>
      </c>
      <c r="H9" s="11"/>
      <c r="I9" s="12">
        <f t="shared" si="12"/>
        <v>0</v>
      </c>
      <c r="J9" s="36">
        <f t="shared" si="0"/>
        <v>50800</v>
      </c>
      <c r="K9" s="10" t="s">
        <v>30</v>
      </c>
      <c r="L9" s="11">
        <v>-15900</v>
      </c>
      <c r="M9" s="11"/>
      <c r="N9" s="12">
        <f t="shared" si="6"/>
        <v>0</v>
      </c>
      <c r="O9" s="36">
        <f t="shared" si="1"/>
        <v>-11100</v>
      </c>
      <c r="P9" s="10" t="s">
        <v>31</v>
      </c>
      <c r="Q9" s="11">
        <v>3900</v>
      </c>
      <c r="R9" s="11"/>
      <c r="S9" s="12">
        <f t="shared" si="7"/>
        <v>0</v>
      </c>
      <c r="T9" s="36">
        <f t="shared" si="2"/>
        <v>65300</v>
      </c>
      <c r="U9" s="26">
        <f t="shared" si="3"/>
        <v>16</v>
      </c>
      <c r="V9" s="27">
        <f t="shared" si="4"/>
        <v>-46</v>
      </c>
      <c r="W9" s="28">
        <f t="shared" si="5"/>
        <v>30</v>
      </c>
    </row>
    <row r="10" spans="1:23" x14ac:dyDescent="0.4">
      <c r="A10" s="17" t="str">
        <f t="shared" si="8"/>
        <v/>
      </c>
      <c r="B10" s="33" t="str">
        <f t="shared" si="9"/>
        <v/>
      </c>
      <c r="C10" s="33" t="str">
        <f t="shared" si="10"/>
        <v/>
      </c>
      <c r="D10" s="33" t="str">
        <f t="shared" si="11"/>
        <v/>
      </c>
      <c r="E10" s="5"/>
      <c r="F10" s="10"/>
      <c r="G10" s="11"/>
      <c r="H10" s="11"/>
      <c r="I10" s="12" t="str">
        <f t="shared" si="12"/>
        <v/>
      </c>
      <c r="J10" s="36" t="str">
        <f t="shared" si="0"/>
        <v/>
      </c>
      <c r="K10" s="10"/>
      <c r="L10" s="11"/>
      <c r="M10" s="11"/>
      <c r="N10" s="12" t="str">
        <f t="shared" si="6"/>
        <v/>
      </c>
      <c r="O10" s="36" t="str">
        <f t="shared" si="1"/>
        <v/>
      </c>
      <c r="P10" s="10"/>
      <c r="Q10" s="11"/>
      <c r="R10" s="11"/>
      <c r="S10" s="12" t="str">
        <f t="shared" si="7"/>
        <v/>
      </c>
      <c r="T10" s="36" t="str">
        <f t="shared" si="2"/>
        <v/>
      </c>
      <c r="U10" s="26" t="str">
        <f t="shared" si="3"/>
        <v/>
      </c>
      <c r="V10" s="27" t="str">
        <f t="shared" si="4"/>
        <v/>
      </c>
      <c r="W10" s="28" t="str">
        <f t="shared" si="5"/>
        <v/>
      </c>
    </row>
    <row r="11" spans="1:23" x14ac:dyDescent="0.4">
      <c r="A11" s="17" t="str">
        <f t="shared" si="8"/>
        <v/>
      </c>
      <c r="B11" s="33" t="str">
        <f t="shared" si="9"/>
        <v/>
      </c>
      <c r="C11" s="33" t="str">
        <f t="shared" si="10"/>
        <v/>
      </c>
      <c r="D11" s="33" t="str">
        <f t="shared" si="11"/>
        <v/>
      </c>
      <c r="E11" s="5"/>
      <c r="F11" s="10"/>
      <c r="G11" s="11"/>
      <c r="H11" s="11"/>
      <c r="I11" s="12" t="str">
        <f t="shared" si="12"/>
        <v/>
      </c>
      <c r="J11" s="36" t="str">
        <f t="shared" si="0"/>
        <v/>
      </c>
      <c r="K11" s="10"/>
      <c r="L11" s="11"/>
      <c r="M11" s="11"/>
      <c r="N11" s="12" t="str">
        <f t="shared" si="6"/>
        <v/>
      </c>
      <c r="O11" s="36" t="str">
        <f t="shared" si="1"/>
        <v/>
      </c>
      <c r="P11" s="10"/>
      <c r="Q11" s="11"/>
      <c r="R11" s="11"/>
      <c r="S11" s="12" t="str">
        <f t="shared" si="7"/>
        <v/>
      </c>
      <c r="T11" s="36" t="str">
        <f t="shared" si="2"/>
        <v/>
      </c>
      <c r="U11" s="26" t="str">
        <f t="shared" si="3"/>
        <v/>
      </c>
      <c r="V11" s="27" t="str">
        <f t="shared" si="4"/>
        <v/>
      </c>
      <c r="W11" s="28" t="str">
        <f t="shared" si="5"/>
        <v/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1" priority="2">
      <formula>IF(AND(G4&lt;&gt;"",F4&lt;&gt;"流局",F4&lt;&gt;"チョンボ"),SUM($G4:$I4,$L4:$N4,$Q4:$S4)-$D4*1000)</formula>
    </cfRule>
  </conditionalFormatting>
  <conditionalFormatting sqref="F1:T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FB0EC-55A3-4A4D-9DE7-6C1A53986641}">
  <sheetPr codeName="Sheet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52" t="s">
        <v>0</v>
      </c>
      <c r="B1" s="54" t="s">
        <v>2</v>
      </c>
      <c r="C1" s="54" t="s">
        <v>1</v>
      </c>
      <c r="D1" s="54" t="s">
        <v>6</v>
      </c>
      <c r="E1" s="56" t="s">
        <v>3</v>
      </c>
      <c r="F1" s="48" t="s">
        <v>23</v>
      </c>
      <c r="G1" s="49"/>
      <c r="H1" s="49"/>
      <c r="I1" s="50"/>
      <c r="J1" s="51"/>
      <c r="K1" s="48" t="s">
        <v>25</v>
      </c>
      <c r="L1" s="49"/>
      <c r="M1" s="49"/>
      <c r="N1" s="50"/>
      <c r="O1" s="51"/>
      <c r="P1" s="48" t="s">
        <v>27</v>
      </c>
      <c r="Q1" s="49"/>
      <c r="R1" s="49"/>
      <c r="S1" s="50"/>
      <c r="T1" s="51"/>
      <c r="U1" s="48" t="s">
        <v>8</v>
      </c>
      <c r="V1" s="49"/>
      <c r="W1" s="51"/>
    </row>
    <row r="2" spans="1:23" x14ac:dyDescent="0.4">
      <c r="A2" s="53"/>
      <c r="B2" s="55"/>
      <c r="C2" s="55"/>
      <c r="D2" s="55"/>
      <c r="E2" s="57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りくと</v>
      </c>
      <c r="W2" s="22" t="str">
        <f>$P$1</f>
        <v>いっしー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22</v>
      </c>
      <c r="F4" s="10" t="s">
        <v>31</v>
      </c>
      <c r="G4" s="11">
        <v>24000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59000</v>
      </c>
      <c r="K4" s="10" t="s">
        <v>30</v>
      </c>
      <c r="L4" s="11">
        <v>-24000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11000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36">
        <f t="shared" ref="T4:T30" si="2">IF(COUNTA($F4,$K4,$P4)&gt;0,T3+SUM(Q4:S4),"")</f>
        <v>35000</v>
      </c>
      <c r="U4" s="26">
        <f t="shared" ref="U4:U30" si="3">IF($J4="","",ROUND(($J4-$J$3)/1000,0))</f>
        <v>24</v>
      </c>
      <c r="V4" s="27">
        <f t="shared" ref="V4:V30" si="4">IF($O4="","",ROUND(($O4-$O$3)/1000,0))</f>
        <v>-24</v>
      </c>
      <c r="W4" s="28">
        <f t="shared" ref="W4:W30" si="5">IF($T4="","",ROUND(($T4-$T$3)/1000,0))</f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1</v>
      </c>
      <c r="C5" s="33">
        <f>IF($E5="","",IF($E4=$E5,C4+1,0))</f>
        <v>1</v>
      </c>
      <c r="D5" s="33">
        <f>IF($E5="","",IF(OR($F4="流局",$F4="チョンボ"),D4+($H4+$M4+$R4)/-1000,0))</f>
        <v>0</v>
      </c>
      <c r="E5" s="5" t="s">
        <v>22</v>
      </c>
      <c r="F5" s="10" t="s">
        <v>29</v>
      </c>
      <c r="G5" s="11">
        <v>12000</v>
      </c>
      <c r="H5" s="11"/>
      <c r="I5" s="12">
        <f>IF(OR(F5="ロン",F5="ツモ"),$C5*1000,IF(F5="放銃",$C5*-1000,IF(F5="ツモ支払",$C5*-500,"")))</f>
        <v>1000</v>
      </c>
      <c r="J5" s="36">
        <f t="shared" si="0"/>
        <v>72000</v>
      </c>
      <c r="K5" s="10" t="s">
        <v>28</v>
      </c>
      <c r="L5" s="11">
        <v>-6000</v>
      </c>
      <c r="M5" s="11"/>
      <c r="N5" s="12">
        <f t="shared" ref="N5:N30" si="6">IF(OR(K5="ロン",K5="ツモ"),$C5*1000,IF(K5="放銃",$C5*-1000,IF(K5="ツモ支払",$C5*-500,"")))</f>
        <v>-500</v>
      </c>
      <c r="O5" s="36">
        <f t="shared" si="1"/>
        <v>4500</v>
      </c>
      <c r="P5" s="10" t="s">
        <v>28</v>
      </c>
      <c r="Q5" s="11">
        <v>-6000</v>
      </c>
      <c r="R5" s="11"/>
      <c r="S5" s="12">
        <f t="shared" ref="S5:S30" si="7">IF(OR(P5="ロン",P5="ツモ"),$C5*1000,IF(P5="放銃",$C5*-1000,IF(P5="ツモ支払",$C5*-500,"")))</f>
        <v>-500</v>
      </c>
      <c r="T5" s="36">
        <f t="shared" si="2"/>
        <v>28500</v>
      </c>
      <c r="U5" s="26">
        <f t="shared" si="3"/>
        <v>37</v>
      </c>
      <c r="V5" s="27">
        <f t="shared" si="4"/>
        <v>-31</v>
      </c>
      <c r="W5" s="28">
        <f t="shared" si="5"/>
        <v>-7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1</v>
      </c>
      <c r="C6" s="33">
        <f t="shared" ref="C6:C30" si="10">IF($E6="","",IF($E5=$E6,C5+1,0))</f>
        <v>2</v>
      </c>
      <c r="D6" s="33">
        <f t="shared" ref="D6:D30" si="11">IF($E6="","",IF(OR($F5="流局",$F5="チョンボ"),D5+($H5+$M5+$R5)/-1000,0))</f>
        <v>0</v>
      </c>
      <c r="E6" s="5" t="s">
        <v>22</v>
      </c>
      <c r="F6" s="10" t="s">
        <v>31</v>
      </c>
      <c r="G6" s="11">
        <v>18000</v>
      </c>
      <c r="H6" s="11"/>
      <c r="I6" s="12">
        <f t="shared" ref="I6:I30" si="12">IF(OR(F6="ロン",F6="ツモ"),$C6*1000,IF(F6="放銃",$C6*-1000,IF(F6="ツモ支払",$C6*-500,"")))</f>
        <v>2000</v>
      </c>
      <c r="J6" s="36">
        <f t="shared" si="0"/>
        <v>92000</v>
      </c>
      <c r="K6" s="10" t="s">
        <v>30</v>
      </c>
      <c r="L6" s="11">
        <v>-18000</v>
      </c>
      <c r="M6" s="11"/>
      <c r="N6" s="12">
        <f t="shared" si="6"/>
        <v>-2000</v>
      </c>
      <c r="O6" s="36">
        <f t="shared" si="1"/>
        <v>-15500</v>
      </c>
      <c r="P6" s="10"/>
      <c r="Q6" s="11"/>
      <c r="R6" s="11"/>
      <c r="S6" s="12" t="str">
        <f t="shared" si="7"/>
        <v/>
      </c>
      <c r="T6" s="36">
        <f t="shared" si="2"/>
        <v>28500</v>
      </c>
      <c r="U6" s="26">
        <f t="shared" si="3"/>
        <v>57</v>
      </c>
      <c r="V6" s="27">
        <f t="shared" si="4"/>
        <v>-51</v>
      </c>
      <c r="W6" s="28">
        <f t="shared" si="5"/>
        <v>-7</v>
      </c>
    </row>
    <row r="7" spans="1:23" x14ac:dyDescent="0.4">
      <c r="A7" s="17" t="str">
        <f t="shared" si="8"/>
        <v/>
      </c>
      <c r="B7" s="33" t="str">
        <f t="shared" si="9"/>
        <v/>
      </c>
      <c r="C7" s="33" t="str">
        <f t="shared" si="10"/>
        <v/>
      </c>
      <c r="D7" s="33" t="str">
        <f t="shared" si="11"/>
        <v/>
      </c>
      <c r="E7" s="5"/>
      <c r="F7" s="10"/>
      <c r="G7" s="11"/>
      <c r="H7" s="11"/>
      <c r="I7" s="12" t="str">
        <f t="shared" si="12"/>
        <v/>
      </c>
      <c r="J7" s="36" t="str">
        <f t="shared" si="0"/>
        <v/>
      </c>
      <c r="K7" s="10"/>
      <c r="L7" s="11"/>
      <c r="M7" s="11"/>
      <c r="N7" s="12" t="str">
        <f t="shared" si="6"/>
        <v/>
      </c>
      <c r="O7" s="36" t="str">
        <f t="shared" si="1"/>
        <v/>
      </c>
      <c r="P7" s="10"/>
      <c r="Q7" s="11"/>
      <c r="R7" s="11"/>
      <c r="S7" s="12" t="str">
        <f t="shared" si="7"/>
        <v/>
      </c>
      <c r="T7" s="36" t="str">
        <f t="shared" si="2"/>
        <v/>
      </c>
      <c r="U7" s="26" t="str">
        <f t="shared" si="3"/>
        <v/>
      </c>
      <c r="V7" s="27" t="str">
        <f t="shared" si="4"/>
        <v/>
      </c>
      <c r="W7" s="28" t="str">
        <f t="shared" si="5"/>
        <v/>
      </c>
    </row>
    <row r="8" spans="1:23" x14ac:dyDescent="0.4">
      <c r="A8" s="17" t="str">
        <f t="shared" si="8"/>
        <v/>
      </c>
      <c r="B8" s="33" t="str">
        <f t="shared" si="9"/>
        <v/>
      </c>
      <c r="C8" s="33" t="str">
        <f t="shared" si="10"/>
        <v/>
      </c>
      <c r="D8" s="33" t="str">
        <f t="shared" si="11"/>
        <v/>
      </c>
      <c r="E8" s="5"/>
      <c r="F8" s="10"/>
      <c r="G8" s="11"/>
      <c r="H8" s="11"/>
      <c r="I8" s="12" t="str">
        <f t="shared" si="12"/>
        <v/>
      </c>
      <c r="J8" s="36" t="str">
        <f t="shared" si="0"/>
        <v/>
      </c>
      <c r="K8" s="10"/>
      <c r="L8" s="11"/>
      <c r="M8" s="11"/>
      <c r="N8" s="12" t="str">
        <f t="shared" si="6"/>
        <v/>
      </c>
      <c r="O8" s="36" t="str">
        <f t="shared" si="1"/>
        <v/>
      </c>
      <c r="P8" s="10"/>
      <c r="Q8" s="11"/>
      <c r="R8" s="11"/>
      <c r="S8" s="12" t="str">
        <f t="shared" si="7"/>
        <v/>
      </c>
      <c r="T8" s="36" t="str">
        <f t="shared" si="2"/>
        <v/>
      </c>
      <c r="U8" s="26" t="str">
        <f t="shared" si="3"/>
        <v/>
      </c>
      <c r="V8" s="27" t="str">
        <f t="shared" si="4"/>
        <v/>
      </c>
      <c r="W8" s="28" t="str">
        <f t="shared" si="5"/>
        <v/>
      </c>
    </row>
    <row r="9" spans="1:23" x14ac:dyDescent="0.4">
      <c r="A9" s="17" t="str">
        <f t="shared" si="8"/>
        <v/>
      </c>
      <c r="B9" s="33" t="str">
        <f t="shared" si="9"/>
        <v/>
      </c>
      <c r="C9" s="33" t="str">
        <f t="shared" si="10"/>
        <v/>
      </c>
      <c r="D9" s="33" t="str">
        <f t="shared" si="11"/>
        <v/>
      </c>
      <c r="E9" s="5"/>
      <c r="F9" s="10"/>
      <c r="G9" s="11"/>
      <c r="H9" s="11"/>
      <c r="I9" s="12" t="str">
        <f t="shared" si="12"/>
        <v/>
      </c>
      <c r="J9" s="36" t="str">
        <f t="shared" si="0"/>
        <v/>
      </c>
      <c r="K9" s="10"/>
      <c r="L9" s="11"/>
      <c r="M9" s="11"/>
      <c r="N9" s="12" t="str">
        <f t="shared" si="6"/>
        <v/>
      </c>
      <c r="O9" s="36" t="str">
        <f t="shared" si="1"/>
        <v/>
      </c>
      <c r="P9" s="10"/>
      <c r="Q9" s="11"/>
      <c r="R9" s="11"/>
      <c r="S9" s="12" t="str">
        <f t="shared" si="7"/>
        <v/>
      </c>
      <c r="T9" s="36" t="str">
        <f t="shared" si="2"/>
        <v/>
      </c>
      <c r="U9" s="26" t="str">
        <f t="shared" si="3"/>
        <v/>
      </c>
      <c r="V9" s="27" t="str">
        <f t="shared" si="4"/>
        <v/>
      </c>
      <c r="W9" s="28" t="str">
        <f t="shared" si="5"/>
        <v/>
      </c>
    </row>
    <row r="10" spans="1:23" x14ac:dyDescent="0.4">
      <c r="A10" s="17" t="str">
        <f t="shared" si="8"/>
        <v/>
      </c>
      <c r="B10" s="33" t="str">
        <f t="shared" si="9"/>
        <v/>
      </c>
      <c r="C10" s="33" t="str">
        <f t="shared" si="10"/>
        <v/>
      </c>
      <c r="D10" s="33" t="str">
        <f t="shared" si="11"/>
        <v/>
      </c>
      <c r="E10" s="5"/>
      <c r="F10" s="10"/>
      <c r="G10" s="11"/>
      <c r="H10" s="11"/>
      <c r="I10" s="12" t="str">
        <f t="shared" si="12"/>
        <v/>
      </c>
      <c r="J10" s="36" t="str">
        <f t="shared" si="0"/>
        <v/>
      </c>
      <c r="K10" s="10"/>
      <c r="L10" s="11"/>
      <c r="M10" s="11"/>
      <c r="N10" s="12" t="str">
        <f t="shared" si="6"/>
        <v/>
      </c>
      <c r="O10" s="36" t="str">
        <f t="shared" si="1"/>
        <v/>
      </c>
      <c r="P10" s="10"/>
      <c r="Q10" s="11"/>
      <c r="R10" s="11"/>
      <c r="S10" s="12" t="str">
        <f t="shared" si="7"/>
        <v/>
      </c>
      <c r="T10" s="36" t="str">
        <f t="shared" si="2"/>
        <v/>
      </c>
      <c r="U10" s="26" t="str">
        <f t="shared" si="3"/>
        <v/>
      </c>
      <c r="V10" s="27" t="str">
        <f t="shared" si="4"/>
        <v/>
      </c>
      <c r="W10" s="28" t="str">
        <f t="shared" si="5"/>
        <v/>
      </c>
    </row>
    <row r="11" spans="1:23" x14ac:dyDescent="0.4">
      <c r="A11" s="17" t="str">
        <f t="shared" si="8"/>
        <v/>
      </c>
      <c r="B11" s="33" t="str">
        <f t="shared" si="9"/>
        <v/>
      </c>
      <c r="C11" s="33" t="str">
        <f t="shared" si="10"/>
        <v/>
      </c>
      <c r="D11" s="33" t="str">
        <f t="shared" si="11"/>
        <v/>
      </c>
      <c r="E11" s="5"/>
      <c r="F11" s="10"/>
      <c r="G11" s="11"/>
      <c r="H11" s="11"/>
      <c r="I11" s="12" t="str">
        <f t="shared" si="12"/>
        <v/>
      </c>
      <c r="J11" s="36" t="str">
        <f t="shared" si="0"/>
        <v/>
      </c>
      <c r="K11" s="10"/>
      <c r="L11" s="11"/>
      <c r="M11" s="11"/>
      <c r="N11" s="12" t="str">
        <f t="shared" si="6"/>
        <v/>
      </c>
      <c r="O11" s="36" t="str">
        <f t="shared" si="1"/>
        <v/>
      </c>
      <c r="P11" s="10"/>
      <c r="Q11" s="11"/>
      <c r="R11" s="11"/>
      <c r="S11" s="12" t="str">
        <f t="shared" si="7"/>
        <v/>
      </c>
      <c r="T11" s="36" t="str">
        <f t="shared" si="2"/>
        <v/>
      </c>
      <c r="U11" s="26" t="str">
        <f t="shared" si="3"/>
        <v/>
      </c>
      <c r="V11" s="27" t="str">
        <f t="shared" si="4"/>
        <v/>
      </c>
      <c r="W11" s="28" t="str">
        <f t="shared" si="5"/>
        <v/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2">
      <formula>IF(AND(G4&lt;&gt;"",F4&lt;&gt;"流局",F4&lt;&gt;"チョンボ"),SUM($G4:$I4,$L4:$N4,$Q4:$S4)-$D4*1000)</formula>
    </cfRule>
  </conditionalFormatting>
  <conditionalFormatting sqref="F1:T1">
    <cfRule type="duplicateValues" dxfId="8" priority="1"/>
  </conditionalFormatting>
  <dataValidations count="2">
    <dataValidation type="list" allowBlank="1" showErrorMessage="1" sqref="E4:E30" xr:uid="{6A0A9E39-EEB1-463A-BF79-411AED5800B3}">
      <formula1>$U$2:$W$2</formula1>
    </dataValidation>
    <dataValidation type="list" showInputMessage="1" showErrorMessage="1" sqref="K4:K30 P4:P30 F4:F30" xr:uid="{3EACC864-F128-4098-9A5F-05845EF4ADC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EF704-E4F6-4BDE-B05B-9A67B0577DB5}">
  <sheetPr codeName="Sheet10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52" t="s">
        <v>0</v>
      </c>
      <c r="B1" s="54" t="s">
        <v>2</v>
      </c>
      <c r="C1" s="54" t="s">
        <v>1</v>
      </c>
      <c r="D1" s="54" t="s">
        <v>6</v>
      </c>
      <c r="E1" s="56" t="s">
        <v>3</v>
      </c>
      <c r="F1" s="48" t="s">
        <v>23</v>
      </c>
      <c r="G1" s="49"/>
      <c r="H1" s="49"/>
      <c r="I1" s="50"/>
      <c r="J1" s="51"/>
      <c r="K1" s="48" t="s">
        <v>25</v>
      </c>
      <c r="L1" s="49"/>
      <c r="M1" s="49"/>
      <c r="N1" s="50"/>
      <c r="O1" s="51"/>
      <c r="P1" s="48" t="s">
        <v>27</v>
      </c>
      <c r="Q1" s="49"/>
      <c r="R1" s="49"/>
      <c r="S1" s="50"/>
      <c r="T1" s="51"/>
      <c r="U1" s="48" t="s">
        <v>8</v>
      </c>
      <c r="V1" s="49"/>
      <c r="W1" s="51"/>
    </row>
    <row r="2" spans="1:23" x14ac:dyDescent="0.4">
      <c r="A2" s="53"/>
      <c r="B2" s="55"/>
      <c r="C2" s="55"/>
      <c r="D2" s="55"/>
      <c r="E2" s="57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りくと</v>
      </c>
      <c r="W2" s="22" t="str">
        <f>$P$1</f>
        <v>いっしー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24</v>
      </c>
      <c r="F4" s="10" t="s">
        <v>30</v>
      </c>
      <c r="G4" s="11">
        <v>-18000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17000</v>
      </c>
      <c r="K4" s="10" t="s">
        <v>31</v>
      </c>
      <c r="L4" s="11">
        <v>18000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53000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36">
        <f t="shared" ref="T4:T30" si="2">IF(COUNTA($F4,$K4,$P4)&gt;0,T3+SUM(Q4:S4),"")</f>
        <v>35000</v>
      </c>
      <c r="U4" s="26">
        <f t="shared" ref="U4:U30" si="3">IF($J4="","",ROUND(($J4-$J$3)/1000,0))</f>
        <v>-18</v>
      </c>
      <c r="V4" s="27">
        <f t="shared" ref="V4:V30" si="4">IF($O4="","",ROUND(($O4-$O$3)/1000,0))</f>
        <v>18</v>
      </c>
      <c r="W4" s="28">
        <f t="shared" ref="W4:W30" si="5">IF($T4="","",ROUND(($T4-$T$3)/1000,0))</f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1</v>
      </c>
      <c r="C5" s="33">
        <f>IF($E5="","",IF($E4=$E5,C4+1,0))</f>
        <v>1</v>
      </c>
      <c r="D5" s="33">
        <f>IF($E5="","",IF(OR($F4="流局",$F4="チョンボ"),D4+($H4+$M4+$R4)/-1000,0))</f>
        <v>0</v>
      </c>
      <c r="E5" s="5" t="s">
        <v>24</v>
      </c>
      <c r="F5" s="10"/>
      <c r="G5" s="11"/>
      <c r="H5" s="11"/>
      <c r="I5" s="12" t="str">
        <f>IF(OR(F5="ロン",F5="ツモ"),$C5*1000,IF(F5="放銃",$C5*-1000,IF(F5="ツモ支払",$C5*-500,"")))</f>
        <v/>
      </c>
      <c r="J5" s="36">
        <f t="shared" si="0"/>
        <v>17000</v>
      </c>
      <c r="K5" s="10" t="s">
        <v>31</v>
      </c>
      <c r="L5" s="11">
        <v>5200</v>
      </c>
      <c r="M5" s="11">
        <v>1000</v>
      </c>
      <c r="N5" s="12">
        <f t="shared" ref="N5:N30" si="6">IF(OR(K5="ロン",K5="ツモ"),$C5*1000,IF(K5="放銃",$C5*-1000,IF(K5="ツモ支払",$C5*-500,"")))</f>
        <v>1000</v>
      </c>
      <c r="O5" s="36">
        <f t="shared" si="1"/>
        <v>60200</v>
      </c>
      <c r="P5" s="10" t="s">
        <v>30</v>
      </c>
      <c r="Q5" s="11">
        <v>-5200</v>
      </c>
      <c r="R5" s="11">
        <v>-1000</v>
      </c>
      <c r="S5" s="12">
        <f t="shared" ref="S5:S30" si="7">IF(OR(P5="ロン",P5="ツモ"),$C5*1000,IF(P5="放銃",$C5*-1000,IF(P5="ツモ支払",$C5*-500,"")))</f>
        <v>-1000</v>
      </c>
      <c r="T5" s="36">
        <f t="shared" si="2"/>
        <v>27800</v>
      </c>
      <c r="U5" s="26">
        <f t="shared" si="3"/>
        <v>-18</v>
      </c>
      <c r="V5" s="27">
        <f t="shared" si="4"/>
        <v>25</v>
      </c>
      <c r="W5" s="28">
        <f t="shared" si="5"/>
        <v>-7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1</v>
      </c>
      <c r="C6" s="33">
        <f t="shared" ref="C6:C30" si="10">IF($E6="","",IF($E5=$E6,C5+1,0))</f>
        <v>2</v>
      </c>
      <c r="D6" s="33">
        <f t="shared" ref="D6:D30" si="11">IF($E6="","",IF(OR($F5="流局",$F5="チョンボ"),D5+($H5+$M5+$R5)/-1000,0))</f>
        <v>0</v>
      </c>
      <c r="E6" s="5" t="s">
        <v>24</v>
      </c>
      <c r="F6" s="10" t="s">
        <v>29</v>
      </c>
      <c r="G6" s="11">
        <v>1200</v>
      </c>
      <c r="H6" s="11"/>
      <c r="I6" s="12">
        <f t="shared" ref="I6:I30" si="12">IF(OR(F6="ロン",F6="ツモ"),$C6*1000,IF(F6="放銃",$C6*-1000,IF(F6="ツモ支払",$C6*-500,"")))</f>
        <v>2000</v>
      </c>
      <c r="J6" s="36">
        <f t="shared" si="0"/>
        <v>20200</v>
      </c>
      <c r="K6" s="10" t="s">
        <v>28</v>
      </c>
      <c r="L6" s="11">
        <v>-700</v>
      </c>
      <c r="M6" s="11"/>
      <c r="N6" s="12">
        <f t="shared" si="6"/>
        <v>-1000</v>
      </c>
      <c r="O6" s="36">
        <f t="shared" si="1"/>
        <v>58500</v>
      </c>
      <c r="P6" s="10" t="s">
        <v>28</v>
      </c>
      <c r="Q6" s="11">
        <v>-500</v>
      </c>
      <c r="R6" s="11"/>
      <c r="S6" s="12">
        <f t="shared" si="7"/>
        <v>-1000</v>
      </c>
      <c r="T6" s="36">
        <f t="shared" si="2"/>
        <v>26300</v>
      </c>
      <c r="U6" s="26">
        <f t="shared" si="3"/>
        <v>-15</v>
      </c>
      <c r="V6" s="27">
        <f t="shared" si="4"/>
        <v>24</v>
      </c>
      <c r="W6" s="28">
        <f t="shared" si="5"/>
        <v>-9</v>
      </c>
    </row>
    <row r="7" spans="1:23" x14ac:dyDescent="0.4">
      <c r="A7" s="17" t="str">
        <f t="shared" si="8"/>
        <v>東</v>
      </c>
      <c r="B7" s="33">
        <f t="shared" si="9"/>
        <v>2</v>
      </c>
      <c r="C7" s="33">
        <f t="shared" si="10"/>
        <v>0</v>
      </c>
      <c r="D7" s="33">
        <f t="shared" si="11"/>
        <v>0</v>
      </c>
      <c r="E7" s="5" t="s">
        <v>26</v>
      </c>
      <c r="F7" s="10" t="s">
        <v>30</v>
      </c>
      <c r="G7" s="11">
        <v>-3900</v>
      </c>
      <c r="H7" s="11"/>
      <c r="I7" s="12">
        <f t="shared" si="12"/>
        <v>0</v>
      </c>
      <c r="J7" s="36">
        <f t="shared" si="0"/>
        <v>16300</v>
      </c>
      <c r="K7" s="10" t="s">
        <v>31</v>
      </c>
      <c r="L7" s="11">
        <v>3900</v>
      </c>
      <c r="M7" s="11"/>
      <c r="N7" s="12">
        <f t="shared" si="6"/>
        <v>0</v>
      </c>
      <c r="O7" s="36">
        <f t="shared" si="1"/>
        <v>62400</v>
      </c>
      <c r="P7" s="10"/>
      <c r="Q7" s="11"/>
      <c r="R7" s="11"/>
      <c r="S7" s="12" t="str">
        <f t="shared" si="7"/>
        <v/>
      </c>
      <c r="T7" s="36">
        <f t="shared" si="2"/>
        <v>26300</v>
      </c>
      <c r="U7" s="26">
        <f t="shared" si="3"/>
        <v>-19</v>
      </c>
      <c r="V7" s="27">
        <f t="shared" si="4"/>
        <v>27</v>
      </c>
      <c r="W7" s="28">
        <f t="shared" si="5"/>
        <v>-9</v>
      </c>
    </row>
    <row r="8" spans="1:23" x14ac:dyDescent="0.4">
      <c r="A8" s="17" t="str">
        <f t="shared" si="8"/>
        <v>東</v>
      </c>
      <c r="B8" s="33">
        <f t="shared" si="9"/>
        <v>3</v>
      </c>
      <c r="C8" s="33">
        <f t="shared" si="10"/>
        <v>0</v>
      </c>
      <c r="D8" s="33">
        <f t="shared" si="11"/>
        <v>0</v>
      </c>
      <c r="E8" s="5" t="s">
        <v>22</v>
      </c>
      <c r="F8" s="10" t="s">
        <v>31</v>
      </c>
      <c r="G8" s="11">
        <v>2000</v>
      </c>
      <c r="H8" s="11"/>
      <c r="I8" s="12">
        <f t="shared" si="12"/>
        <v>0</v>
      </c>
      <c r="J8" s="36">
        <f t="shared" si="0"/>
        <v>18300</v>
      </c>
      <c r="K8" s="10"/>
      <c r="L8" s="11"/>
      <c r="M8" s="11"/>
      <c r="N8" s="12" t="str">
        <f t="shared" si="6"/>
        <v/>
      </c>
      <c r="O8" s="36">
        <f t="shared" si="1"/>
        <v>62400</v>
      </c>
      <c r="P8" s="10" t="s">
        <v>30</v>
      </c>
      <c r="Q8" s="11">
        <v>-2000</v>
      </c>
      <c r="R8" s="11"/>
      <c r="S8" s="12">
        <f t="shared" si="7"/>
        <v>0</v>
      </c>
      <c r="T8" s="36">
        <f t="shared" si="2"/>
        <v>24300</v>
      </c>
      <c r="U8" s="26">
        <f t="shared" si="3"/>
        <v>-17</v>
      </c>
      <c r="V8" s="27">
        <f t="shared" si="4"/>
        <v>27</v>
      </c>
      <c r="W8" s="28">
        <f t="shared" si="5"/>
        <v>-11</v>
      </c>
    </row>
    <row r="9" spans="1:23" x14ac:dyDescent="0.4">
      <c r="A9" s="17" t="str">
        <f t="shared" si="8"/>
        <v>東</v>
      </c>
      <c r="B9" s="33">
        <f t="shared" si="9"/>
        <v>3</v>
      </c>
      <c r="C9" s="33">
        <f t="shared" si="10"/>
        <v>1</v>
      </c>
      <c r="D9" s="33">
        <f t="shared" si="11"/>
        <v>0</v>
      </c>
      <c r="E9" s="5" t="s">
        <v>22</v>
      </c>
      <c r="F9" s="10" t="s">
        <v>31</v>
      </c>
      <c r="G9" s="11">
        <v>18000</v>
      </c>
      <c r="H9" s="11"/>
      <c r="I9" s="12">
        <f t="shared" si="12"/>
        <v>1000</v>
      </c>
      <c r="J9" s="36">
        <f t="shared" si="0"/>
        <v>37300</v>
      </c>
      <c r="K9" s="10" t="s">
        <v>30</v>
      </c>
      <c r="L9" s="11">
        <v>-18000</v>
      </c>
      <c r="M9" s="11"/>
      <c r="N9" s="12">
        <f t="shared" si="6"/>
        <v>-1000</v>
      </c>
      <c r="O9" s="36">
        <f t="shared" si="1"/>
        <v>43400</v>
      </c>
      <c r="P9" s="10"/>
      <c r="Q9" s="11"/>
      <c r="R9" s="11"/>
      <c r="S9" s="12" t="str">
        <f t="shared" si="7"/>
        <v/>
      </c>
      <c r="T9" s="36">
        <f t="shared" si="2"/>
        <v>24300</v>
      </c>
      <c r="U9" s="26">
        <f t="shared" si="3"/>
        <v>2</v>
      </c>
      <c r="V9" s="27">
        <f t="shared" si="4"/>
        <v>8</v>
      </c>
      <c r="W9" s="28">
        <f t="shared" si="5"/>
        <v>-11</v>
      </c>
    </row>
    <row r="10" spans="1:23" x14ac:dyDescent="0.4">
      <c r="A10" s="17" t="str">
        <f t="shared" si="8"/>
        <v>東</v>
      </c>
      <c r="B10" s="33">
        <f t="shared" si="9"/>
        <v>3</v>
      </c>
      <c r="C10" s="33">
        <f t="shared" si="10"/>
        <v>2</v>
      </c>
      <c r="D10" s="33">
        <f t="shared" si="11"/>
        <v>0</v>
      </c>
      <c r="E10" s="5" t="s">
        <v>22</v>
      </c>
      <c r="F10" s="10" t="s">
        <v>30</v>
      </c>
      <c r="G10" s="11">
        <v>-5200</v>
      </c>
      <c r="H10" s="11"/>
      <c r="I10" s="12">
        <f t="shared" si="12"/>
        <v>-2000</v>
      </c>
      <c r="J10" s="36">
        <f t="shared" si="0"/>
        <v>30100</v>
      </c>
      <c r="K10" s="10" t="s">
        <v>31</v>
      </c>
      <c r="L10" s="11">
        <v>5200</v>
      </c>
      <c r="M10" s="11"/>
      <c r="N10" s="12">
        <f t="shared" si="6"/>
        <v>2000</v>
      </c>
      <c r="O10" s="36">
        <f t="shared" si="1"/>
        <v>50600</v>
      </c>
      <c r="P10" s="10"/>
      <c r="Q10" s="11"/>
      <c r="R10" s="11"/>
      <c r="S10" s="12" t="str">
        <f t="shared" si="7"/>
        <v/>
      </c>
      <c r="T10" s="36">
        <f t="shared" si="2"/>
        <v>24300</v>
      </c>
      <c r="U10" s="26">
        <f t="shared" si="3"/>
        <v>-5</v>
      </c>
      <c r="V10" s="27">
        <f t="shared" si="4"/>
        <v>16</v>
      </c>
      <c r="W10" s="28">
        <f t="shared" si="5"/>
        <v>-11</v>
      </c>
    </row>
    <row r="11" spans="1:23" x14ac:dyDescent="0.4">
      <c r="A11" s="17" t="str">
        <f t="shared" si="8"/>
        <v>南</v>
      </c>
      <c r="B11" s="33">
        <f t="shared" si="9"/>
        <v>1</v>
      </c>
      <c r="C11" s="33">
        <f t="shared" si="10"/>
        <v>0</v>
      </c>
      <c r="D11" s="33">
        <f t="shared" si="11"/>
        <v>0</v>
      </c>
      <c r="E11" s="5" t="s">
        <v>24</v>
      </c>
      <c r="F11" s="10" t="s">
        <v>28</v>
      </c>
      <c r="G11" s="11">
        <v>-800</v>
      </c>
      <c r="H11" s="11"/>
      <c r="I11" s="12">
        <f t="shared" si="12"/>
        <v>0</v>
      </c>
      <c r="J11" s="36">
        <f t="shared" si="0"/>
        <v>29300</v>
      </c>
      <c r="K11" s="10" t="s">
        <v>28</v>
      </c>
      <c r="L11" s="11">
        <v>-1300</v>
      </c>
      <c r="M11" s="11"/>
      <c r="N11" s="12">
        <f t="shared" si="6"/>
        <v>0</v>
      </c>
      <c r="O11" s="36">
        <f t="shared" si="1"/>
        <v>49300</v>
      </c>
      <c r="P11" s="10" t="s">
        <v>29</v>
      </c>
      <c r="Q11" s="11">
        <v>2100</v>
      </c>
      <c r="R11" s="11"/>
      <c r="S11" s="12">
        <f t="shared" si="7"/>
        <v>0</v>
      </c>
      <c r="T11" s="36">
        <f t="shared" si="2"/>
        <v>26400</v>
      </c>
      <c r="U11" s="26">
        <f t="shared" si="3"/>
        <v>-6</v>
      </c>
      <c r="V11" s="27">
        <f t="shared" si="4"/>
        <v>14</v>
      </c>
      <c r="W11" s="28">
        <f t="shared" si="5"/>
        <v>-9</v>
      </c>
    </row>
    <row r="12" spans="1:23" x14ac:dyDescent="0.4">
      <c r="A12" s="17" t="str">
        <f t="shared" si="8"/>
        <v>南</v>
      </c>
      <c r="B12" s="33">
        <f t="shared" si="9"/>
        <v>2</v>
      </c>
      <c r="C12" s="33">
        <f t="shared" si="10"/>
        <v>0</v>
      </c>
      <c r="D12" s="33">
        <f t="shared" si="11"/>
        <v>0</v>
      </c>
      <c r="E12" s="5" t="s">
        <v>26</v>
      </c>
      <c r="F12" s="10" t="s">
        <v>31</v>
      </c>
      <c r="G12" s="11">
        <v>16000</v>
      </c>
      <c r="H12" s="11"/>
      <c r="I12" s="12">
        <f t="shared" si="12"/>
        <v>0</v>
      </c>
      <c r="J12" s="36">
        <f t="shared" si="0"/>
        <v>45300</v>
      </c>
      <c r="K12" s="10" t="s">
        <v>30</v>
      </c>
      <c r="L12" s="11">
        <v>-16000</v>
      </c>
      <c r="M12" s="11"/>
      <c r="N12" s="12">
        <f t="shared" si="6"/>
        <v>0</v>
      </c>
      <c r="O12" s="36">
        <f t="shared" si="1"/>
        <v>33300</v>
      </c>
      <c r="P12" s="10"/>
      <c r="Q12" s="11"/>
      <c r="R12" s="11"/>
      <c r="S12" s="12" t="str">
        <f t="shared" si="7"/>
        <v/>
      </c>
      <c r="T12" s="36">
        <f t="shared" si="2"/>
        <v>26400</v>
      </c>
      <c r="U12" s="26">
        <f t="shared" si="3"/>
        <v>10</v>
      </c>
      <c r="V12" s="27">
        <f t="shared" si="4"/>
        <v>-2</v>
      </c>
      <c r="W12" s="28">
        <f t="shared" si="5"/>
        <v>-9</v>
      </c>
    </row>
    <row r="13" spans="1:23" x14ac:dyDescent="0.4">
      <c r="A13" s="17" t="str">
        <f t="shared" si="8"/>
        <v>南</v>
      </c>
      <c r="B13" s="33">
        <f t="shared" si="9"/>
        <v>3</v>
      </c>
      <c r="C13" s="33">
        <f t="shared" si="10"/>
        <v>0</v>
      </c>
      <c r="D13" s="33">
        <f t="shared" si="11"/>
        <v>0</v>
      </c>
      <c r="E13" s="5" t="s">
        <v>22</v>
      </c>
      <c r="F13" s="10" t="s">
        <v>28</v>
      </c>
      <c r="G13" s="11">
        <v>-5000</v>
      </c>
      <c r="H13" s="11"/>
      <c r="I13" s="12">
        <f t="shared" si="12"/>
        <v>0</v>
      </c>
      <c r="J13" s="36">
        <f t="shared" si="0"/>
        <v>40300</v>
      </c>
      <c r="K13" s="10" t="s">
        <v>29</v>
      </c>
      <c r="L13" s="11">
        <v>8000</v>
      </c>
      <c r="M13" s="11"/>
      <c r="N13" s="12">
        <f t="shared" si="6"/>
        <v>0</v>
      </c>
      <c r="O13" s="36">
        <f t="shared" si="1"/>
        <v>41300</v>
      </c>
      <c r="P13" s="10" t="s">
        <v>28</v>
      </c>
      <c r="Q13" s="11">
        <v>-3000</v>
      </c>
      <c r="R13" s="11"/>
      <c r="S13" s="12">
        <f t="shared" si="7"/>
        <v>0</v>
      </c>
      <c r="T13" s="36">
        <f t="shared" si="2"/>
        <v>23400</v>
      </c>
      <c r="U13" s="26">
        <f t="shared" si="3"/>
        <v>5</v>
      </c>
      <c r="V13" s="27">
        <f t="shared" si="4"/>
        <v>6</v>
      </c>
      <c r="W13" s="28">
        <f t="shared" si="5"/>
        <v>-12</v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7" priority="2">
      <formula>IF(AND(G4&lt;&gt;"",F4&lt;&gt;"流局",F4&lt;&gt;"チョンボ"),SUM($G4:$I4,$L4:$N4,$Q4:$S4)-$D4*1000)</formula>
    </cfRule>
  </conditionalFormatting>
  <conditionalFormatting sqref="F1:T1">
    <cfRule type="duplicateValues" dxfId="6" priority="1"/>
  </conditionalFormatting>
  <dataValidations count="2">
    <dataValidation type="list" showInputMessage="1" showErrorMessage="1" sqref="K4:K30 P4:P30 F4:F30" xr:uid="{73AD780A-49C4-44D5-B5CD-CCD117437470}">
      <formula1>"ロン,ツモ,放銃,ツモ支払,流局,チョンボ"</formula1>
    </dataValidation>
    <dataValidation type="list" allowBlank="1" showErrorMessage="1" sqref="E4:E30" xr:uid="{BB4399A3-27D7-4D13-ADB6-24EF97173D1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AA9B4-AA6C-4722-A159-DE4A01AD88F6}">
  <sheetPr codeName="Sheet11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52" t="s">
        <v>0</v>
      </c>
      <c r="B1" s="54" t="s">
        <v>2</v>
      </c>
      <c r="C1" s="54" t="s">
        <v>1</v>
      </c>
      <c r="D1" s="54" t="s">
        <v>6</v>
      </c>
      <c r="E1" s="56" t="s">
        <v>3</v>
      </c>
      <c r="F1" s="48" t="s">
        <v>34</v>
      </c>
      <c r="G1" s="49"/>
      <c r="H1" s="49"/>
      <c r="I1" s="50"/>
      <c r="J1" s="51"/>
      <c r="K1" s="48" t="s">
        <v>25</v>
      </c>
      <c r="L1" s="49"/>
      <c r="M1" s="49"/>
      <c r="N1" s="50"/>
      <c r="O1" s="51"/>
      <c r="P1" s="48" t="s">
        <v>27</v>
      </c>
      <c r="Q1" s="49"/>
      <c r="R1" s="49"/>
      <c r="S1" s="50"/>
      <c r="T1" s="51"/>
      <c r="U1" s="48" t="s">
        <v>8</v>
      </c>
      <c r="V1" s="49"/>
      <c r="W1" s="51"/>
    </row>
    <row r="2" spans="1:23" x14ac:dyDescent="0.4">
      <c r="A2" s="53"/>
      <c r="B2" s="55"/>
      <c r="C2" s="55"/>
      <c r="D2" s="55"/>
      <c r="E2" s="57"/>
      <c r="F2" s="2" t="s">
        <v>7</v>
      </c>
      <c r="G2" s="3" t="s">
        <v>12</v>
      </c>
      <c r="H2" s="3" t="s">
        <v>4</v>
      </c>
      <c r="I2" s="43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3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3" t="s">
        <v>10</v>
      </c>
      <c r="T2" s="8" t="s">
        <v>5</v>
      </c>
      <c r="U2" s="42" t="str">
        <f>$F$1</f>
        <v>れんたろう</v>
      </c>
      <c r="V2" s="43" t="str">
        <f>$K$1</f>
        <v>りくと</v>
      </c>
      <c r="W2" s="22" t="str">
        <f>$P$1</f>
        <v>いっしー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33</v>
      </c>
      <c r="F4" s="10"/>
      <c r="G4" s="11"/>
      <c r="H4" s="11"/>
      <c r="I4" s="12" t="str">
        <f>IF(OR(F4="ロン",F4="ツモ"),$C4*1000,IF(F4="放銃",$C4*-1000,IF(F4="ツモ支払",$C4*-500,"")))</f>
        <v/>
      </c>
      <c r="J4" s="36">
        <f t="shared" ref="J4:J30" si="0">IF(COUNTA($F4,$K4,$P4)&gt;0,J3+SUM(G4:I4),"")</f>
        <v>35000</v>
      </c>
      <c r="K4" s="10" t="s">
        <v>31</v>
      </c>
      <c r="L4" s="11">
        <v>3200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38200</v>
      </c>
      <c r="P4" s="10" t="s">
        <v>30</v>
      </c>
      <c r="Q4" s="11">
        <v>-3200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31800</v>
      </c>
      <c r="U4" s="26">
        <f t="shared" ref="U4:U30" si="3">IF($J4="","",ROUND(($J4-$J$3)/1000,0))</f>
        <v>0</v>
      </c>
      <c r="V4" s="27">
        <f t="shared" ref="V4:V30" si="4">IF($O4="","",ROUND(($O4-$O$3)/1000,0))</f>
        <v>3</v>
      </c>
      <c r="W4" s="28">
        <f t="shared" ref="W4:W30" si="5">IF($T4="","",ROUND(($T4-$T$3)/1000,0))</f>
        <v>-3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IF($E5="","",IF(OR($F4="流局",$F4="チョンボ"),D4+($H4+$M4+$R4)/-1000,0))</f>
        <v>0</v>
      </c>
      <c r="E5" s="5" t="s">
        <v>24</v>
      </c>
      <c r="F5" s="10" t="s">
        <v>28</v>
      </c>
      <c r="G5" s="11">
        <v>-4500</v>
      </c>
      <c r="H5" s="11"/>
      <c r="I5" s="12">
        <f>IF(OR(F5="ロン",F5="ツモ"),$C5*1000,IF(F5="放銃",$C5*-1000,IF(F5="ツモ支払",$C5*-500,"")))</f>
        <v>0</v>
      </c>
      <c r="J5" s="36">
        <f t="shared" si="0"/>
        <v>30500</v>
      </c>
      <c r="K5" s="10" t="s">
        <v>28</v>
      </c>
      <c r="L5" s="11">
        <v>-7500</v>
      </c>
      <c r="M5" s="11"/>
      <c r="N5" s="12">
        <f t="shared" ref="N5:N30" si="6">IF(OR(K5="ロン",K5="ツモ"),$C5*1000,IF(K5="放銃",$C5*-1000,IF(K5="ツモ支払",$C5*-500,"")))</f>
        <v>0</v>
      </c>
      <c r="O5" s="36">
        <f t="shared" si="1"/>
        <v>30700</v>
      </c>
      <c r="P5" s="10" t="s">
        <v>29</v>
      </c>
      <c r="Q5" s="11">
        <v>12000</v>
      </c>
      <c r="R5" s="11"/>
      <c r="S5" s="12">
        <f t="shared" ref="S5:S30" si="7">IF(OR(P5="ロン",P5="ツモ"),$C5*1000,IF(P5="放銃",$C5*-1000,IF(P5="ツモ支払",$C5*-500,"")))</f>
        <v>0</v>
      </c>
      <c r="T5" s="36">
        <f t="shared" si="2"/>
        <v>43800</v>
      </c>
      <c r="U5" s="26">
        <f t="shared" si="3"/>
        <v>-5</v>
      </c>
      <c r="V5" s="27">
        <f t="shared" si="4"/>
        <v>-4</v>
      </c>
      <c r="W5" s="28">
        <f t="shared" si="5"/>
        <v>9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3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26</v>
      </c>
      <c r="F6" s="10" t="s">
        <v>30</v>
      </c>
      <c r="G6" s="11">
        <v>-7700</v>
      </c>
      <c r="H6" s="11"/>
      <c r="I6" s="12">
        <f t="shared" ref="I6:I30" si="12">IF(OR(F6="ロン",F6="ツモ"),$C6*1000,IF(F6="放銃",$C6*-1000,IF(F6="ツモ支払",$C6*-500,"")))</f>
        <v>0</v>
      </c>
      <c r="J6" s="36">
        <f t="shared" si="0"/>
        <v>22800</v>
      </c>
      <c r="K6" s="10"/>
      <c r="L6" s="11"/>
      <c r="M6" s="11"/>
      <c r="N6" s="12" t="str">
        <f t="shared" si="6"/>
        <v/>
      </c>
      <c r="O6" s="36">
        <f t="shared" si="1"/>
        <v>30700</v>
      </c>
      <c r="P6" s="10" t="s">
        <v>31</v>
      </c>
      <c r="Q6" s="11">
        <v>7700</v>
      </c>
      <c r="R6" s="11"/>
      <c r="S6" s="12">
        <f t="shared" si="7"/>
        <v>0</v>
      </c>
      <c r="T6" s="36">
        <f t="shared" si="2"/>
        <v>51500</v>
      </c>
      <c r="U6" s="26">
        <f t="shared" si="3"/>
        <v>-12</v>
      </c>
      <c r="V6" s="27">
        <f t="shared" si="4"/>
        <v>-4</v>
      </c>
      <c r="W6" s="28">
        <f t="shared" si="5"/>
        <v>17</v>
      </c>
    </row>
    <row r="7" spans="1:23" x14ac:dyDescent="0.4">
      <c r="A7" s="17" t="str">
        <f t="shared" si="8"/>
        <v>東</v>
      </c>
      <c r="B7" s="33">
        <f t="shared" si="9"/>
        <v>3</v>
      </c>
      <c r="C7" s="33">
        <f t="shared" si="10"/>
        <v>1</v>
      </c>
      <c r="D7" s="33">
        <f t="shared" si="11"/>
        <v>0</v>
      </c>
      <c r="E7" s="5" t="s">
        <v>26</v>
      </c>
      <c r="F7" s="10" t="s">
        <v>31</v>
      </c>
      <c r="G7" s="11">
        <v>8000</v>
      </c>
      <c r="H7" s="11"/>
      <c r="I7" s="12">
        <f t="shared" si="12"/>
        <v>1000</v>
      </c>
      <c r="J7" s="36">
        <f t="shared" si="0"/>
        <v>31800</v>
      </c>
      <c r="K7" s="10" t="s">
        <v>30</v>
      </c>
      <c r="L7" s="11">
        <v>-8000</v>
      </c>
      <c r="M7" s="11"/>
      <c r="N7" s="12">
        <f t="shared" si="6"/>
        <v>-1000</v>
      </c>
      <c r="O7" s="36">
        <f t="shared" si="1"/>
        <v>21700</v>
      </c>
      <c r="P7" s="10"/>
      <c r="Q7" s="11"/>
      <c r="R7" s="11"/>
      <c r="S7" s="12" t="str">
        <f t="shared" si="7"/>
        <v/>
      </c>
      <c r="T7" s="36">
        <f t="shared" si="2"/>
        <v>51500</v>
      </c>
      <c r="U7" s="26">
        <f t="shared" si="3"/>
        <v>-3</v>
      </c>
      <c r="V7" s="27">
        <f t="shared" si="4"/>
        <v>-13</v>
      </c>
      <c r="W7" s="28">
        <f t="shared" si="5"/>
        <v>17</v>
      </c>
    </row>
    <row r="8" spans="1:23" x14ac:dyDescent="0.4">
      <c r="A8" s="17" t="str">
        <f t="shared" si="8"/>
        <v>東</v>
      </c>
      <c r="B8" s="33">
        <f t="shared" si="9"/>
        <v>3</v>
      </c>
      <c r="C8" s="33">
        <f t="shared" si="10"/>
        <v>2</v>
      </c>
      <c r="D8" s="33">
        <f t="shared" si="11"/>
        <v>0</v>
      </c>
      <c r="E8" s="5" t="s">
        <v>26</v>
      </c>
      <c r="F8" s="10" t="s">
        <v>30</v>
      </c>
      <c r="G8" s="11">
        <v>-18000</v>
      </c>
      <c r="H8" s="11"/>
      <c r="I8" s="12">
        <f t="shared" si="12"/>
        <v>-2000</v>
      </c>
      <c r="J8" s="36">
        <f t="shared" si="0"/>
        <v>11800</v>
      </c>
      <c r="K8" s="10"/>
      <c r="L8" s="11"/>
      <c r="M8" s="11"/>
      <c r="N8" s="12" t="str">
        <f t="shared" si="6"/>
        <v/>
      </c>
      <c r="O8" s="36">
        <f t="shared" si="1"/>
        <v>21700</v>
      </c>
      <c r="P8" s="10" t="s">
        <v>31</v>
      </c>
      <c r="Q8" s="11">
        <v>18000</v>
      </c>
      <c r="R8" s="11"/>
      <c r="S8" s="12">
        <f t="shared" si="7"/>
        <v>2000</v>
      </c>
      <c r="T8" s="36">
        <f t="shared" si="2"/>
        <v>71500</v>
      </c>
      <c r="U8" s="26">
        <f t="shared" si="3"/>
        <v>-23</v>
      </c>
      <c r="V8" s="27">
        <f t="shared" si="4"/>
        <v>-13</v>
      </c>
      <c r="W8" s="28">
        <f t="shared" si="5"/>
        <v>37</v>
      </c>
    </row>
    <row r="9" spans="1:23" x14ac:dyDescent="0.4">
      <c r="A9" s="17" t="str">
        <f t="shared" si="8"/>
        <v>東</v>
      </c>
      <c r="B9" s="33">
        <f t="shared" si="9"/>
        <v>3</v>
      </c>
      <c r="C9" s="33">
        <f t="shared" si="10"/>
        <v>3</v>
      </c>
      <c r="D9" s="33">
        <f t="shared" si="11"/>
        <v>0</v>
      </c>
      <c r="E9" s="5" t="s">
        <v>26</v>
      </c>
      <c r="F9" s="10"/>
      <c r="G9" s="11"/>
      <c r="H9" s="11"/>
      <c r="I9" s="12" t="str">
        <f t="shared" si="12"/>
        <v/>
      </c>
      <c r="J9" s="36">
        <f t="shared" si="0"/>
        <v>11800</v>
      </c>
      <c r="K9" s="10" t="s">
        <v>31</v>
      </c>
      <c r="L9" s="11">
        <v>8000</v>
      </c>
      <c r="M9" s="11"/>
      <c r="N9" s="12">
        <f t="shared" si="6"/>
        <v>3000</v>
      </c>
      <c r="O9" s="36">
        <f t="shared" si="1"/>
        <v>32700</v>
      </c>
      <c r="P9" s="10" t="s">
        <v>30</v>
      </c>
      <c r="Q9" s="11">
        <v>-8000</v>
      </c>
      <c r="R9" s="11"/>
      <c r="S9" s="12">
        <f t="shared" si="7"/>
        <v>-3000</v>
      </c>
      <c r="T9" s="36">
        <f t="shared" si="2"/>
        <v>60500</v>
      </c>
      <c r="U9" s="26">
        <f t="shared" si="3"/>
        <v>-23</v>
      </c>
      <c r="V9" s="27">
        <f t="shared" si="4"/>
        <v>-2</v>
      </c>
      <c r="W9" s="28">
        <f t="shared" si="5"/>
        <v>26</v>
      </c>
    </row>
    <row r="10" spans="1:23" x14ac:dyDescent="0.4">
      <c r="A10" s="17" t="str">
        <f t="shared" si="8"/>
        <v>南</v>
      </c>
      <c r="B10" s="33">
        <f t="shared" si="9"/>
        <v>1</v>
      </c>
      <c r="C10" s="33">
        <f t="shared" si="10"/>
        <v>0</v>
      </c>
      <c r="D10" s="33">
        <f t="shared" si="11"/>
        <v>0</v>
      </c>
      <c r="E10" s="5" t="s">
        <v>33</v>
      </c>
      <c r="F10" s="10"/>
      <c r="G10" s="11"/>
      <c r="H10" s="11"/>
      <c r="I10" s="12" t="str">
        <f t="shared" si="12"/>
        <v/>
      </c>
      <c r="J10" s="36">
        <f t="shared" si="0"/>
        <v>11800</v>
      </c>
      <c r="K10" s="10" t="s">
        <v>31</v>
      </c>
      <c r="L10" s="11">
        <v>8000</v>
      </c>
      <c r="M10" s="11"/>
      <c r="N10" s="12">
        <f t="shared" si="6"/>
        <v>0</v>
      </c>
      <c r="O10" s="36">
        <f t="shared" si="1"/>
        <v>40700</v>
      </c>
      <c r="P10" s="10" t="s">
        <v>30</v>
      </c>
      <c r="Q10" s="11">
        <v>-8000</v>
      </c>
      <c r="R10" s="11"/>
      <c r="S10" s="12">
        <f t="shared" si="7"/>
        <v>0</v>
      </c>
      <c r="T10" s="36">
        <f t="shared" si="2"/>
        <v>52500</v>
      </c>
      <c r="U10" s="26">
        <f t="shared" si="3"/>
        <v>-23</v>
      </c>
      <c r="V10" s="27">
        <f t="shared" si="4"/>
        <v>6</v>
      </c>
      <c r="W10" s="28">
        <f t="shared" si="5"/>
        <v>18</v>
      </c>
    </row>
    <row r="11" spans="1:23" x14ac:dyDescent="0.4">
      <c r="A11" s="17" t="str">
        <f t="shared" si="8"/>
        <v>南</v>
      </c>
      <c r="B11" s="33">
        <f t="shared" si="9"/>
        <v>2</v>
      </c>
      <c r="C11" s="33">
        <f t="shared" si="10"/>
        <v>0</v>
      </c>
      <c r="D11" s="33">
        <f t="shared" si="11"/>
        <v>0</v>
      </c>
      <c r="E11" s="5" t="s">
        <v>24</v>
      </c>
      <c r="F11" s="10" t="s">
        <v>30</v>
      </c>
      <c r="G11" s="11">
        <v>-12000</v>
      </c>
      <c r="H11" s="11">
        <v>-1000</v>
      </c>
      <c r="I11" s="12">
        <f t="shared" si="12"/>
        <v>0</v>
      </c>
      <c r="J11" s="36">
        <f t="shared" si="0"/>
        <v>-1200</v>
      </c>
      <c r="K11" s="10" t="s">
        <v>31</v>
      </c>
      <c r="L11" s="11">
        <v>12000</v>
      </c>
      <c r="M11" s="11">
        <v>1000</v>
      </c>
      <c r="N11" s="12">
        <f t="shared" si="6"/>
        <v>0</v>
      </c>
      <c r="O11" s="36">
        <f t="shared" si="1"/>
        <v>53700</v>
      </c>
      <c r="P11" s="10"/>
      <c r="Q11" s="11"/>
      <c r="R11" s="11"/>
      <c r="S11" s="12" t="str">
        <f t="shared" si="7"/>
        <v/>
      </c>
      <c r="T11" s="36">
        <f t="shared" si="2"/>
        <v>52500</v>
      </c>
      <c r="U11" s="26">
        <f t="shared" si="3"/>
        <v>-36</v>
      </c>
      <c r="V11" s="27">
        <f t="shared" si="4"/>
        <v>19</v>
      </c>
      <c r="W11" s="28">
        <f t="shared" si="5"/>
        <v>18</v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allowBlank="1" showErrorMessage="1" sqref="E4:E30" xr:uid="{163F81A4-2605-4EF2-85A6-1329DAAE881E}">
      <formula1>$U$2:$W$2</formula1>
    </dataValidation>
    <dataValidation type="list" showInputMessage="1" showErrorMessage="1" sqref="K4:K30 P4:P30 F4:F30" xr:uid="{A7B853A5-F4E8-4601-8601-AE1E679F624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5EEAC-6980-4095-945F-A4A8B2887868}">
  <sheetPr codeName="Sheet12">
    <pageSetUpPr fitToPage="1"/>
  </sheetPr>
  <dimension ref="A1:W30"/>
  <sheetViews>
    <sheetView showGridLines="0" zoomScaleNormal="100" workbookViewId="0">
      <selection activeCell="K26" sqref="K26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52" t="s">
        <v>0</v>
      </c>
      <c r="B1" s="54" t="s">
        <v>2</v>
      </c>
      <c r="C1" s="54" t="s">
        <v>1</v>
      </c>
      <c r="D1" s="54" t="s">
        <v>6</v>
      </c>
      <c r="E1" s="56" t="s">
        <v>3</v>
      </c>
      <c r="F1" s="48" t="s">
        <v>23</v>
      </c>
      <c r="G1" s="49"/>
      <c r="H1" s="49"/>
      <c r="I1" s="50"/>
      <c r="J1" s="51"/>
      <c r="K1" s="48" t="s">
        <v>25</v>
      </c>
      <c r="L1" s="49"/>
      <c r="M1" s="49"/>
      <c r="N1" s="50"/>
      <c r="O1" s="51"/>
      <c r="P1" s="48" t="s">
        <v>27</v>
      </c>
      <c r="Q1" s="49"/>
      <c r="R1" s="49"/>
      <c r="S1" s="50"/>
      <c r="T1" s="51"/>
      <c r="U1" s="48" t="s">
        <v>8</v>
      </c>
      <c r="V1" s="49"/>
      <c r="W1" s="51"/>
    </row>
    <row r="2" spans="1:23" x14ac:dyDescent="0.4">
      <c r="A2" s="53"/>
      <c r="B2" s="55"/>
      <c r="C2" s="55"/>
      <c r="D2" s="55"/>
      <c r="E2" s="57"/>
      <c r="F2" s="2" t="s">
        <v>7</v>
      </c>
      <c r="G2" s="3" t="s">
        <v>12</v>
      </c>
      <c r="H2" s="3" t="s">
        <v>4</v>
      </c>
      <c r="I2" s="45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5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5" t="s">
        <v>10</v>
      </c>
      <c r="T2" s="8" t="s">
        <v>5</v>
      </c>
      <c r="U2" s="44" t="str">
        <f>$F$1</f>
        <v>だいち</v>
      </c>
      <c r="V2" s="45" t="str">
        <f>$K$1</f>
        <v>りくと</v>
      </c>
      <c r="W2" s="22" t="str">
        <f>$P$1</f>
        <v>いっしー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24</v>
      </c>
      <c r="F4" s="10" t="s">
        <v>28</v>
      </c>
      <c r="G4" s="11">
        <v>-800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34200</v>
      </c>
      <c r="K4" s="10" t="s">
        <v>28</v>
      </c>
      <c r="L4" s="11">
        <v>-1300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33700</v>
      </c>
      <c r="P4" s="10" t="s">
        <v>29</v>
      </c>
      <c r="Q4" s="11">
        <v>2100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37100</v>
      </c>
      <c r="U4" s="26">
        <f t="shared" ref="U4:U30" si="3">IF($J4="","",ROUND(($J4-$J$3)/1000,0))</f>
        <v>-1</v>
      </c>
      <c r="V4" s="27">
        <f t="shared" ref="V4:V30" si="4">IF($O4="","",ROUND(($O4-$O$3)/1000,0))</f>
        <v>-1</v>
      </c>
      <c r="W4" s="28">
        <f t="shared" ref="W4:W30" si="5">IF($T4="","",ROUND(($T4-$T$3)/1000,0))</f>
        <v>2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IF($E5="","",IF(OR($F4="流局",$F4="チョンボ"),D4+($H4+$M4+$R4)/-1000,0))</f>
        <v>0</v>
      </c>
      <c r="E5" s="5" t="s">
        <v>26</v>
      </c>
      <c r="F5" s="10"/>
      <c r="G5" s="11"/>
      <c r="H5" s="11">
        <v>-1000</v>
      </c>
      <c r="I5" s="12" t="str">
        <f>IF(OR(F5="ロン",F5="ツモ"),$C5*1000,IF(F5="放銃",$C5*-1000,IF(F5="ツモ支払",$C5*-500,"")))</f>
        <v/>
      </c>
      <c r="J5" s="36">
        <f t="shared" si="0"/>
        <v>33200</v>
      </c>
      <c r="K5" s="10" t="s">
        <v>30</v>
      </c>
      <c r="L5" s="11">
        <v>-2900</v>
      </c>
      <c r="M5" s="11"/>
      <c r="N5" s="12">
        <f t="shared" ref="N5:N30" si="6">IF(OR(K5="ロン",K5="ツモ"),$C5*1000,IF(K5="放銃",$C5*-1000,IF(K5="ツモ支払",$C5*-500,"")))</f>
        <v>0</v>
      </c>
      <c r="O5" s="36">
        <f t="shared" si="1"/>
        <v>30800</v>
      </c>
      <c r="P5" s="10" t="s">
        <v>31</v>
      </c>
      <c r="Q5" s="11">
        <v>2900</v>
      </c>
      <c r="R5" s="11">
        <v>1000</v>
      </c>
      <c r="S5" s="12">
        <f t="shared" ref="S5:S30" si="7">IF(OR(P5="ロン",P5="ツモ"),$C5*1000,IF(P5="放銃",$C5*-1000,IF(P5="ツモ支払",$C5*-500,"")))</f>
        <v>0</v>
      </c>
      <c r="T5" s="36">
        <f t="shared" si="2"/>
        <v>41000</v>
      </c>
      <c r="U5" s="26">
        <f t="shared" si="3"/>
        <v>-2</v>
      </c>
      <c r="V5" s="27">
        <f t="shared" si="4"/>
        <v>-4</v>
      </c>
      <c r="W5" s="28">
        <f t="shared" si="5"/>
        <v>6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2</v>
      </c>
      <c r="C6" s="33">
        <f t="shared" ref="C6:C30" si="10">IF($E6="","",IF($E5=$E6,C5+1,0))</f>
        <v>1</v>
      </c>
      <c r="D6" s="33">
        <f t="shared" ref="D6:D30" si="11">IF($E6="","",IF(OR($F5="流局",$F5="チョンボ"),D5+($H5+$M5+$R5)/-1000,0))</f>
        <v>0</v>
      </c>
      <c r="E6" s="5" t="s">
        <v>26</v>
      </c>
      <c r="F6" s="10" t="s">
        <v>32</v>
      </c>
      <c r="G6" s="11">
        <v>-1500</v>
      </c>
      <c r="H6" s="11"/>
      <c r="I6" s="12" t="str">
        <f t="shared" ref="I6:I30" si="12">IF(OR(F6="ロン",F6="ツモ"),$C6*1000,IF(F6="放銃",$C6*-1000,IF(F6="ツモ支払",$C6*-500,"")))</f>
        <v/>
      </c>
      <c r="J6" s="36">
        <f t="shared" si="0"/>
        <v>31700</v>
      </c>
      <c r="K6" s="10" t="s">
        <v>32</v>
      </c>
      <c r="L6" s="11">
        <v>3000</v>
      </c>
      <c r="M6" s="11">
        <v>-1000</v>
      </c>
      <c r="N6" s="12" t="str">
        <f t="shared" si="6"/>
        <v/>
      </c>
      <c r="O6" s="36">
        <f t="shared" si="1"/>
        <v>32800</v>
      </c>
      <c r="P6" s="10" t="s">
        <v>32</v>
      </c>
      <c r="Q6" s="11">
        <v>-1500</v>
      </c>
      <c r="R6" s="11"/>
      <c r="S6" s="12" t="str">
        <f t="shared" si="7"/>
        <v/>
      </c>
      <c r="T6" s="36">
        <f t="shared" si="2"/>
        <v>39500</v>
      </c>
      <c r="U6" s="26">
        <f t="shared" si="3"/>
        <v>-3</v>
      </c>
      <c r="V6" s="27">
        <f t="shared" si="4"/>
        <v>-2</v>
      </c>
      <c r="W6" s="28">
        <f t="shared" si="5"/>
        <v>5</v>
      </c>
    </row>
    <row r="7" spans="1:23" x14ac:dyDescent="0.4">
      <c r="A7" s="17" t="str">
        <f t="shared" si="8"/>
        <v>東</v>
      </c>
      <c r="B7" s="33">
        <f t="shared" si="9"/>
        <v>3</v>
      </c>
      <c r="C7" s="33">
        <f t="shared" si="10"/>
        <v>0</v>
      </c>
      <c r="D7" s="33">
        <f t="shared" si="11"/>
        <v>1</v>
      </c>
      <c r="E7" s="5" t="s">
        <v>22</v>
      </c>
      <c r="F7" s="10" t="s">
        <v>28</v>
      </c>
      <c r="G7" s="11">
        <v>-3300</v>
      </c>
      <c r="H7" s="11"/>
      <c r="I7" s="12">
        <f t="shared" si="12"/>
        <v>0</v>
      </c>
      <c r="J7" s="36">
        <f t="shared" si="0"/>
        <v>28400</v>
      </c>
      <c r="K7" s="10" t="s">
        <v>29</v>
      </c>
      <c r="L7" s="11">
        <v>5300</v>
      </c>
      <c r="M7" s="11">
        <v>2000</v>
      </c>
      <c r="N7" s="12">
        <f t="shared" si="6"/>
        <v>0</v>
      </c>
      <c r="O7" s="36">
        <f t="shared" si="1"/>
        <v>40100</v>
      </c>
      <c r="P7" s="10" t="s">
        <v>28</v>
      </c>
      <c r="Q7" s="11">
        <v>-2000</v>
      </c>
      <c r="R7" s="11">
        <v>-1000</v>
      </c>
      <c r="S7" s="12">
        <f t="shared" si="7"/>
        <v>0</v>
      </c>
      <c r="T7" s="36">
        <f t="shared" si="2"/>
        <v>36500</v>
      </c>
      <c r="U7" s="26">
        <f t="shared" si="3"/>
        <v>-7</v>
      </c>
      <c r="V7" s="27">
        <f t="shared" si="4"/>
        <v>5</v>
      </c>
      <c r="W7" s="28">
        <f t="shared" si="5"/>
        <v>2</v>
      </c>
    </row>
    <row r="8" spans="1:23" x14ac:dyDescent="0.4">
      <c r="A8" s="17" t="str">
        <f t="shared" si="8"/>
        <v>南</v>
      </c>
      <c r="B8" s="33">
        <f t="shared" si="9"/>
        <v>1</v>
      </c>
      <c r="C8" s="33">
        <f t="shared" si="10"/>
        <v>0</v>
      </c>
      <c r="D8" s="33">
        <f t="shared" si="11"/>
        <v>0</v>
      </c>
      <c r="E8" s="5" t="s">
        <v>24</v>
      </c>
      <c r="F8" s="10" t="s">
        <v>32</v>
      </c>
      <c r="G8" s="11">
        <v>-3000</v>
      </c>
      <c r="H8" s="11"/>
      <c r="I8" s="12" t="str">
        <f t="shared" si="12"/>
        <v/>
      </c>
      <c r="J8" s="36">
        <f t="shared" si="0"/>
        <v>25400</v>
      </c>
      <c r="K8" s="10" t="s">
        <v>32</v>
      </c>
      <c r="L8" s="11">
        <v>1500</v>
      </c>
      <c r="M8" s="11">
        <v>-1000</v>
      </c>
      <c r="N8" s="12" t="str">
        <f t="shared" si="6"/>
        <v/>
      </c>
      <c r="O8" s="36">
        <f t="shared" si="1"/>
        <v>40600</v>
      </c>
      <c r="P8" s="10" t="s">
        <v>32</v>
      </c>
      <c r="Q8" s="11">
        <v>1500</v>
      </c>
      <c r="R8" s="11"/>
      <c r="S8" s="12" t="str">
        <f t="shared" si="7"/>
        <v/>
      </c>
      <c r="T8" s="36">
        <f t="shared" si="2"/>
        <v>38000</v>
      </c>
      <c r="U8" s="26">
        <f t="shared" si="3"/>
        <v>-10</v>
      </c>
      <c r="V8" s="27">
        <f t="shared" si="4"/>
        <v>6</v>
      </c>
      <c r="W8" s="28">
        <f t="shared" si="5"/>
        <v>3</v>
      </c>
    </row>
    <row r="9" spans="1:23" x14ac:dyDescent="0.4">
      <c r="A9" s="17" t="str">
        <f t="shared" si="8"/>
        <v>南</v>
      </c>
      <c r="B9" s="33">
        <f t="shared" si="9"/>
        <v>1</v>
      </c>
      <c r="C9" s="33">
        <f t="shared" si="10"/>
        <v>1</v>
      </c>
      <c r="D9" s="33">
        <f t="shared" si="11"/>
        <v>1</v>
      </c>
      <c r="E9" s="5" t="s">
        <v>24</v>
      </c>
      <c r="F9" s="10" t="s">
        <v>30</v>
      </c>
      <c r="G9" s="11">
        <v>-18000</v>
      </c>
      <c r="H9" s="11"/>
      <c r="I9" s="12">
        <f t="shared" si="12"/>
        <v>-1000</v>
      </c>
      <c r="J9" s="36">
        <f t="shared" si="0"/>
        <v>6400</v>
      </c>
      <c r="K9" s="10" t="s">
        <v>31</v>
      </c>
      <c r="L9" s="11">
        <v>18000</v>
      </c>
      <c r="M9" s="11">
        <v>1000</v>
      </c>
      <c r="N9" s="12">
        <f t="shared" si="6"/>
        <v>1000</v>
      </c>
      <c r="O9" s="36">
        <f t="shared" si="1"/>
        <v>60600</v>
      </c>
      <c r="P9" s="10"/>
      <c r="Q9" s="11"/>
      <c r="R9" s="11"/>
      <c r="S9" s="12" t="str">
        <f t="shared" si="7"/>
        <v/>
      </c>
      <c r="T9" s="36">
        <f t="shared" si="2"/>
        <v>38000</v>
      </c>
      <c r="U9" s="26">
        <f t="shared" si="3"/>
        <v>-29</v>
      </c>
      <c r="V9" s="27">
        <f t="shared" si="4"/>
        <v>26</v>
      </c>
      <c r="W9" s="28">
        <f t="shared" si="5"/>
        <v>3</v>
      </c>
    </row>
    <row r="10" spans="1:23" x14ac:dyDescent="0.4">
      <c r="A10" s="17" t="str">
        <f t="shared" si="8"/>
        <v>南</v>
      </c>
      <c r="B10" s="33">
        <f t="shared" si="9"/>
        <v>1</v>
      </c>
      <c r="C10" s="33">
        <f t="shared" si="10"/>
        <v>2</v>
      </c>
      <c r="D10" s="33">
        <f t="shared" si="11"/>
        <v>0</v>
      </c>
      <c r="E10" s="5" t="s">
        <v>24</v>
      </c>
      <c r="F10" s="10" t="s">
        <v>28</v>
      </c>
      <c r="G10" s="11">
        <v>-4500</v>
      </c>
      <c r="H10" s="11"/>
      <c r="I10" s="12">
        <f t="shared" si="12"/>
        <v>-1000</v>
      </c>
      <c r="J10" s="36">
        <f t="shared" si="0"/>
        <v>900</v>
      </c>
      <c r="K10" s="10" t="s">
        <v>28</v>
      </c>
      <c r="L10" s="11">
        <v>-7500</v>
      </c>
      <c r="M10" s="11"/>
      <c r="N10" s="12">
        <f t="shared" si="6"/>
        <v>-1000</v>
      </c>
      <c r="O10" s="36">
        <f t="shared" si="1"/>
        <v>52100</v>
      </c>
      <c r="P10" s="10" t="s">
        <v>29</v>
      </c>
      <c r="Q10" s="11">
        <v>12000</v>
      </c>
      <c r="R10" s="11"/>
      <c r="S10" s="12">
        <f t="shared" si="7"/>
        <v>2000</v>
      </c>
      <c r="T10" s="36">
        <f t="shared" si="2"/>
        <v>52000</v>
      </c>
      <c r="U10" s="26">
        <f t="shared" si="3"/>
        <v>-34</v>
      </c>
      <c r="V10" s="27">
        <f t="shared" si="4"/>
        <v>17</v>
      </c>
      <c r="W10" s="28">
        <f t="shared" si="5"/>
        <v>17</v>
      </c>
    </row>
    <row r="11" spans="1:23" x14ac:dyDescent="0.4">
      <c r="A11" s="17" t="str">
        <f t="shared" si="8"/>
        <v>南</v>
      </c>
      <c r="B11" s="33">
        <f t="shared" si="9"/>
        <v>2</v>
      </c>
      <c r="C11" s="33">
        <f t="shared" si="10"/>
        <v>0</v>
      </c>
      <c r="D11" s="33">
        <f t="shared" si="11"/>
        <v>0</v>
      </c>
      <c r="E11" s="5" t="s">
        <v>26</v>
      </c>
      <c r="F11" s="10" t="s">
        <v>28</v>
      </c>
      <c r="G11" s="11">
        <v>-12000</v>
      </c>
      <c r="H11" s="11"/>
      <c r="I11" s="12">
        <f t="shared" si="12"/>
        <v>0</v>
      </c>
      <c r="J11" s="36">
        <f t="shared" si="0"/>
        <v>-11100</v>
      </c>
      <c r="K11" s="10" t="s">
        <v>28</v>
      </c>
      <c r="L11" s="11">
        <v>-12000</v>
      </c>
      <c r="M11" s="11"/>
      <c r="N11" s="12">
        <f t="shared" si="6"/>
        <v>0</v>
      </c>
      <c r="O11" s="36">
        <f t="shared" si="1"/>
        <v>40100</v>
      </c>
      <c r="P11" s="10" t="s">
        <v>29</v>
      </c>
      <c r="Q11" s="11">
        <v>24000</v>
      </c>
      <c r="R11" s="11"/>
      <c r="S11" s="12">
        <f t="shared" si="7"/>
        <v>0</v>
      </c>
      <c r="T11" s="36">
        <f t="shared" si="2"/>
        <v>76000</v>
      </c>
      <c r="U11" s="26">
        <f t="shared" si="3"/>
        <v>-46</v>
      </c>
      <c r="V11" s="27">
        <f t="shared" si="4"/>
        <v>5</v>
      </c>
      <c r="W11" s="28">
        <f t="shared" si="5"/>
        <v>41</v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showInputMessage="1" showErrorMessage="1" sqref="K4:K30 P4:P30 F4:F30" xr:uid="{5C04A526-4C22-48EA-BD68-6D5FEF8C4FB8}">
      <formula1>"ロン,ツモ,放銃,ツモ支払,流局,チョンボ"</formula1>
    </dataValidation>
    <dataValidation type="list" allowBlank="1" showErrorMessage="1" sqref="E4:E30" xr:uid="{4A23D6C6-5499-4EFA-82A0-BC9B200C4BA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720DC-5EA3-46FB-BCC5-EC9857D50ED7}">
  <sheetPr codeName="Sheet13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52" t="s">
        <v>0</v>
      </c>
      <c r="B1" s="54" t="s">
        <v>2</v>
      </c>
      <c r="C1" s="54" t="s">
        <v>1</v>
      </c>
      <c r="D1" s="54" t="s">
        <v>6</v>
      </c>
      <c r="E1" s="56" t="s">
        <v>3</v>
      </c>
      <c r="F1" s="48" t="s">
        <v>34</v>
      </c>
      <c r="G1" s="49"/>
      <c r="H1" s="49"/>
      <c r="I1" s="50"/>
      <c r="J1" s="51"/>
      <c r="K1" s="48" t="s">
        <v>25</v>
      </c>
      <c r="L1" s="49"/>
      <c r="M1" s="49"/>
      <c r="N1" s="50"/>
      <c r="O1" s="51"/>
      <c r="P1" s="48" t="s">
        <v>27</v>
      </c>
      <c r="Q1" s="49"/>
      <c r="R1" s="49"/>
      <c r="S1" s="50"/>
      <c r="T1" s="51"/>
      <c r="U1" s="48" t="s">
        <v>8</v>
      </c>
      <c r="V1" s="49"/>
      <c r="W1" s="51"/>
    </row>
    <row r="2" spans="1:23" x14ac:dyDescent="0.4">
      <c r="A2" s="53"/>
      <c r="B2" s="55"/>
      <c r="C2" s="55"/>
      <c r="D2" s="55"/>
      <c r="E2" s="57"/>
      <c r="F2" s="2" t="s">
        <v>7</v>
      </c>
      <c r="G2" s="3" t="s">
        <v>12</v>
      </c>
      <c r="H2" s="3" t="s">
        <v>4</v>
      </c>
      <c r="I2" s="47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7" t="s">
        <v>10</v>
      </c>
      <c r="T2" s="8" t="s">
        <v>5</v>
      </c>
      <c r="U2" s="46" t="str">
        <f>$F$1</f>
        <v>れんたろう</v>
      </c>
      <c r="V2" s="47" t="str">
        <f>$K$1</f>
        <v>りくと</v>
      </c>
      <c r="W2" s="22" t="str">
        <f>$P$1</f>
        <v>いっしー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24</v>
      </c>
      <c r="F4" s="10" t="s">
        <v>28</v>
      </c>
      <c r="G4" s="11">
        <v>-3000</v>
      </c>
      <c r="H4" s="11">
        <v>-1000</v>
      </c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31000</v>
      </c>
      <c r="K4" s="10" t="s">
        <v>28</v>
      </c>
      <c r="L4" s="11">
        <v>-5000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30000</v>
      </c>
      <c r="P4" s="10" t="s">
        <v>29</v>
      </c>
      <c r="Q4" s="11">
        <v>8000</v>
      </c>
      <c r="R4" s="11">
        <v>1000</v>
      </c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44000</v>
      </c>
      <c r="U4" s="26">
        <f t="shared" ref="U4:U30" si="3">IF($J4="","",ROUND(($J4-$J$3)/1000,0))</f>
        <v>-4</v>
      </c>
      <c r="V4" s="27">
        <f t="shared" ref="V4:V30" si="4">IF($O4="","",ROUND(($O4-$O$3)/1000,0))</f>
        <v>-5</v>
      </c>
      <c r="W4" s="28">
        <f t="shared" ref="W4:W30" si="5">IF($T4="","",ROUND(($T4-$T$3)/1000,0))</f>
        <v>9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2</v>
      </c>
      <c r="C5" s="33">
        <f>IF($E5="","",IF($E4=$E5,C4+1,0))</f>
        <v>0</v>
      </c>
      <c r="D5" s="33">
        <f>IF($E5="","",IF(OR($F4="流局",$F4="チョンボ"),D4+($H4+$M4+$R4)/-1000,0))</f>
        <v>0</v>
      </c>
      <c r="E5" s="5" t="s">
        <v>26</v>
      </c>
      <c r="F5" s="10" t="s">
        <v>29</v>
      </c>
      <c r="G5" s="11">
        <v>16000</v>
      </c>
      <c r="H5" s="11"/>
      <c r="I5" s="12">
        <f>IF(OR(F5="ロン",F5="ツモ"),$C5*1000,IF(F5="放銃",$C5*-1000,IF(F5="ツモ支払",$C5*-500,"")))</f>
        <v>0</v>
      </c>
      <c r="J5" s="36">
        <f t="shared" si="0"/>
        <v>47000</v>
      </c>
      <c r="K5" s="10" t="s">
        <v>28</v>
      </c>
      <c r="L5" s="11">
        <v>-6000</v>
      </c>
      <c r="M5" s="11"/>
      <c r="N5" s="12">
        <f t="shared" ref="N5:N30" si="6">IF(OR(K5="ロン",K5="ツモ"),$C5*1000,IF(K5="放銃",$C5*-1000,IF(K5="ツモ支払",$C5*-500,"")))</f>
        <v>0</v>
      </c>
      <c r="O5" s="36">
        <f t="shared" si="1"/>
        <v>24000</v>
      </c>
      <c r="P5" s="10" t="s">
        <v>28</v>
      </c>
      <c r="Q5" s="11">
        <v>-10000</v>
      </c>
      <c r="R5" s="11"/>
      <c r="S5" s="12">
        <f t="shared" ref="S5:S30" si="7">IF(OR(P5="ロン",P5="ツモ"),$C5*1000,IF(P5="放銃",$C5*-1000,IF(P5="ツモ支払",$C5*-500,"")))</f>
        <v>0</v>
      </c>
      <c r="T5" s="36">
        <f t="shared" si="2"/>
        <v>34000</v>
      </c>
      <c r="U5" s="26">
        <f t="shared" si="3"/>
        <v>12</v>
      </c>
      <c r="V5" s="27">
        <f t="shared" si="4"/>
        <v>-11</v>
      </c>
      <c r="W5" s="28">
        <f t="shared" si="5"/>
        <v>-1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3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33</v>
      </c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36">
        <f t="shared" si="0"/>
        <v>47000</v>
      </c>
      <c r="K6" s="10" t="s">
        <v>30</v>
      </c>
      <c r="L6" s="11">
        <v>-8000</v>
      </c>
      <c r="M6" s="11"/>
      <c r="N6" s="12">
        <f t="shared" si="6"/>
        <v>0</v>
      </c>
      <c r="O6" s="36">
        <f t="shared" si="1"/>
        <v>16000</v>
      </c>
      <c r="P6" s="10" t="s">
        <v>31</v>
      </c>
      <c r="Q6" s="11">
        <v>8000</v>
      </c>
      <c r="R6" s="11"/>
      <c r="S6" s="12">
        <f t="shared" si="7"/>
        <v>0</v>
      </c>
      <c r="T6" s="36">
        <f t="shared" si="2"/>
        <v>42000</v>
      </c>
      <c r="U6" s="26">
        <f t="shared" si="3"/>
        <v>12</v>
      </c>
      <c r="V6" s="27">
        <f t="shared" si="4"/>
        <v>-19</v>
      </c>
      <c r="W6" s="28">
        <f t="shared" si="5"/>
        <v>7</v>
      </c>
    </row>
    <row r="7" spans="1:23" x14ac:dyDescent="0.4">
      <c r="A7" s="17" t="str">
        <f t="shared" si="8"/>
        <v>南</v>
      </c>
      <c r="B7" s="33">
        <f t="shared" si="9"/>
        <v>1</v>
      </c>
      <c r="C7" s="33">
        <f t="shared" si="10"/>
        <v>0</v>
      </c>
      <c r="D7" s="33">
        <f t="shared" si="11"/>
        <v>0</v>
      </c>
      <c r="E7" s="5" t="s">
        <v>24</v>
      </c>
      <c r="F7" s="10" t="s">
        <v>28</v>
      </c>
      <c r="G7" s="11">
        <v>-9000</v>
      </c>
      <c r="H7" s="11"/>
      <c r="I7" s="12">
        <f t="shared" si="12"/>
        <v>0</v>
      </c>
      <c r="J7" s="36">
        <f t="shared" si="0"/>
        <v>38000</v>
      </c>
      <c r="K7" s="10" t="s">
        <v>29</v>
      </c>
      <c r="L7" s="11">
        <v>18000</v>
      </c>
      <c r="M7" s="11"/>
      <c r="N7" s="12">
        <f t="shared" si="6"/>
        <v>0</v>
      </c>
      <c r="O7" s="36">
        <f t="shared" si="1"/>
        <v>34000</v>
      </c>
      <c r="P7" s="10" t="s">
        <v>28</v>
      </c>
      <c r="Q7" s="11">
        <v>-9000</v>
      </c>
      <c r="R7" s="11"/>
      <c r="S7" s="12">
        <f t="shared" si="7"/>
        <v>0</v>
      </c>
      <c r="T7" s="36">
        <f t="shared" si="2"/>
        <v>33000</v>
      </c>
      <c r="U7" s="26">
        <f t="shared" si="3"/>
        <v>3</v>
      </c>
      <c r="V7" s="27">
        <f t="shared" si="4"/>
        <v>-1</v>
      </c>
      <c r="W7" s="28">
        <f t="shared" si="5"/>
        <v>-2</v>
      </c>
    </row>
    <row r="8" spans="1:23" x14ac:dyDescent="0.4">
      <c r="A8" s="17" t="str">
        <f t="shared" si="8"/>
        <v>南</v>
      </c>
      <c r="B8" s="33">
        <f t="shared" si="9"/>
        <v>1</v>
      </c>
      <c r="C8" s="33">
        <f t="shared" si="10"/>
        <v>1</v>
      </c>
      <c r="D8" s="33">
        <f t="shared" si="11"/>
        <v>0</v>
      </c>
      <c r="E8" s="5" t="s">
        <v>24</v>
      </c>
      <c r="F8" s="10" t="s">
        <v>29</v>
      </c>
      <c r="G8" s="11">
        <v>8000</v>
      </c>
      <c r="H8" s="11">
        <v>1000</v>
      </c>
      <c r="I8" s="12">
        <f t="shared" si="12"/>
        <v>1000</v>
      </c>
      <c r="J8" s="36">
        <f t="shared" si="0"/>
        <v>48000</v>
      </c>
      <c r="K8" s="10" t="s">
        <v>28</v>
      </c>
      <c r="L8" s="11">
        <v>-5000</v>
      </c>
      <c r="M8" s="11"/>
      <c r="N8" s="12">
        <f t="shared" si="6"/>
        <v>-500</v>
      </c>
      <c r="O8" s="36">
        <f t="shared" si="1"/>
        <v>28500</v>
      </c>
      <c r="P8" s="10" t="s">
        <v>28</v>
      </c>
      <c r="Q8" s="11">
        <v>-3000</v>
      </c>
      <c r="R8" s="11">
        <v>-1000</v>
      </c>
      <c r="S8" s="12">
        <f t="shared" si="7"/>
        <v>-500</v>
      </c>
      <c r="T8" s="36">
        <f t="shared" si="2"/>
        <v>28500</v>
      </c>
      <c r="U8" s="26">
        <f t="shared" si="3"/>
        <v>13</v>
      </c>
      <c r="V8" s="27">
        <f t="shared" si="4"/>
        <v>-7</v>
      </c>
      <c r="W8" s="28">
        <f t="shared" si="5"/>
        <v>-7</v>
      </c>
    </row>
    <row r="9" spans="1:23" x14ac:dyDescent="0.4">
      <c r="A9" s="17" t="str">
        <f t="shared" si="8"/>
        <v>南</v>
      </c>
      <c r="B9" s="33">
        <f t="shared" si="9"/>
        <v>2</v>
      </c>
      <c r="C9" s="33">
        <f t="shared" si="10"/>
        <v>0</v>
      </c>
      <c r="D9" s="33">
        <f t="shared" si="11"/>
        <v>0</v>
      </c>
      <c r="E9" s="5" t="s">
        <v>26</v>
      </c>
      <c r="F9" s="10" t="s">
        <v>32</v>
      </c>
      <c r="G9" s="11">
        <v>1500</v>
      </c>
      <c r="H9" s="11"/>
      <c r="I9" s="12" t="str">
        <f t="shared" si="12"/>
        <v/>
      </c>
      <c r="J9" s="36">
        <f t="shared" si="0"/>
        <v>49500</v>
      </c>
      <c r="K9" s="10" t="s">
        <v>32</v>
      </c>
      <c r="L9" s="11">
        <v>-3000</v>
      </c>
      <c r="M9" s="11"/>
      <c r="N9" s="12" t="str">
        <f t="shared" si="6"/>
        <v/>
      </c>
      <c r="O9" s="36">
        <f t="shared" si="1"/>
        <v>25500</v>
      </c>
      <c r="P9" s="10" t="s">
        <v>32</v>
      </c>
      <c r="Q9" s="11">
        <v>1500</v>
      </c>
      <c r="R9" s="11"/>
      <c r="S9" s="12" t="str">
        <f t="shared" si="7"/>
        <v/>
      </c>
      <c r="T9" s="36">
        <f t="shared" si="2"/>
        <v>30000</v>
      </c>
      <c r="U9" s="26">
        <f t="shared" si="3"/>
        <v>15</v>
      </c>
      <c r="V9" s="27">
        <f t="shared" si="4"/>
        <v>-10</v>
      </c>
      <c r="W9" s="28">
        <f t="shared" si="5"/>
        <v>-5</v>
      </c>
    </row>
    <row r="10" spans="1:23" x14ac:dyDescent="0.4">
      <c r="A10" s="17" t="str">
        <f t="shared" si="8"/>
        <v>南</v>
      </c>
      <c r="B10" s="33">
        <f t="shared" si="9"/>
        <v>2</v>
      </c>
      <c r="C10" s="33">
        <f t="shared" si="10"/>
        <v>1</v>
      </c>
      <c r="D10" s="33">
        <f t="shared" si="11"/>
        <v>0</v>
      </c>
      <c r="E10" s="5" t="s">
        <v>26</v>
      </c>
      <c r="F10" s="10" t="s">
        <v>28</v>
      </c>
      <c r="G10" s="11">
        <v>-3000</v>
      </c>
      <c r="H10" s="11"/>
      <c r="I10" s="12">
        <f t="shared" si="12"/>
        <v>-500</v>
      </c>
      <c r="J10" s="36">
        <f t="shared" si="0"/>
        <v>46000</v>
      </c>
      <c r="K10" s="10" t="s">
        <v>29</v>
      </c>
      <c r="L10" s="11">
        <v>8000</v>
      </c>
      <c r="M10" s="11"/>
      <c r="N10" s="12">
        <f t="shared" si="6"/>
        <v>1000</v>
      </c>
      <c r="O10" s="36">
        <f t="shared" si="1"/>
        <v>34500</v>
      </c>
      <c r="P10" s="10" t="s">
        <v>28</v>
      </c>
      <c r="Q10" s="11">
        <v>-5000</v>
      </c>
      <c r="R10" s="11"/>
      <c r="S10" s="12">
        <f t="shared" si="7"/>
        <v>-500</v>
      </c>
      <c r="T10" s="36">
        <f t="shared" si="2"/>
        <v>24500</v>
      </c>
      <c r="U10" s="26">
        <f t="shared" si="3"/>
        <v>11</v>
      </c>
      <c r="V10" s="27">
        <f t="shared" si="4"/>
        <v>-1</v>
      </c>
      <c r="W10" s="28">
        <f t="shared" si="5"/>
        <v>-11</v>
      </c>
    </row>
    <row r="11" spans="1:23" x14ac:dyDescent="0.4">
      <c r="A11" s="17" t="str">
        <f t="shared" si="8"/>
        <v>南</v>
      </c>
      <c r="B11" s="33">
        <f t="shared" si="9"/>
        <v>3</v>
      </c>
      <c r="C11" s="33">
        <f t="shared" si="10"/>
        <v>0</v>
      </c>
      <c r="D11" s="33">
        <f t="shared" si="11"/>
        <v>0</v>
      </c>
      <c r="E11" s="5" t="s">
        <v>33</v>
      </c>
      <c r="F11" s="10" t="s">
        <v>31</v>
      </c>
      <c r="G11" s="11">
        <v>24000</v>
      </c>
      <c r="H11" s="11"/>
      <c r="I11" s="12">
        <f t="shared" si="12"/>
        <v>0</v>
      </c>
      <c r="J11" s="36">
        <f t="shared" si="0"/>
        <v>70000</v>
      </c>
      <c r="K11" s="10" t="s">
        <v>30</v>
      </c>
      <c r="L11" s="11">
        <v>-24000</v>
      </c>
      <c r="M11" s="11"/>
      <c r="N11" s="12">
        <f t="shared" si="6"/>
        <v>0</v>
      </c>
      <c r="O11" s="36">
        <f t="shared" si="1"/>
        <v>10500</v>
      </c>
      <c r="P11" s="10"/>
      <c r="Q11" s="11"/>
      <c r="R11" s="11"/>
      <c r="S11" s="12" t="str">
        <f t="shared" si="7"/>
        <v/>
      </c>
      <c r="T11" s="36">
        <f t="shared" si="2"/>
        <v>24500</v>
      </c>
      <c r="U11" s="26">
        <f t="shared" si="3"/>
        <v>35</v>
      </c>
      <c r="V11" s="27">
        <f t="shared" si="4"/>
        <v>-25</v>
      </c>
      <c r="W11" s="28">
        <f t="shared" si="5"/>
        <v>-11</v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allowBlank="1" showErrorMessage="1" sqref="E4:E30" xr:uid="{878B021C-F45E-4D9C-A2B1-72F8123E1FAB}">
      <formula1>$U$2:$W$2</formula1>
    </dataValidation>
    <dataValidation type="list" showInputMessage="1" showErrorMessage="1" sqref="K4:K30 P4:P30 F4:F30" xr:uid="{00222EA0-0F63-4879-A806-A6A711D63C2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Sheet6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2018-12-09T17:15:01Z</dcterms:modified>
</cp:coreProperties>
</file>