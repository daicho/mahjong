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三人麻雀\対局\"/>
    </mc:Choice>
  </mc:AlternateContent>
  <xr:revisionPtr revIDLastSave="0" documentId="10_ncr:100000_{BE35C2D5-E5CB-4514-A321-BCCE62406D22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1" r:id="rId2"/>
    <sheet name="Sheet3" sheetId="12" r:id="rId3"/>
    <sheet name="Sheet4" sheetId="13" r:id="rId4"/>
    <sheet name="Sheet5" sheetId="14" r:id="rId5"/>
    <sheet name="Sheet6" sheetId="15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5" l="1"/>
  <c r="W30" i="15" s="1"/>
  <c r="S30" i="15"/>
  <c r="O30" i="15"/>
  <c r="V30" i="15" s="1"/>
  <c r="N30" i="15"/>
  <c r="J30" i="15"/>
  <c r="U30" i="15" s="1"/>
  <c r="I30" i="15"/>
  <c r="D30" i="15"/>
  <c r="C30" i="15"/>
  <c r="B30" i="15"/>
  <c r="A30" i="15"/>
  <c r="T29" i="15"/>
  <c r="W29" i="15" s="1"/>
  <c r="S29" i="15"/>
  <c r="O29" i="15"/>
  <c r="V29" i="15" s="1"/>
  <c r="N29" i="15"/>
  <c r="J29" i="15"/>
  <c r="U29" i="15" s="1"/>
  <c r="I29" i="15"/>
  <c r="D29" i="15"/>
  <c r="C29" i="15"/>
  <c r="B29" i="15"/>
  <c r="A29" i="15"/>
  <c r="T28" i="15"/>
  <c r="W28" i="15" s="1"/>
  <c r="S28" i="15"/>
  <c r="O28" i="15"/>
  <c r="V28" i="15" s="1"/>
  <c r="N28" i="15"/>
  <c r="J28" i="15"/>
  <c r="U28" i="15" s="1"/>
  <c r="I28" i="15"/>
  <c r="D28" i="15"/>
  <c r="C28" i="15"/>
  <c r="B28" i="15"/>
  <c r="A28" i="15"/>
  <c r="T27" i="15"/>
  <c r="W27" i="15" s="1"/>
  <c r="S27" i="15"/>
  <c r="O27" i="15"/>
  <c r="V27" i="15" s="1"/>
  <c r="N27" i="15"/>
  <c r="J27" i="15"/>
  <c r="U27" i="15" s="1"/>
  <c r="I27" i="15"/>
  <c r="D27" i="15"/>
  <c r="C27" i="15"/>
  <c r="B27" i="15"/>
  <c r="A27" i="15"/>
  <c r="T26" i="15"/>
  <c r="W26" i="15" s="1"/>
  <c r="S26" i="15"/>
  <c r="O26" i="15"/>
  <c r="V26" i="15" s="1"/>
  <c r="N26" i="15"/>
  <c r="J26" i="15"/>
  <c r="U26" i="15" s="1"/>
  <c r="I26" i="15"/>
  <c r="D26" i="15"/>
  <c r="C26" i="15"/>
  <c r="B26" i="15"/>
  <c r="A26" i="15"/>
  <c r="T25" i="15"/>
  <c r="W25" i="15" s="1"/>
  <c r="S25" i="15"/>
  <c r="O25" i="15"/>
  <c r="V25" i="15" s="1"/>
  <c r="N25" i="15"/>
  <c r="J25" i="15"/>
  <c r="U25" i="15" s="1"/>
  <c r="I25" i="15"/>
  <c r="D25" i="15"/>
  <c r="C25" i="15"/>
  <c r="B25" i="15"/>
  <c r="A25" i="15"/>
  <c r="T24" i="15"/>
  <c r="W24" i="15" s="1"/>
  <c r="S24" i="15"/>
  <c r="O24" i="15"/>
  <c r="V24" i="15" s="1"/>
  <c r="N24" i="15"/>
  <c r="J24" i="15"/>
  <c r="U24" i="15" s="1"/>
  <c r="I24" i="15"/>
  <c r="D24" i="15"/>
  <c r="C24" i="15"/>
  <c r="B24" i="15"/>
  <c r="A24" i="15"/>
  <c r="T23" i="15"/>
  <c r="W23" i="15" s="1"/>
  <c r="S23" i="15"/>
  <c r="O23" i="15"/>
  <c r="V23" i="15" s="1"/>
  <c r="N23" i="15"/>
  <c r="J23" i="15"/>
  <c r="U23" i="15" s="1"/>
  <c r="I23" i="15"/>
  <c r="D23" i="15"/>
  <c r="C23" i="15"/>
  <c r="B23" i="15"/>
  <c r="A23" i="15"/>
  <c r="T22" i="15"/>
  <c r="W22" i="15" s="1"/>
  <c r="S22" i="15"/>
  <c r="O22" i="15"/>
  <c r="V22" i="15" s="1"/>
  <c r="N22" i="15"/>
  <c r="J22" i="15"/>
  <c r="U22" i="15" s="1"/>
  <c r="I22" i="15"/>
  <c r="D22" i="15"/>
  <c r="C22" i="15"/>
  <c r="B22" i="15"/>
  <c r="A22" i="15"/>
  <c r="T21" i="15"/>
  <c r="W21" i="15" s="1"/>
  <c r="S21" i="15"/>
  <c r="O21" i="15"/>
  <c r="V21" i="15" s="1"/>
  <c r="N21" i="15"/>
  <c r="J21" i="15"/>
  <c r="U21" i="15" s="1"/>
  <c r="I21" i="15"/>
  <c r="D21" i="15"/>
  <c r="C21" i="15"/>
  <c r="B21" i="15"/>
  <c r="A21" i="15"/>
  <c r="T20" i="15"/>
  <c r="W20" i="15" s="1"/>
  <c r="S20" i="15"/>
  <c r="O20" i="15"/>
  <c r="V20" i="15" s="1"/>
  <c r="N20" i="15"/>
  <c r="J20" i="15"/>
  <c r="U20" i="15" s="1"/>
  <c r="I20" i="15"/>
  <c r="D20" i="15"/>
  <c r="C20" i="15"/>
  <c r="B20" i="15"/>
  <c r="A20" i="15"/>
  <c r="T19" i="15"/>
  <c r="W19" i="15" s="1"/>
  <c r="S19" i="15"/>
  <c r="O19" i="15"/>
  <c r="V19" i="15" s="1"/>
  <c r="N19" i="15"/>
  <c r="J19" i="15"/>
  <c r="U19" i="15" s="1"/>
  <c r="I19" i="15"/>
  <c r="D19" i="15"/>
  <c r="C19" i="15"/>
  <c r="B19" i="15"/>
  <c r="A19" i="15"/>
  <c r="T18" i="15"/>
  <c r="W18" i="15" s="1"/>
  <c r="S18" i="15"/>
  <c r="O18" i="15"/>
  <c r="V18" i="15" s="1"/>
  <c r="N18" i="15"/>
  <c r="J18" i="15"/>
  <c r="U18" i="15" s="1"/>
  <c r="I18" i="15"/>
  <c r="D18" i="15"/>
  <c r="C18" i="15"/>
  <c r="B18" i="15"/>
  <c r="A18" i="15"/>
  <c r="T17" i="15"/>
  <c r="W17" i="15" s="1"/>
  <c r="S17" i="15"/>
  <c r="O17" i="15"/>
  <c r="V17" i="15" s="1"/>
  <c r="N17" i="15"/>
  <c r="J17" i="15"/>
  <c r="U17" i="15" s="1"/>
  <c r="I17" i="15"/>
  <c r="D17" i="15"/>
  <c r="C17" i="15"/>
  <c r="B17" i="15"/>
  <c r="A17" i="15"/>
  <c r="T16" i="15"/>
  <c r="W16" i="15" s="1"/>
  <c r="S16" i="15"/>
  <c r="O16" i="15"/>
  <c r="V16" i="15" s="1"/>
  <c r="N16" i="15"/>
  <c r="J16" i="15"/>
  <c r="U16" i="15" s="1"/>
  <c r="I16" i="15"/>
  <c r="D16" i="15"/>
  <c r="C16" i="15"/>
  <c r="B16" i="15"/>
  <c r="A16" i="15"/>
  <c r="T15" i="15"/>
  <c r="W15" i="15" s="1"/>
  <c r="S15" i="15"/>
  <c r="O15" i="15"/>
  <c r="V15" i="15" s="1"/>
  <c r="N15" i="15"/>
  <c r="J15" i="15"/>
  <c r="U15" i="15" s="1"/>
  <c r="I15" i="15"/>
  <c r="D15" i="15"/>
  <c r="C15" i="15"/>
  <c r="B15" i="15"/>
  <c r="A15" i="15"/>
  <c r="T14" i="15"/>
  <c r="W14" i="15" s="1"/>
  <c r="S14" i="15"/>
  <c r="O14" i="15"/>
  <c r="V14" i="15" s="1"/>
  <c r="N14" i="15"/>
  <c r="J14" i="15"/>
  <c r="U14" i="15" s="1"/>
  <c r="I14" i="15"/>
  <c r="D14" i="15"/>
  <c r="C14" i="15"/>
  <c r="B14" i="15"/>
  <c r="A14" i="15"/>
  <c r="S13" i="15"/>
  <c r="T13" i="15" s="1"/>
  <c r="W13" i="15" s="1"/>
  <c r="O13" i="15"/>
  <c r="V13" i="15" s="1"/>
  <c r="N13" i="15"/>
  <c r="I13" i="15"/>
  <c r="J13" i="15" s="1"/>
  <c r="U13" i="15" s="1"/>
  <c r="D13" i="15"/>
  <c r="C13" i="15"/>
  <c r="B13" i="15"/>
  <c r="A13" i="15"/>
  <c r="T12" i="15"/>
  <c r="W12" i="15" s="1"/>
  <c r="S12" i="15"/>
  <c r="N12" i="15"/>
  <c r="O12" i="15" s="1"/>
  <c r="V12" i="15" s="1"/>
  <c r="I12" i="15"/>
  <c r="J12" i="15" s="1"/>
  <c r="U12" i="15" s="1"/>
  <c r="D12" i="15"/>
  <c r="C12" i="15"/>
  <c r="B12" i="15"/>
  <c r="A12" i="15"/>
  <c r="S11" i="15"/>
  <c r="T11" i="15" s="1"/>
  <c r="W11" i="15" s="1"/>
  <c r="N11" i="15"/>
  <c r="O11" i="15" s="1"/>
  <c r="V11" i="15" s="1"/>
  <c r="I11" i="15"/>
  <c r="J11" i="15" s="1"/>
  <c r="U11" i="15" s="1"/>
  <c r="D11" i="15"/>
  <c r="C11" i="15"/>
  <c r="B11" i="15"/>
  <c r="A11" i="15"/>
  <c r="S10" i="15"/>
  <c r="N10" i="15"/>
  <c r="I10" i="15"/>
  <c r="D10" i="15"/>
  <c r="C10" i="15"/>
  <c r="I9" i="15"/>
  <c r="C9" i="15"/>
  <c r="S9" i="15" s="1"/>
  <c r="S8" i="15"/>
  <c r="N8" i="15"/>
  <c r="I8" i="15"/>
  <c r="D8" i="15"/>
  <c r="D9" i="15" s="1"/>
  <c r="C8" i="15"/>
  <c r="S7" i="15"/>
  <c r="I7" i="15"/>
  <c r="D7" i="15"/>
  <c r="C7" i="15"/>
  <c r="N7" i="15" s="1"/>
  <c r="I6" i="15"/>
  <c r="C6" i="15"/>
  <c r="S6" i="15" s="1"/>
  <c r="B6" i="15"/>
  <c r="B7" i="15" s="1"/>
  <c r="S5" i="15"/>
  <c r="N5" i="15"/>
  <c r="I5" i="15"/>
  <c r="D5" i="15"/>
  <c r="D6" i="15" s="1"/>
  <c r="C5" i="15"/>
  <c r="B5" i="15"/>
  <c r="S4" i="15"/>
  <c r="T4" i="15" s="1"/>
  <c r="N4" i="15"/>
  <c r="O4" i="15" s="1"/>
  <c r="I4" i="15"/>
  <c r="J4" i="15" s="1"/>
  <c r="W3" i="15"/>
  <c r="V3" i="15"/>
  <c r="U3" i="15"/>
  <c r="W2" i="15"/>
  <c r="V2" i="15"/>
  <c r="U2" i="15"/>
  <c r="N6" i="15" l="1"/>
  <c r="N9" i="15"/>
  <c r="O5" i="15"/>
  <c r="V5" i="15" s="1"/>
  <c r="J5" i="15"/>
  <c r="U4" i="15"/>
  <c r="A6" i="15"/>
  <c r="B8" i="15"/>
  <c r="T5" i="15"/>
  <c r="W4" i="15"/>
  <c r="V4" i="15"/>
  <c r="A7" i="15"/>
  <c r="A5" i="15"/>
  <c r="A8" i="15" l="1"/>
  <c r="O6" i="15"/>
  <c r="O7" i="15" s="1"/>
  <c r="B9" i="15"/>
  <c r="J6" i="15"/>
  <c r="U5" i="15"/>
  <c r="W5" i="15"/>
  <c r="T6" i="15"/>
  <c r="V6" i="15" l="1"/>
  <c r="B10" i="15"/>
  <c r="A10" i="15" s="1"/>
  <c r="V7" i="15"/>
  <c r="O8" i="15"/>
  <c r="J7" i="15"/>
  <c r="U6" i="15"/>
  <c r="W6" i="15"/>
  <c r="T7" i="15"/>
  <c r="A9" i="15"/>
  <c r="J8" i="15" l="1"/>
  <c r="U7" i="15"/>
  <c r="T8" i="15"/>
  <c r="W7" i="15"/>
  <c r="O9" i="15"/>
  <c r="V8" i="15"/>
  <c r="O10" i="15" l="1"/>
  <c r="V10" i="15" s="1"/>
  <c r="V9" i="15"/>
  <c r="J9" i="15"/>
  <c r="U8" i="15"/>
  <c r="T9" i="15"/>
  <c r="W8" i="15"/>
  <c r="T10" i="15" l="1"/>
  <c r="W10" i="15" s="1"/>
  <c r="W9" i="15"/>
  <c r="U9" i="15"/>
  <c r="J10" i="15"/>
  <c r="U10" i="15" s="1"/>
  <c r="T30" i="14" l="1"/>
  <c r="W30" i="14" s="1"/>
  <c r="S30" i="14"/>
  <c r="O30" i="14"/>
  <c r="V30" i="14" s="1"/>
  <c r="N30" i="14"/>
  <c r="J30" i="14"/>
  <c r="U30" i="14" s="1"/>
  <c r="I30" i="14"/>
  <c r="D30" i="14"/>
  <c r="C30" i="14"/>
  <c r="B30" i="14"/>
  <c r="A30" i="14"/>
  <c r="T29" i="14"/>
  <c r="W29" i="14" s="1"/>
  <c r="S29" i="14"/>
  <c r="O29" i="14"/>
  <c r="V29" i="14" s="1"/>
  <c r="N29" i="14"/>
  <c r="J29" i="14"/>
  <c r="U29" i="14" s="1"/>
  <c r="I29" i="14"/>
  <c r="D29" i="14"/>
  <c r="C29" i="14"/>
  <c r="B29" i="14"/>
  <c r="A29" i="14"/>
  <c r="T28" i="14"/>
  <c r="W28" i="14" s="1"/>
  <c r="S28" i="14"/>
  <c r="O28" i="14"/>
  <c r="V28" i="14" s="1"/>
  <c r="N28" i="14"/>
  <c r="J28" i="14"/>
  <c r="U28" i="14" s="1"/>
  <c r="I28" i="14"/>
  <c r="D28" i="14"/>
  <c r="C28" i="14"/>
  <c r="B28" i="14"/>
  <c r="A28" i="14"/>
  <c r="T27" i="14"/>
  <c r="W27" i="14" s="1"/>
  <c r="S27" i="14"/>
  <c r="O27" i="14"/>
  <c r="V27" i="14" s="1"/>
  <c r="N27" i="14"/>
  <c r="J27" i="14"/>
  <c r="U27" i="14" s="1"/>
  <c r="I27" i="14"/>
  <c r="D27" i="14"/>
  <c r="C27" i="14"/>
  <c r="B27" i="14"/>
  <c r="A27" i="14"/>
  <c r="T26" i="14"/>
  <c r="W26" i="14" s="1"/>
  <c r="S26" i="14"/>
  <c r="O26" i="14"/>
  <c r="V26" i="14" s="1"/>
  <c r="N26" i="14"/>
  <c r="J26" i="14"/>
  <c r="U26" i="14" s="1"/>
  <c r="I26" i="14"/>
  <c r="D26" i="14"/>
  <c r="C26" i="14"/>
  <c r="B26" i="14"/>
  <c r="A26" i="14"/>
  <c r="T25" i="14"/>
  <c r="W25" i="14" s="1"/>
  <c r="S25" i="14"/>
  <c r="O25" i="14"/>
  <c r="V25" i="14" s="1"/>
  <c r="N25" i="14"/>
  <c r="J25" i="14"/>
  <c r="U25" i="14" s="1"/>
  <c r="I25" i="14"/>
  <c r="D25" i="14"/>
  <c r="C25" i="14"/>
  <c r="B25" i="14"/>
  <c r="A25" i="14"/>
  <c r="T24" i="14"/>
  <c r="W24" i="14" s="1"/>
  <c r="S24" i="14"/>
  <c r="O24" i="14"/>
  <c r="V24" i="14" s="1"/>
  <c r="N24" i="14"/>
  <c r="J24" i="14"/>
  <c r="U24" i="14" s="1"/>
  <c r="I24" i="14"/>
  <c r="D24" i="14"/>
  <c r="C24" i="14"/>
  <c r="B24" i="14"/>
  <c r="A24" i="14"/>
  <c r="T23" i="14"/>
  <c r="W23" i="14" s="1"/>
  <c r="S23" i="14"/>
  <c r="O23" i="14"/>
  <c r="V23" i="14" s="1"/>
  <c r="N23" i="14"/>
  <c r="J23" i="14"/>
  <c r="U23" i="14" s="1"/>
  <c r="I23" i="14"/>
  <c r="D23" i="14"/>
  <c r="C23" i="14"/>
  <c r="B23" i="14"/>
  <c r="A23" i="14"/>
  <c r="T22" i="14"/>
  <c r="W22" i="14" s="1"/>
  <c r="S22" i="14"/>
  <c r="O22" i="14"/>
  <c r="V22" i="14" s="1"/>
  <c r="N22" i="14"/>
  <c r="J22" i="14"/>
  <c r="U22" i="14" s="1"/>
  <c r="I22" i="14"/>
  <c r="D22" i="14"/>
  <c r="C22" i="14"/>
  <c r="B22" i="14"/>
  <c r="A22" i="14"/>
  <c r="T21" i="14"/>
  <c r="W21" i="14" s="1"/>
  <c r="S21" i="14"/>
  <c r="O21" i="14"/>
  <c r="V21" i="14" s="1"/>
  <c r="N21" i="14"/>
  <c r="J21" i="14"/>
  <c r="U21" i="14" s="1"/>
  <c r="I21" i="14"/>
  <c r="D21" i="14"/>
  <c r="C21" i="14"/>
  <c r="B21" i="14"/>
  <c r="A21" i="14"/>
  <c r="T20" i="14"/>
  <c r="W20" i="14" s="1"/>
  <c r="S20" i="14"/>
  <c r="O20" i="14"/>
  <c r="V20" i="14" s="1"/>
  <c r="N20" i="14"/>
  <c r="J20" i="14"/>
  <c r="U20" i="14" s="1"/>
  <c r="I20" i="14"/>
  <c r="D20" i="14"/>
  <c r="C20" i="14"/>
  <c r="B20" i="14"/>
  <c r="A20" i="14"/>
  <c r="T19" i="14"/>
  <c r="W19" i="14" s="1"/>
  <c r="S19" i="14"/>
  <c r="O19" i="14"/>
  <c r="V19" i="14" s="1"/>
  <c r="N19" i="14"/>
  <c r="J19" i="14"/>
  <c r="U19" i="14" s="1"/>
  <c r="I19" i="14"/>
  <c r="D19" i="14"/>
  <c r="C19" i="14"/>
  <c r="B19" i="14"/>
  <c r="A19" i="14"/>
  <c r="T18" i="14"/>
  <c r="W18" i="14" s="1"/>
  <c r="S18" i="14"/>
  <c r="O18" i="14"/>
  <c r="V18" i="14" s="1"/>
  <c r="N18" i="14"/>
  <c r="J18" i="14"/>
  <c r="U18" i="14" s="1"/>
  <c r="I18" i="14"/>
  <c r="D18" i="14"/>
  <c r="C18" i="14"/>
  <c r="B18" i="14"/>
  <c r="A18" i="14"/>
  <c r="T17" i="14"/>
  <c r="W17" i="14" s="1"/>
  <c r="S17" i="14"/>
  <c r="O17" i="14"/>
  <c r="V17" i="14" s="1"/>
  <c r="N17" i="14"/>
  <c r="J17" i="14"/>
  <c r="U17" i="14" s="1"/>
  <c r="I17" i="14"/>
  <c r="D17" i="14"/>
  <c r="C17" i="14"/>
  <c r="B17" i="14"/>
  <c r="A17" i="14"/>
  <c r="T16" i="14"/>
  <c r="W16" i="14" s="1"/>
  <c r="S16" i="14"/>
  <c r="O16" i="14"/>
  <c r="V16" i="14" s="1"/>
  <c r="N16" i="14"/>
  <c r="J16" i="14"/>
  <c r="U16" i="14" s="1"/>
  <c r="I16" i="14"/>
  <c r="D16" i="14"/>
  <c r="C16" i="14"/>
  <c r="B16" i="14"/>
  <c r="A16" i="14"/>
  <c r="T15" i="14"/>
  <c r="W15" i="14" s="1"/>
  <c r="S15" i="14"/>
  <c r="O15" i="14"/>
  <c r="V15" i="14" s="1"/>
  <c r="N15" i="14"/>
  <c r="J15" i="14"/>
  <c r="U15" i="14" s="1"/>
  <c r="I15" i="14"/>
  <c r="D15" i="14"/>
  <c r="C15" i="14"/>
  <c r="B15" i="14"/>
  <c r="A15" i="14"/>
  <c r="T14" i="14"/>
  <c r="W14" i="14" s="1"/>
  <c r="S14" i="14"/>
  <c r="O14" i="14"/>
  <c r="V14" i="14" s="1"/>
  <c r="N14" i="14"/>
  <c r="J14" i="14"/>
  <c r="U14" i="14" s="1"/>
  <c r="I14" i="14"/>
  <c r="D14" i="14"/>
  <c r="C14" i="14"/>
  <c r="B14" i="14"/>
  <c r="A14" i="14"/>
  <c r="T13" i="14"/>
  <c r="W13" i="14" s="1"/>
  <c r="S13" i="14"/>
  <c r="O13" i="14"/>
  <c r="V13" i="14" s="1"/>
  <c r="N13" i="14"/>
  <c r="J13" i="14"/>
  <c r="U13" i="14" s="1"/>
  <c r="I13" i="14"/>
  <c r="D13" i="14"/>
  <c r="C13" i="14"/>
  <c r="B13" i="14"/>
  <c r="A13" i="14"/>
  <c r="T12" i="14"/>
  <c r="W12" i="14" s="1"/>
  <c r="S12" i="14"/>
  <c r="O12" i="14"/>
  <c r="V12" i="14" s="1"/>
  <c r="N12" i="14"/>
  <c r="J12" i="14"/>
  <c r="U12" i="14" s="1"/>
  <c r="I12" i="14"/>
  <c r="D12" i="14"/>
  <c r="C12" i="14"/>
  <c r="B12" i="14"/>
  <c r="A12" i="14"/>
  <c r="T11" i="14"/>
  <c r="W11" i="14" s="1"/>
  <c r="S11" i="14"/>
  <c r="O11" i="14"/>
  <c r="V11" i="14" s="1"/>
  <c r="N11" i="14"/>
  <c r="J11" i="14"/>
  <c r="U11" i="14" s="1"/>
  <c r="I11" i="14"/>
  <c r="D11" i="14"/>
  <c r="C11" i="14"/>
  <c r="B11" i="14"/>
  <c r="A11" i="14"/>
  <c r="T10" i="14"/>
  <c r="W10" i="14" s="1"/>
  <c r="S10" i="14"/>
  <c r="N10" i="14"/>
  <c r="O10" i="14" s="1"/>
  <c r="V10" i="14" s="1"/>
  <c r="J10" i="14"/>
  <c r="U10" i="14" s="1"/>
  <c r="I10" i="14"/>
  <c r="D10" i="14"/>
  <c r="C10" i="14"/>
  <c r="B10" i="14"/>
  <c r="A10" i="14" s="1"/>
  <c r="S9" i="14"/>
  <c r="D9" i="14"/>
  <c r="C9" i="14"/>
  <c r="N9" i="14" s="1"/>
  <c r="I8" i="14"/>
  <c r="D8" i="14"/>
  <c r="C8" i="14"/>
  <c r="N8" i="14" s="1"/>
  <c r="I7" i="14"/>
  <c r="D7" i="14"/>
  <c r="C7" i="14"/>
  <c r="N7" i="14" s="1"/>
  <c r="C6" i="14"/>
  <c r="S6" i="14" s="1"/>
  <c r="B6" i="14"/>
  <c r="B7" i="14" s="1"/>
  <c r="S5" i="14"/>
  <c r="N5" i="14"/>
  <c r="I5" i="14"/>
  <c r="D5" i="14"/>
  <c r="D6" i="14" s="1"/>
  <c r="C5" i="14"/>
  <c r="B5" i="14"/>
  <c r="A6" i="14" s="1"/>
  <c r="A5" i="14"/>
  <c r="S4" i="14"/>
  <c r="T4" i="14" s="1"/>
  <c r="N4" i="14"/>
  <c r="I4" i="14"/>
  <c r="J4" i="14" s="1"/>
  <c r="W3" i="14"/>
  <c r="V3" i="14"/>
  <c r="U3" i="14"/>
  <c r="W2" i="14"/>
  <c r="V2" i="14"/>
  <c r="U2" i="14"/>
  <c r="O4" i="14" l="1"/>
  <c r="V4" i="14" s="1"/>
  <c r="S7" i="14"/>
  <c r="S8" i="14"/>
  <c r="T5" i="14"/>
  <c r="W4" i="14"/>
  <c r="B8" i="14"/>
  <c r="J5" i="14"/>
  <c r="U4" i="14"/>
  <c r="O5" i="14"/>
  <c r="A7" i="14"/>
  <c r="I9" i="14"/>
  <c r="N6" i="14"/>
  <c r="I6" i="14"/>
  <c r="A8" i="14" l="1"/>
  <c r="O6" i="14"/>
  <c r="V5" i="14"/>
  <c r="B9" i="14"/>
  <c r="A9" i="14" s="1"/>
  <c r="U5" i="14"/>
  <c r="J6" i="14"/>
  <c r="W5" i="14"/>
  <c r="T6" i="14"/>
  <c r="W6" i="14" l="1"/>
  <c r="T7" i="14"/>
  <c r="J7" i="14"/>
  <c r="U6" i="14"/>
  <c r="O7" i="14"/>
  <c r="V6" i="14"/>
  <c r="T8" i="14" l="1"/>
  <c r="W7" i="14"/>
  <c r="V7" i="14"/>
  <c r="O8" i="14"/>
  <c r="J8" i="14"/>
  <c r="U7" i="14"/>
  <c r="J9" i="14" l="1"/>
  <c r="U9" i="14" s="1"/>
  <c r="U8" i="14"/>
  <c r="T9" i="14"/>
  <c r="W9" i="14" s="1"/>
  <c r="W8" i="14"/>
  <c r="O9" i="14"/>
  <c r="V9" i="14" s="1"/>
  <c r="V8" i="14"/>
  <c r="T30" i="13" l="1"/>
  <c r="W30" i="13" s="1"/>
  <c r="S30" i="13"/>
  <c r="O30" i="13"/>
  <c r="V30" i="13" s="1"/>
  <c r="N30" i="13"/>
  <c r="J30" i="13"/>
  <c r="U30" i="13" s="1"/>
  <c r="I30" i="13"/>
  <c r="D30" i="13"/>
  <c r="C30" i="13"/>
  <c r="B30" i="13"/>
  <c r="A30" i="13"/>
  <c r="T29" i="13"/>
  <c r="W29" i="13" s="1"/>
  <c r="S29" i="13"/>
  <c r="O29" i="13"/>
  <c r="V29" i="13" s="1"/>
  <c r="N29" i="13"/>
  <c r="J29" i="13"/>
  <c r="U29" i="13" s="1"/>
  <c r="I29" i="13"/>
  <c r="D29" i="13"/>
  <c r="C29" i="13"/>
  <c r="B29" i="13"/>
  <c r="A29" i="13"/>
  <c r="T28" i="13"/>
  <c r="W28" i="13" s="1"/>
  <c r="S28" i="13"/>
  <c r="O28" i="13"/>
  <c r="V28" i="13" s="1"/>
  <c r="N28" i="13"/>
  <c r="J28" i="13"/>
  <c r="U28" i="13" s="1"/>
  <c r="I28" i="13"/>
  <c r="D28" i="13"/>
  <c r="C28" i="13"/>
  <c r="B28" i="13"/>
  <c r="A28" i="13"/>
  <c r="T27" i="13"/>
  <c r="W27" i="13" s="1"/>
  <c r="S27" i="13"/>
  <c r="O27" i="13"/>
  <c r="V27" i="13" s="1"/>
  <c r="N27" i="13"/>
  <c r="J27" i="13"/>
  <c r="U27" i="13" s="1"/>
  <c r="I27" i="13"/>
  <c r="D27" i="13"/>
  <c r="C27" i="13"/>
  <c r="B27" i="13"/>
  <c r="A27" i="13"/>
  <c r="T26" i="13"/>
  <c r="W26" i="13" s="1"/>
  <c r="S26" i="13"/>
  <c r="O26" i="13"/>
  <c r="V26" i="13" s="1"/>
  <c r="N26" i="13"/>
  <c r="J26" i="13"/>
  <c r="U26" i="13" s="1"/>
  <c r="I26" i="13"/>
  <c r="D26" i="13"/>
  <c r="C26" i="13"/>
  <c r="B26" i="13"/>
  <c r="A26" i="13"/>
  <c r="T25" i="13"/>
  <c r="W25" i="13" s="1"/>
  <c r="S25" i="13"/>
  <c r="O25" i="13"/>
  <c r="V25" i="13" s="1"/>
  <c r="N25" i="13"/>
  <c r="J25" i="13"/>
  <c r="U25" i="13" s="1"/>
  <c r="I25" i="13"/>
  <c r="D25" i="13"/>
  <c r="C25" i="13"/>
  <c r="B25" i="13"/>
  <c r="A25" i="13"/>
  <c r="T24" i="13"/>
  <c r="W24" i="13" s="1"/>
  <c r="S24" i="13"/>
  <c r="O24" i="13"/>
  <c r="V24" i="13" s="1"/>
  <c r="N24" i="13"/>
  <c r="J24" i="13"/>
  <c r="U24" i="13" s="1"/>
  <c r="I24" i="13"/>
  <c r="D24" i="13"/>
  <c r="C24" i="13"/>
  <c r="B24" i="13"/>
  <c r="A24" i="13"/>
  <c r="T23" i="13"/>
  <c r="W23" i="13" s="1"/>
  <c r="S23" i="13"/>
  <c r="O23" i="13"/>
  <c r="V23" i="13" s="1"/>
  <c r="N23" i="13"/>
  <c r="J23" i="13"/>
  <c r="U23" i="13" s="1"/>
  <c r="I23" i="13"/>
  <c r="D23" i="13"/>
  <c r="C23" i="13"/>
  <c r="B23" i="13"/>
  <c r="A23" i="13"/>
  <c r="T22" i="13"/>
  <c r="W22" i="13" s="1"/>
  <c r="S22" i="13"/>
  <c r="O22" i="13"/>
  <c r="V22" i="13" s="1"/>
  <c r="N22" i="13"/>
  <c r="J22" i="13"/>
  <c r="U22" i="13" s="1"/>
  <c r="I22" i="13"/>
  <c r="D22" i="13"/>
  <c r="C22" i="13"/>
  <c r="B22" i="13"/>
  <c r="A22" i="13"/>
  <c r="T21" i="13"/>
  <c r="W21" i="13" s="1"/>
  <c r="S21" i="13"/>
  <c r="O21" i="13"/>
  <c r="V21" i="13" s="1"/>
  <c r="N21" i="13"/>
  <c r="J21" i="13"/>
  <c r="U21" i="13" s="1"/>
  <c r="I21" i="13"/>
  <c r="D21" i="13"/>
  <c r="C21" i="13"/>
  <c r="B21" i="13"/>
  <c r="A21" i="13"/>
  <c r="T20" i="13"/>
  <c r="W20" i="13" s="1"/>
  <c r="S20" i="13"/>
  <c r="O20" i="13"/>
  <c r="V20" i="13" s="1"/>
  <c r="N20" i="13"/>
  <c r="J20" i="13"/>
  <c r="U20" i="13" s="1"/>
  <c r="I20" i="13"/>
  <c r="D20" i="13"/>
  <c r="C20" i="13"/>
  <c r="B20" i="13"/>
  <c r="A20" i="13"/>
  <c r="T19" i="13"/>
  <c r="W19" i="13" s="1"/>
  <c r="S19" i="13"/>
  <c r="O19" i="13"/>
  <c r="V19" i="13" s="1"/>
  <c r="N19" i="13"/>
  <c r="J19" i="13"/>
  <c r="U19" i="13" s="1"/>
  <c r="I19" i="13"/>
  <c r="D19" i="13"/>
  <c r="C19" i="13"/>
  <c r="B19" i="13"/>
  <c r="A19" i="13"/>
  <c r="T18" i="13"/>
  <c r="W18" i="13" s="1"/>
  <c r="S18" i="13"/>
  <c r="O18" i="13"/>
  <c r="V18" i="13" s="1"/>
  <c r="N18" i="13"/>
  <c r="J18" i="13"/>
  <c r="U18" i="13" s="1"/>
  <c r="I18" i="13"/>
  <c r="D18" i="13"/>
  <c r="C18" i="13"/>
  <c r="B18" i="13"/>
  <c r="A18" i="13"/>
  <c r="T17" i="13"/>
  <c r="W17" i="13" s="1"/>
  <c r="S17" i="13"/>
  <c r="O17" i="13"/>
  <c r="V17" i="13" s="1"/>
  <c r="N17" i="13"/>
  <c r="J17" i="13"/>
  <c r="U17" i="13" s="1"/>
  <c r="I17" i="13"/>
  <c r="D17" i="13"/>
  <c r="C17" i="13"/>
  <c r="B17" i="13"/>
  <c r="A17" i="13"/>
  <c r="T16" i="13"/>
  <c r="W16" i="13" s="1"/>
  <c r="S16" i="13"/>
  <c r="O16" i="13"/>
  <c r="V16" i="13" s="1"/>
  <c r="N16" i="13"/>
  <c r="J16" i="13"/>
  <c r="U16" i="13" s="1"/>
  <c r="I16" i="13"/>
  <c r="D16" i="13"/>
  <c r="C16" i="13"/>
  <c r="B16" i="13"/>
  <c r="A16" i="13"/>
  <c r="T15" i="13"/>
  <c r="W15" i="13" s="1"/>
  <c r="S15" i="13"/>
  <c r="O15" i="13"/>
  <c r="V15" i="13" s="1"/>
  <c r="N15" i="13"/>
  <c r="J15" i="13"/>
  <c r="U15" i="13" s="1"/>
  <c r="I15" i="13"/>
  <c r="D15" i="13"/>
  <c r="C15" i="13"/>
  <c r="B15" i="13"/>
  <c r="A15" i="13"/>
  <c r="T14" i="13"/>
  <c r="W14" i="13" s="1"/>
  <c r="S14" i="13"/>
  <c r="O14" i="13"/>
  <c r="V14" i="13" s="1"/>
  <c r="N14" i="13"/>
  <c r="J14" i="13"/>
  <c r="U14" i="13" s="1"/>
  <c r="I14" i="13"/>
  <c r="D14" i="13"/>
  <c r="C14" i="13"/>
  <c r="B14" i="13"/>
  <c r="A14" i="13"/>
  <c r="T13" i="13"/>
  <c r="W13" i="13" s="1"/>
  <c r="S13" i="13"/>
  <c r="O13" i="13"/>
  <c r="V13" i="13" s="1"/>
  <c r="N13" i="13"/>
  <c r="J13" i="13"/>
  <c r="U13" i="13" s="1"/>
  <c r="I13" i="13"/>
  <c r="D13" i="13"/>
  <c r="C13" i="13"/>
  <c r="B13" i="13"/>
  <c r="A13" i="13"/>
  <c r="T12" i="13"/>
  <c r="W12" i="13" s="1"/>
  <c r="S12" i="13"/>
  <c r="O12" i="13"/>
  <c r="V12" i="13" s="1"/>
  <c r="N12" i="13"/>
  <c r="J12" i="13"/>
  <c r="U12" i="13" s="1"/>
  <c r="I12" i="13"/>
  <c r="D12" i="13"/>
  <c r="C12" i="13"/>
  <c r="B12" i="13"/>
  <c r="A12" i="13"/>
  <c r="T11" i="13"/>
  <c r="W11" i="13" s="1"/>
  <c r="S11" i="13"/>
  <c r="O11" i="13"/>
  <c r="V11" i="13" s="1"/>
  <c r="N11" i="13"/>
  <c r="J11" i="13"/>
  <c r="U11" i="13" s="1"/>
  <c r="I11" i="13"/>
  <c r="D11" i="13"/>
  <c r="C11" i="13"/>
  <c r="B11" i="13"/>
  <c r="A11" i="13"/>
  <c r="I10" i="13"/>
  <c r="D10" i="13"/>
  <c r="N9" i="13"/>
  <c r="D9" i="13"/>
  <c r="C9" i="13"/>
  <c r="S9" i="13" s="1"/>
  <c r="I8" i="13"/>
  <c r="D8" i="13"/>
  <c r="C8" i="13"/>
  <c r="N8" i="13" s="1"/>
  <c r="I7" i="13"/>
  <c r="D7" i="13"/>
  <c r="C7" i="13"/>
  <c r="N7" i="13" s="1"/>
  <c r="S6" i="13"/>
  <c r="D6" i="13"/>
  <c r="C6" i="13"/>
  <c r="I6" i="13" s="1"/>
  <c r="B6" i="13"/>
  <c r="S5" i="13"/>
  <c r="D5" i="13"/>
  <c r="C5" i="13"/>
  <c r="I5" i="13" s="1"/>
  <c r="B5" i="13"/>
  <c r="S4" i="13"/>
  <c r="T4" i="13" s="1"/>
  <c r="N4" i="13"/>
  <c r="O4" i="13" s="1"/>
  <c r="V4" i="13" s="1"/>
  <c r="I4" i="13"/>
  <c r="J4" i="13" s="1"/>
  <c r="W3" i="13"/>
  <c r="V3" i="13"/>
  <c r="U3" i="13"/>
  <c r="W2" i="13"/>
  <c r="V2" i="13"/>
  <c r="U2" i="13"/>
  <c r="N5" i="13" l="1"/>
  <c r="S7" i="13"/>
  <c r="S8" i="13"/>
  <c r="T5" i="13"/>
  <c r="W4" i="13"/>
  <c r="J5" i="13"/>
  <c r="U4" i="13"/>
  <c r="B7" i="13"/>
  <c r="O5" i="13"/>
  <c r="C10" i="13"/>
  <c r="A5" i="13"/>
  <c r="A6" i="13" s="1"/>
  <c r="I9" i="13"/>
  <c r="N6" i="13"/>
  <c r="T30" i="12"/>
  <c r="W30" i="12" s="1"/>
  <c r="S30" i="12"/>
  <c r="O30" i="12"/>
  <c r="V30" i="12" s="1"/>
  <c r="N30" i="12"/>
  <c r="J30" i="12"/>
  <c r="U30" i="12" s="1"/>
  <c r="I30" i="12"/>
  <c r="D30" i="12"/>
  <c r="C30" i="12"/>
  <c r="B30" i="12"/>
  <c r="A30" i="12"/>
  <c r="T29" i="12"/>
  <c r="W29" i="12" s="1"/>
  <c r="S29" i="12"/>
  <c r="O29" i="12"/>
  <c r="V29" i="12" s="1"/>
  <c r="N29" i="12"/>
  <c r="J29" i="12"/>
  <c r="U29" i="12" s="1"/>
  <c r="I29" i="12"/>
  <c r="D29" i="12"/>
  <c r="C29" i="12"/>
  <c r="B29" i="12"/>
  <c r="A29" i="12"/>
  <c r="T28" i="12"/>
  <c r="W28" i="12" s="1"/>
  <c r="S28" i="12"/>
  <c r="O28" i="12"/>
  <c r="V28" i="12" s="1"/>
  <c r="N28" i="12"/>
  <c r="J28" i="12"/>
  <c r="U28" i="12" s="1"/>
  <c r="I28" i="12"/>
  <c r="D28" i="12"/>
  <c r="C28" i="12"/>
  <c r="B28" i="12"/>
  <c r="A28" i="12"/>
  <c r="T27" i="12"/>
  <c r="W27" i="12" s="1"/>
  <c r="S27" i="12"/>
  <c r="O27" i="12"/>
  <c r="V27" i="12" s="1"/>
  <c r="N27" i="12"/>
  <c r="J27" i="12"/>
  <c r="U27" i="12" s="1"/>
  <c r="I27" i="12"/>
  <c r="D27" i="12"/>
  <c r="C27" i="12"/>
  <c r="B27" i="12"/>
  <c r="A27" i="12"/>
  <c r="T26" i="12"/>
  <c r="W26" i="12" s="1"/>
  <c r="S26" i="12"/>
  <c r="O26" i="12"/>
  <c r="V26" i="12" s="1"/>
  <c r="N26" i="12"/>
  <c r="J26" i="12"/>
  <c r="U26" i="12" s="1"/>
  <c r="I26" i="12"/>
  <c r="D26" i="12"/>
  <c r="C26" i="12"/>
  <c r="B26" i="12"/>
  <c r="A26" i="12"/>
  <c r="T25" i="12"/>
  <c r="W25" i="12" s="1"/>
  <c r="S25" i="12"/>
  <c r="O25" i="12"/>
  <c r="V25" i="12" s="1"/>
  <c r="N25" i="12"/>
  <c r="J25" i="12"/>
  <c r="U25" i="12" s="1"/>
  <c r="I25" i="12"/>
  <c r="D25" i="12"/>
  <c r="C25" i="12"/>
  <c r="B25" i="12"/>
  <c r="A25" i="12"/>
  <c r="T24" i="12"/>
  <c r="W24" i="12" s="1"/>
  <c r="S24" i="12"/>
  <c r="O24" i="12"/>
  <c r="V24" i="12" s="1"/>
  <c r="N24" i="12"/>
  <c r="J24" i="12"/>
  <c r="U24" i="12" s="1"/>
  <c r="I24" i="12"/>
  <c r="D24" i="12"/>
  <c r="C24" i="12"/>
  <c r="B24" i="12"/>
  <c r="A24" i="12"/>
  <c r="T23" i="12"/>
  <c r="W23" i="12" s="1"/>
  <c r="S23" i="12"/>
  <c r="O23" i="12"/>
  <c r="V23" i="12" s="1"/>
  <c r="N23" i="12"/>
  <c r="J23" i="12"/>
  <c r="U23" i="12" s="1"/>
  <c r="I23" i="12"/>
  <c r="D23" i="12"/>
  <c r="C23" i="12"/>
  <c r="B23" i="12"/>
  <c r="A23" i="12"/>
  <c r="T22" i="12"/>
  <c r="W22" i="12" s="1"/>
  <c r="S22" i="12"/>
  <c r="O22" i="12"/>
  <c r="V22" i="12" s="1"/>
  <c r="N22" i="12"/>
  <c r="J22" i="12"/>
  <c r="U22" i="12" s="1"/>
  <c r="I22" i="12"/>
  <c r="D22" i="12"/>
  <c r="C22" i="12"/>
  <c r="B22" i="12"/>
  <c r="A22" i="12"/>
  <c r="T21" i="12"/>
  <c r="W21" i="12" s="1"/>
  <c r="S21" i="12"/>
  <c r="O21" i="12"/>
  <c r="V21" i="12" s="1"/>
  <c r="N21" i="12"/>
  <c r="J21" i="12"/>
  <c r="U21" i="12" s="1"/>
  <c r="I21" i="12"/>
  <c r="D21" i="12"/>
  <c r="C21" i="12"/>
  <c r="B21" i="12"/>
  <c r="A21" i="12"/>
  <c r="T20" i="12"/>
  <c r="W20" i="12" s="1"/>
  <c r="S20" i="12"/>
  <c r="O20" i="12"/>
  <c r="V20" i="12" s="1"/>
  <c r="N20" i="12"/>
  <c r="J20" i="12"/>
  <c r="U20" i="12" s="1"/>
  <c r="I20" i="12"/>
  <c r="D20" i="12"/>
  <c r="C20" i="12"/>
  <c r="B20" i="12"/>
  <c r="A20" i="12"/>
  <c r="T19" i="12"/>
  <c r="W19" i="12" s="1"/>
  <c r="S19" i="12"/>
  <c r="O19" i="12"/>
  <c r="V19" i="12" s="1"/>
  <c r="N19" i="12"/>
  <c r="J19" i="12"/>
  <c r="U19" i="12" s="1"/>
  <c r="I19" i="12"/>
  <c r="D19" i="12"/>
  <c r="C19" i="12"/>
  <c r="B19" i="12"/>
  <c r="A19" i="12"/>
  <c r="T18" i="12"/>
  <c r="W18" i="12" s="1"/>
  <c r="S18" i="12"/>
  <c r="O18" i="12"/>
  <c r="V18" i="12" s="1"/>
  <c r="N18" i="12"/>
  <c r="J18" i="12"/>
  <c r="U18" i="12" s="1"/>
  <c r="I18" i="12"/>
  <c r="D18" i="12"/>
  <c r="C18" i="12"/>
  <c r="B18" i="12"/>
  <c r="A18" i="12"/>
  <c r="T17" i="12"/>
  <c r="W17" i="12" s="1"/>
  <c r="S17" i="12"/>
  <c r="O17" i="12"/>
  <c r="V17" i="12" s="1"/>
  <c r="N17" i="12"/>
  <c r="J17" i="12"/>
  <c r="U17" i="12" s="1"/>
  <c r="I17" i="12"/>
  <c r="D17" i="12"/>
  <c r="C17" i="12"/>
  <c r="B17" i="12"/>
  <c r="A17" i="12"/>
  <c r="T16" i="12"/>
  <c r="W16" i="12" s="1"/>
  <c r="S16" i="12"/>
  <c r="O16" i="12"/>
  <c r="V16" i="12" s="1"/>
  <c r="N16" i="12"/>
  <c r="J16" i="12"/>
  <c r="U16" i="12" s="1"/>
  <c r="I16" i="12"/>
  <c r="D16" i="12"/>
  <c r="C16" i="12"/>
  <c r="B16" i="12"/>
  <c r="A16" i="12"/>
  <c r="T15" i="12"/>
  <c r="W15" i="12" s="1"/>
  <c r="S15" i="12"/>
  <c r="O15" i="12"/>
  <c r="V15" i="12" s="1"/>
  <c r="N15" i="12"/>
  <c r="J15" i="12"/>
  <c r="U15" i="12" s="1"/>
  <c r="I15" i="12"/>
  <c r="D15" i="12"/>
  <c r="C15" i="12"/>
  <c r="B15" i="12"/>
  <c r="A15" i="12"/>
  <c r="T14" i="12"/>
  <c r="W14" i="12" s="1"/>
  <c r="S14" i="12"/>
  <c r="O14" i="12"/>
  <c r="V14" i="12" s="1"/>
  <c r="N14" i="12"/>
  <c r="J14" i="12"/>
  <c r="U14" i="12" s="1"/>
  <c r="I14" i="12"/>
  <c r="D14" i="12"/>
  <c r="C14" i="12"/>
  <c r="B14" i="12"/>
  <c r="A14" i="12"/>
  <c r="T13" i="12"/>
  <c r="W13" i="12" s="1"/>
  <c r="S13" i="12"/>
  <c r="O13" i="12"/>
  <c r="V13" i="12" s="1"/>
  <c r="N13" i="12"/>
  <c r="J13" i="12"/>
  <c r="U13" i="12" s="1"/>
  <c r="I13" i="12"/>
  <c r="D13" i="12"/>
  <c r="C13" i="12"/>
  <c r="B13" i="12"/>
  <c r="A13" i="12"/>
  <c r="T12" i="12"/>
  <c r="W12" i="12" s="1"/>
  <c r="S12" i="12"/>
  <c r="O12" i="12"/>
  <c r="V12" i="12" s="1"/>
  <c r="N12" i="12"/>
  <c r="J12" i="12"/>
  <c r="U12" i="12" s="1"/>
  <c r="I12" i="12"/>
  <c r="D12" i="12"/>
  <c r="C12" i="12"/>
  <c r="B12" i="12"/>
  <c r="A12" i="12"/>
  <c r="T11" i="12"/>
  <c r="W11" i="12" s="1"/>
  <c r="S11" i="12"/>
  <c r="O11" i="12"/>
  <c r="V11" i="12" s="1"/>
  <c r="N11" i="12"/>
  <c r="J11" i="12"/>
  <c r="U11" i="12" s="1"/>
  <c r="I11" i="12"/>
  <c r="D11" i="12"/>
  <c r="C11" i="12"/>
  <c r="B11" i="12"/>
  <c r="A11" i="12"/>
  <c r="S10" i="12"/>
  <c r="C10" i="12"/>
  <c r="I10" i="12" s="1"/>
  <c r="S9" i="12"/>
  <c r="N9" i="12"/>
  <c r="I9" i="12"/>
  <c r="D9" i="12"/>
  <c r="D10" i="12" s="1"/>
  <c r="C9" i="12"/>
  <c r="S8" i="12"/>
  <c r="I8" i="12"/>
  <c r="D8" i="12"/>
  <c r="C8" i="12"/>
  <c r="N8" i="12" s="1"/>
  <c r="D7" i="12"/>
  <c r="D6" i="12"/>
  <c r="C6" i="12"/>
  <c r="S6" i="12" s="1"/>
  <c r="B6" i="12"/>
  <c r="B7" i="12" s="1"/>
  <c r="D5" i="12"/>
  <c r="C5" i="12"/>
  <c r="S5" i="12" s="1"/>
  <c r="B5" i="12"/>
  <c r="A5" i="12"/>
  <c r="S4" i="12"/>
  <c r="T4" i="12" s="1"/>
  <c r="N4" i="12"/>
  <c r="O4" i="12" s="1"/>
  <c r="I4" i="12"/>
  <c r="J4" i="12" s="1"/>
  <c r="W3" i="12"/>
  <c r="V3" i="12"/>
  <c r="U3" i="12"/>
  <c r="W2" i="12"/>
  <c r="V2" i="12"/>
  <c r="U2" i="12"/>
  <c r="V5" i="13" l="1"/>
  <c r="O6" i="13"/>
  <c r="U5" i="13"/>
  <c r="J6" i="13"/>
  <c r="B8" i="13"/>
  <c r="A7" i="13"/>
  <c r="S10" i="13"/>
  <c r="N10" i="13"/>
  <c r="T6" i="13"/>
  <c r="W5" i="13"/>
  <c r="A6" i="12"/>
  <c r="N5" i="12"/>
  <c r="O5" i="12" s="1"/>
  <c r="N6" i="12"/>
  <c r="N10" i="12"/>
  <c r="B8" i="12"/>
  <c r="T5" i="12"/>
  <c r="W4" i="12"/>
  <c r="U4" i="12"/>
  <c r="I5" i="12"/>
  <c r="J5" i="12" s="1"/>
  <c r="C7" i="12"/>
  <c r="V4" i="12"/>
  <c r="A7" i="12"/>
  <c r="I6" i="12"/>
  <c r="J7" i="13" l="1"/>
  <c r="U6" i="13"/>
  <c r="W6" i="13"/>
  <c r="T7" i="13"/>
  <c r="B9" i="13"/>
  <c r="A9" i="13" s="1"/>
  <c r="O7" i="13"/>
  <c r="V6" i="13"/>
  <c r="A8" i="13"/>
  <c r="O6" i="12"/>
  <c r="V6" i="12" s="1"/>
  <c r="V5" i="12"/>
  <c r="U5" i="12"/>
  <c r="J6" i="12"/>
  <c r="N7" i="12"/>
  <c r="O7" i="12" s="1"/>
  <c r="S7" i="12"/>
  <c r="I7" i="12"/>
  <c r="B9" i="12"/>
  <c r="T6" i="12"/>
  <c r="W5" i="12"/>
  <c r="A8" i="12"/>
  <c r="T8" i="13" l="1"/>
  <c r="W7" i="13"/>
  <c r="V7" i="13"/>
  <c r="O8" i="13"/>
  <c r="B10" i="13"/>
  <c r="A10" i="13" s="1"/>
  <c r="J8" i="13"/>
  <c r="U7" i="13"/>
  <c r="V7" i="12"/>
  <c r="O8" i="12"/>
  <c r="B10" i="12"/>
  <c r="A10" i="12" s="1"/>
  <c r="J7" i="12"/>
  <c r="U6" i="12"/>
  <c r="W6" i="12"/>
  <c r="T7" i="12"/>
  <c r="A9" i="12"/>
  <c r="O9" i="13" l="1"/>
  <c r="V8" i="13"/>
  <c r="J9" i="13"/>
  <c r="U8" i="13"/>
  <c r="T9" i="13"/>
  <c r="W8" i="13"/>
  <c r="T8" i="12"/>
  <c r="W7" i="12"/>
  <c r="O9" i="12"/>
  <c r="V8" i="12"/>
  <c r="J8" i="12"/>
  <c r="U7" i="12"/>
  <c r="U9" i="13" l="1"/>
  <c r="J10" i="13"/>
  <c r="W9" i="13"/>
  <c r="T10" i="13"/>
  <c r="V9" i="13"/>
  <c r="O10" i="13"/>
  <c r="V9" i="12"/>
  <c r="O10" i="12"/>
  <c r="V10" i="12" s="1"/>
  <c r="J9" i="12"/>
  <c r="U8" i="12"/>
  <c r="T9" i="12"/>
  <c r="W8" i="12"/>
  <c r="V10" i="13" l="1"/>
  <c r="U10" i="13"/>
  <c r="W10" i="13"/>
  <c r="J10" i="12"/>
  <c r="U10" i="12" s="1"/>
  <c r="U9" i="12"/>
  <c r="W9" i="12"/>
  <c r="T10" i="12"/>
  <c r="W10" i="12" s="1"/>
  <c r="T30" i="11" l="1"/>
  <c r="W30" i="11" s="1"/>
  <c r="S30" i="11"/>
  <c r="O30" i="11"/>
  <c r="V30" i="11" s="1"/>
  <c r="N30" i="11"/>
  <c r="J30" i="11"/>
  <c r="U30" i="11" s="1"/>
  <c r="I30" i="11"/>
  <c r="D30" i="11"/>
  <c r="C30" i="11"/>
  <c r="B30" i="11"/>
  <c r="A30" i="11"/>
  <c r="T29" i="11"/>
  <c r="W29" i="11" s="1"/>
  <c r="S29" i="11"/>
  <c r="O29" i="11"/>
  <c r="V29" i="11" s="1"/>
  <c r="N29" i="11"/>
  <c r="J29" i="11"/>
  <c r="U29" i="11" s="1"/>
  <c r="I29" i="11"/>
  <c r="D29" i="11"/>
  <c r="C29" i="11"/>
  <c r="B29" i="11"/>
  <c r="A29" i="11"/>
  <c r="T28" i="11"/>
  <c r="W28" i="11" s="1"/>
  <c r="S28" i="11"/>
  <c r="O28" i="11"/>
  <c r="V28" i="11" s="1"/>
  <c r="N28" i="11"/>
  <c r="J28" i="11"/>
  <c r="U28" i="11" s="1"/>
  <c r="I28" i="11"/>
  <c r="D28" i="11"/>
  <c r="C28" i="11"/>
  <c r="B28" i="11"/>
  <c r="A28" i="11"/>
  <c r="T27" i="11"/>
  <c r="W27" i="11" s="1"/>
  <c r="S27" i="11"/>
  <c r="O27" i="11"/>
  <c r="V27" i="11" s="1"/>
  <c r="N27" i="11"/>
  <c r="J27" i="11"/>
  <c r="U27" i="11" s="1"/>
  <c r="I27" i="11"/>
  <c r="D27" i="11"/>
  <c r="C27" i="11"/>
  <c r="B27" i="11"/>
  <c r="A27" i="11"/>
  <c r="T26" i="11"/>
  <c r="W26" i="11" s="1"/>
  <c r="S26" i="11"/>
  <c r="O26" i="11"/>
  <c r="V26" i="11" s="1"/>
  <c r="N26" i="11"/>
  <c r="J26" i="11"/>
  <c r="U26" i="11" s="1"/>
  <c r="I26" i="11"/>
  <c r="D26" i="11"/>
  <c r="C26" i="11"/>
  <c r="B26" i="11"/>
  <c r="A26" i="11"/>
  <c r="T25" i="11"/>
  <c r="W25" i="11" s="1"/>
  <c r="S25" i="11"/>
  <c r="O25" i="11"/>
  <c r="V25" i="11" s="1"/>
  <c r="N25" i="11"/>
  <c r="J25" i="11"/>
  <c r="U25" i="11" s="1"/>
  <c r="I25" i="11"/>
  <c r="D25" i="11"/>
  <c r="C25" i="11"/>
  <c r="B25" i="11"/>
  <c r="A25" i="11"/>
  <c r="T24" i="11"/>
  <c r="W24" i="11" s="1"/>
  <c r="S24" i="11"/>
  <c r="O24" i="11"/>
  <c r="V24" i="11" s="1"/>
  <c r="N24" i="11"/>
  <c r="J24" i="11"/>
  <c r="U24" i="11" s="1"/>
  <c r="I24" i="11"/>
  <c r="D24" i="11"/>
  <c r="C24" i="11"/>
  <c r="B24" i="11"/>
  <c r="A24" i="11"/>
  <c r="T23" i="11"/>
  <c r="W23" i="11" s="1"/>
  <c r="S23" i="11"/>
  <c r="O23" i="11"/>
  <c r="V23" i="11" s="1"/>
  <c r="N23" i="11"/>
  <c r="J23" i="11"/>
  <c r="U23" i="11" s="1"/>
  <c r="I23" i="11"/>
  <c r="D23" i="11"/>
  <c r="C23" i="11"/>
  <c r="B23" i="11"/>
  <c r="A23" i="11"/>
  <c r="T22" i="11"/>
  <c r="W22" i="11" s="1"/>
  <c r="S22" i="11"/>
  <c r="O22" i="11"/>
  <c r="V22" i="11" s="1"/>
  <c r="N22" i="11"/>
  <c r="J22" i="11"/>
  <c r="U22" i="11" s="1"/>
  <c r="I22" i="11"/>
  <c r="D22" i="11"/>
  <c r="C22" i="11"/>
  <c r="B22" i="11"/>
  <c r="A22" i="11"/>
  <c r="T21" i="11"/>
  <c r="W21" i="11" s="1"/>
  <c r="S21" i="11"/>
  <c r="O21" i="11"/>
  <c r="V21" i="11" s="1"/>
  <c r="N21" i="11"/>
  <c r="J21" i="11"/>
  <c r="U21" i="11" s="1"/>
  <c r="I21" i="11"/>
  <c r="D21" i="11"/>
  <c r="C21" i="11"/>
  <c r="B21" i="11"/>
  <c r="A21" i="11"/>
  <c r="T20" i="11"/>
  <c r="W20" i="11" s="1"/>
  <c r="S20" i="11"/>
  <c r="O20" i="11"/>
  <c r="V20" i="11" s="1"/>
  <c r="N20" i="11"/>
  <c r="J20" i="11"/>
  <c r="U20" i="11" s="1"/>
  <c r="I20" i="11"/>
  <c r="D20" i="11"/>
  <c r="C20" i="11"/>
  <c r="B20" i="11"/>
  <c r="A20" i="11"/>
  <c r="T19" i="11"/>
  <c r="W19" i="11" s="1"/>
  <c r="S19" i="11"/>
  <c r="O19" i="11"/>
  <c r="V19" i="11" s="1"/>
  <c r="N19" i="11"/>
  <c r="J19" i="11"/>
  <c r="U19" i="11" s="1"/>
  <c r="I19" i="11"/>
  <c r="D19" i="11"/>
  <c r="C19" i="11"/>
  <c r="B19" i="11"/>
  <c r="A19" i="11"/>
  <c r="T18" i="11"/>
  <c r="W18" i="11" s="1"/>
  <c r="S18" i="11"/>
  <c r="O18" i="11"/>
  <c r="V18" i="11" s="1"/>
  <c r="N18" i="11"/>
  <c r="J18" i="11"/>
  <c r="U18" i="11" s="1"/>
  <c r="I18" i="11"/>
  <c r="D18" i="11"/>
  <c r="C18" i="11"/>
  <c r="B18" i="11"/>
  <c r="A18" i="11"/>
  <c r="T17" i="11"/>
  <c r="W17" i="11" s="1"/>
  <c r="S17" i="11"/>
  <c r="O17" i="11"/>
  <c r="V17" i="11" s="1"/>
  <c r="N17" i="11"/>
  <c r="J17" i="11"/>
  <c r="U17" i="11" s="1"/>
  <c r="I17" i="11"/>
  <c r="D17" i="11"/>
  <c r="C17" i="11"/>
  <c r="B17" i="11"/>
  <c r="A17" i="11"/>
  <c r="T16" i="11"/>
  <c r="W16" i="11" s="1"/>
  <c r="S16" i="11"/>
  <c r="O16" i="11"/>
  <c r="V16" i="11" s="1"/>
  <c r="N16" i="11"/>
  <c r="J16" i="11"/>
  <c r="U16" i="11" s="1"/>
  <c r="I16" i="11"/>
  <c r="D16" i="11"/>
  <c r="C16" i="11"/>
  <c r="B16" i="11"/>
  <c r="A16" i="11"/>
  <c r="T15" i="11"/>
  <c r="W15" i="11" s="1"/>
  <c r="S15" i="11"/>
  <c r="O15" i="11"/>
  <c r="V15" i="11" s="1"/>
  <c r="N15" i="11"/>
  <c r="J15" i="11"/>
  <c r="U15" i="11" s="1"/>
  <c r="I15" i="11"/>
  <c r="D15" i="11"/>
  <c r="C15" i="11"/>
  <c r="B15" i="11"/>
  <c r="A15" i="11"/>
  <c r="T14" i="11"/>
  <c r="W14" i="11" s="1"/>
  <c r="S14" i="11"/>
  <c r="O14" i="11"/>
  <c r="V14" i="11" s="1"/>
  <c r="N14" i="11"/>
  <c r="J14" i="11"/>
  <c r="U14" i="11" s="1"/>
  <c r="I14" i="11"/>
  <c r="D14" i="11"/>
  <c r="C14" i="11"/>
  <c r="B14" i="11"/>
  <c r="A14" i="11"/>
  <c r="T13" i="11"/>
  <c r="W13" i="11" s="1"/>
  <c r="S13" i="11"/>
  <c r="O13" i="11"/>
  <c r="V13" i="11" s="1"/>
  <c r="N13" i="11"/>
  <c r="J13" i="11"/>
  <c r="U13" i="11" s="1"/>
  <c r="I13" i="11"/>
  <c r="D13" i="11"/>
  <c r="C13" i="11"/>
  <c r="B13" i="11"/>
  <c r="A13" i="11"/>
  <c r="T12" i="11"/>
  <c r="W12" i="11" s="1"/>
  <c r="S12" i="11"/>
  <c r="O12" i="11"/>
  <c r="V12" i="11" s="1"/>
  <c r="N12" i="11"/>
  <c r="J12" i="11"/>
  <c r="U12" i="11" s="1"/>
  <c r="I12" i="11"/>
  <c r="D12" i="11"/>
  <c r="C12" i="11"/>
  <c r="B12" i="11"/>
  <c r="A12" i="11"/>
  <c r="T11" i="11"/>
  <c r="W11" i="11" s="1"/>
  <c r="S11" i="11"/>
  <c r="O11" i="11"/>
  <c r="V11" i="11" s="1"/>
  <c r="N11" i="11"/>
  <c r="J11" i="11"/>
  <c r="U11" i="11" s="1"/>
  <c r="I11" i="11"/>
  <c r="D11" i="11"/>
  <c r="C11" i="11"/>
  <c r="B11" i="11"/>
  <c r="A11" i="11"/>
  <c r="I10" i="11"/>
  <c r="D10" i="11"/>
  <c r="D9" i="11"/>
  <c r="C9" i="11"/>
  <c r="N9" i="11" s="1"/>
  <c r="D8" i="11"/>
  <c r="C8" i="11"/>
  <c r="N8" i="11" s="1"/>
  <c r="N7" i="11"/>
  <c r="D7" i="11"/>
  <c r="S6" i="11"/>
  <c r="D6" i="11"/>
  <c r="B6" i="11"/>
  <c r="N5" i="11"/>
  <c r="D5" i="11"/>
  <c r="C5" i="11"/>
  <c r="S5" i="11" s="1"/>
  <c r="B5" i="11"/>
  <c r="T4" i="11"/>
  <c r="S4" i="11"/>
  <c r="N4" i="11"/>
  <c r="O4" i="11" s="1"/>
  <c r="V4" i="11" s="1"/>
  <c r="I4" i="11"/>
  <c r="J4" i="11" s="1"/>
  <c r="W3" i="11"/>
  <c r="V3" i="11"/>
  <c r="U3" i="11"/>
  <c r="W2" i="11"/>
  <c r="V2" i="11"/>
  <c r="U2" i="11"/>
  <c r="T5" i="11" l="1"/>
  <c r="W4" i="11"/>
  <c r="O5" i="11"/>
  <c r="C6" i="11"/>
  <c r="B7" i="11"/>
  <c r="I8" i="11"/>
  <c r="S8" i="11"/>
  <c r="C10" i="11"/>
  <c r="A5" i="11"/>
  <c r="A6" i="11" s="1"/>
  <c r="I5" i="11"/>
  <c r="J5" i="11" s="1"/>
  <c r="I9" i="11"/>
  <c r="S9" i="11"/>
  <c r="U4" i="11"/>
  <c r="A7" i="11" l="1"/>
  <c r="U5" i="11"/>
  <c r="B8" i="11"/>
  <c r="A8" i="11" s="1"/>
  <c r="S10" i="11"/>
  <c r="N10" i="11"/>
  <c r="I6" i="11"/>
  <c r="J6" i="11" s="1"/>
  <c r="C7" i="11"/>
  <c r="N6" i="11"/>
  <c r="O6" i="11" s="1"/>
  <c r="W5" i="11"/>
  <c r="T6" i="11"/>
  <c r="V5" i="11"/>
  <c r="O7" i="11" l="1"/>
  <c r="V6" i="11"/>
  <c r="B9" i="11"/>
  <c r="A9" i="11" s="1"/>
  <c r="U6" i="11"/>
  <c r="I7" i="11"/>
  <c r="J7" i="11" s="1"/>
  <c r="S7" i="11"/>
  <c r="T7" i="11" s="1"/>
  <c r="W6" i="11"/>
  <c r="V7" i="11" l="1"/>
  <c r="O8" i="11"/>
  <c r="T8" i="11"/>
  <c r="W7" i="11"/>
  <c r="J8" i="11"/>
  <c r="U7" i="11"/>
  <c r="B10" i="11"/>
  <c r="A10" i="11" s="1"/>
  <c r="V8" i="11" l="1"/>
  <c r="O9" i="11"/>
  <c r="J9" i="11"/>
  <c r="U8" i="11"/>
  <c r="T9" i="11"/>
  <c r="W8" i="11"/>
  <c r="W9" i="11" l="1"/>
  <c r="T10" i="11"/>
  <c r="W10" i="11" s="1"/>
  <c r="O10" i="11"/>
  <c r="V10" i="11" s="1"/>
  <c r="V9" i="11"/>
  <c r="J10" i="11"/>
  <c r="U10" i="11" s="1"/>
  <c r="U9" i="1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W3" i="1" l="1"/>
  <c r="V3" i="1"/>
  <c r="U3" i="1"/>
  <c r="L12" i="10" l="1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L12" i="9"/>
  <c r="K12" i="9"/>
  <c r="J12" i="9"/>
  <c r="I12" i="9"/>
  <c r="H12" i="9"/>
  <c r="G12" i="9"/>
  <c r="F12" i="9"/>
  <c r="E12" i="9"/>
  <c r="D12" i="9"/>
  <c r="C12" i="9"/>
  <c r="B12" i="9"/>
  <c r="L11" i="9"/>
  <c r="K11" i="9"/>
  <c r="J11" i="9"/>
  <c r="I11" i="9"/>
  <c r="H11" i="9"/>
  <c r="G11" i="9"/>
  <c r="F11" i="9"/>
  <c r="E11" i="9"/>
  <c r="D11" i="9"/>
  <c r="C11" i="9"/>
  <c r="B11" i="9"/>
  <c r="L10" i="9"/>
  <c r="K10" i="9"/>
  <c r="J10" i="9"/>
  <c r="I10" i="9"/>
  <c r="H10" i="9"/>
  <c r="G10" i="9"/>
  <c r="F10" i="9"/>
  <c r="E10" i="9"/>
  <c r="D10" i="9"/>
  <c r="C10" i="9"/>
  <c r="B10" i="9"/>
  <c r="L9" i="9"/>
  <c r="K9" i="9"/>
  <c r="J9" i="9"/>
  <c r="I9" i="9"/>
  <c r="H9" i="9"/>
  <c r="G9" i="9"/>
  <c r="F9" i="9"/>
  <c r="E9" i="9"/>
  <c r="D9" i="9"/>
  <c r="C9" i="9"/>
  <c r="B9" i="9"/>
  <c r="L8" i="9"/>
  <c r="K8" i="9"/>
  <c r="J8" i="9"/>
  <c r="I8" i="9"/>
  <c r="H8" i="9"/>
  <c r="G8" i="9"/>
  <c r="F8" i="9"/>
  <c r="E8" i="9"/>
  <c r="D8" i="9"/>
  <c r="C8" i="9"/>
  <c r="B8" i="9"/>
  <c r="L7" i="9"/>
  <c r="K7" i="9"/>
  <c r="J7" i="9"/>
  <c r="I7" i="9"/>
  <c r="H7" i="9"/>
  <c r="G7" i="9"/>
  <c r="F7" i="9"/>
  <c r="E7" i="9"/>
  <c r="D7" i="9"/>
  <c r="C7" i="9"/>
  <c r="B7" i="9"/>
  <c r="L6" i="9"/>
  <c r="K6" i="9"/>
  <c r="J6" i="9"/>
  <c r="I6" i="9"/>
  <c r="H6" i="9"/>
  <c r="G6" i="9"/>
  <c r="F6" i="9"/>
  <c r="E6" i="9"/>
  <c r="D6" i="9"/>
  <c r="C6" i="9"/>
  <c r="B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L3" i="9"/>
  <c r="K3" i="9"/>
  <c r="J3" i="9"/>
  <c r="I3" i="9"/>
  <c r="H3" i="9"/>
  <c r="G3" i="9"/>
  <c r="F3" i="9"/>
  <c r="E3" i="9"/>
  <c r="D3" i="9"/>
  <c r="C3" i="9"/>
  <c r="B3" i="9"/>
  <c r="L2" i="9"/>
  <c r="K2" i="9"/>
  <c r="J2" i="9"/>
  <c r="I2" i="9"/>
  <c r="H2" i="9"/>
  <c r="G2" i="9"/>
  <c r="F2" i="9"/>
  <c r="E2" i="9"/>
  <c r="D2" i="9"/>
  <c r="C2" i="9"/>
  <c r="B2" i="9"/>
  <c r="W2" i="1" l="1"/>
  <c r="V2" i="1"/>
  <c r="U2" i="1"/>
  <c r="B2" i="10" l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J5" i="1" s="1"/>
  <c r="U5" i="1" s="1"/>
  <c r="I6" i="1"/>
  <c r="N6" i="1"/>
  <c r="C5" i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/>
  <c r="A5" i="1" l="1"/>
  <c r="U4" i="1"/>
  <c r="A6" i="1"/>
  <c r="A8" i="1"/>
  <c r="B9" i="1"/>
  <c r="A9" i="1" s="1"/>
  <c r="O4" i="1"/>
  <c r="O8" i="1"/>
  <c r="V8" i="1" s="1"/>
  <c r="O9" i="1"/>
  <c r="V9" i="1" s="1"/>
  <c r="T7" i="1"/>
  <c r="W7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15" i="1"/>
  <c r="W15" i="1" s="1"/>
  <c r="T14" i="1"/>
  <c r="W14" i="1" s="1"/>
  <c r="T13" i="1"/>
  <c r="W13" i="1" s="1"/>
  <c r="T12" i="1"/>
  <c r="W12" i="1" s="1"/>
  <c r="T11" i="1"/>
  <c r="W11" i="1" s="1"/>
  <c r="T10" i="1"/>
  <c r="W10" i="1" s="1"/>
  <c r="T8" i="1"/>
  <c r="W8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15" i="1"/>
  <c r="V15" i="1" s="1"/>
  <c r="O14" i="1"/>
  <c r="V14" i="1" s="1"/>
  <c r="O13" i="1"/>
  <c r="V13" i="1" s="1"/>
  <c r="O12" i="1"/>
  <c r="V12" i="1" s="1"/>
  <c r="O11" i="1"/>
  <c r="V11" i="1" s="1"/>
  <c r="O10" i="1"/>
  <c r="V10" i="1" s="1"/>
  <c r="O7" i="1"/>
  <c r="V7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15" i="1"/>
  <c r="U15" i="1" s="1"/>
  <c r="J14" i="1"/>
  <c r="U14" i="1" s="1"/>
  <c r="J13" i="1"/>
  <c r="U13" i="1" s="1"/>
  <c r="J12" i="1"/>
  <c r="U12" i="1" s="1"/>
  <c r="J11" i="1"/>
  <c r="U11" i="1" s="1"/>
  <c r="J10" i="1"/>
  <c r="U10" i="1" s="1"/>
  <c r="J9" i="1"/>
  <c r="U9" i="1" s="1"/>
  <c r="J8" i="1"/>
  <c r="U8" i="1" s="1"/>
  <c r="J7" i="1"/>
  <c r="U7" i="1" s="1"/>
  <c r="J6" i="1"/>
  <c r="U6" i="1" l="1"/>
  <c r="V4" i="1"/>
  <c r="W4" i="1"/>
  <c r="T5" i="1"/>
  <c r="O6" i="1"/>
  <c r="B10" i="1"/>
  <c r="B11" i="1" s="1"/>
  <c r="T9" i="1"/>
  <c r="W9" i="1" s="1"/>
  <c r="V6" i="1" l="1"/>
  <c r="W5" i="1"/>
  <c r="T6" i="1"/>
  <c r="A10" i="1"/>
  <c r="A11" i="1"/>
  <c r="B12" i="1"/>
  <c r="W6" i="1" l="1"/>
  <c r="B13" i="1"/>
  <c r="A13" i="1"/>
  <c r="A12" i="1"/>
  <c r="B14" i="1" l="1"/>
  <c r="A14" i="1" s="1"/>
</calcChain>
</file>

<file path=xl/sharedStrings.xml><?xml version="1.0" encoding="utf-8"?>
<sst xmlns="http://schemas.openxmlformats.org/spreadsheetml/2006/main" count="370" uniqueCount="38">
  <si>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</si>
  <si>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</si>
  <si>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</si>
  <si>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</si>
  <si>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</si>
  <si>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</si>
  <si>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</si>
  <si>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</si>
  <si>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</si>
  <si>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</si>
  <si>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</si>
  <si>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</si>
  <si>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</si>
  <si>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</si>
  <si>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</si>
  <si>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</si>
  <si>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</si>
  <si>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</si>
  <si>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</si>
  <si>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</si>
  <si>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</si>
  <si>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</si>
  <si>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</si>
  <si>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</si>
  <si>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りくと</t>
  </si>
  <si>
    <t>りくと</t>
    <phoneticPr fontId="1"/>
  </si>
  <si>
    <t>いっしー</t>
  </si>
  <si>
    <t>いっしー</t>
    <phoneticPr fontId="1"/>
  </si>
  <si>
    <t>ツモ支払</t>
  </si>
  <si>
    <t>ツモ</t>
  </si>
  <si>
    <t>放銃</t>
  </si>
  <si>
    <t>ロン</t>
  </si>
  <si>
    <t>流局</t>
  </si>
  <si>
    <t>西</t>
    <rPh sb="0" eb="1">
      <t>シャー</t>
    </rPh>
    <phoneticPr fontId="1"/>
  </si>
  <si>
    <t>れんたろう</t>
  </si>
  <si>
    <t>れんたろう</t>
    <phoneticPr fontId="1"/>
  </si>
  <si>
    <t>東</t>
    <rPh sb="0" eb="1">
      <t>ヒガシ</t>
    </rPh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</si>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</sst>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2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25</v>
      </c>
      <c r="L1" s="45"/>
      <c r="M1" s="45"/>
      <c r="N1" s="46"/>
      <c r="O1" s="47"/>
      <c r="P1" s="44" t="s">
        <v>27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$F$1</f>
        <v>だいち</v>
      </c>
      <c r="V2" s="21" t="str">
        <f>$K$1</f>
        <v>りくと</v>
      </c>
      <c r="W2" s="22" t="str">
        <f>$P$1</f>
        <v>いっしー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26</v>
      </c>
      <c r="F4" s="10" t="s">
        <v>29</v>
      </c>
      <c r="G4" s="11">
        <v>1200</v>
      </c>
      <c r="H4" s="11">
        <v>1000</v>
      </c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37200</v>
      </c>
      <c r="K4" s="10" t="s">
        <v>28</v>
      </c>
      <c r="L4" s="11">
        <v>-500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34500</v>
      </c>
      <c r="P4" s="10" t="s">
        <v>28</v>
      </c>
      <c r="Q4" s="11">
        <v>-700</v>
      </c>
      <c r="R4" s="11">
        <v>-1000</v>
      </c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33300</v>
      </c>
      <c r="U4" s="26">
        <f t="shared" ref="U4:U30" si="3">IF($J4="","",ROUND(($J4-$J$3)/1000,0))</f>
        <v>2</v>
      </c>
      <c r="V4" s="27">
        <f t="shared" ref="V4:V30" si="4">IF($O4="","",ROUND(($O4-$O$3)/1000,0))</f>
        <v>-1</v>
      </c>
      <c r="W4" s="28">
        <f t="shared" ref="W4:W30" si="5">IF($T4="","",ROUND(($T4-$T$3)/1000,0))</f>
        <v>-2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2</v>
      </c>
      <c r="C5" s="33">
        <f>IF($E5="","",IF($E4=$E5,C4+1,0))</f>
        <v>0</v>
      </c>
      <c r="D5" s="33">
        <f>IF($E5="","",IF(OR($F4="流局",$F4="チョンボ"),D4+($H4+$M4+$R4)/-1000,0))</f>
        <v>0</v>
      </c>
      <c r="E5" s="5" t="s">
        <v>22</v>
      </c>
      <c r="F5" s="10" t="s">
        <v>31</v>
      </c>
      <c r="G5" s="11">
        <v>24000</v>
      </c>
      <c r="H5" s="11"/>
      <c r="I5" s="12">
        <f>IF(OR(F5="ロン",F5="ツモ"),$C5*1000,IF(F5="放銃",$C5*-1000,IF(F5="ツモ支払",$C5*-500,"")))</f>
        <v>0</v>
      </c>
      <c r="J5" s="36">
        <f t="shared" si="0"/>
        <v>61200</v>
      </c>
      <c r="K5" s="10"/>
      <c r="L5" s="11"/>
      <c r="M5" s="11"/>
      <c r="N5" s="12" t="str">
        <f t="shared" ref="N5:N30" si="6">IF(OR(K5="ロン",K5="ツモ"),$C5*1000,IF(K5="放銃",$C5*-1000,IF(K5="ツモ支払",$C5*-500,"")))</f>
        <v/>
      </c>
      <c r="O5" s="36">
        <f t="shared" si="1"/>
        <v>34500</v>
      </c>
      <c r="P5" s="10" t="s">
        <v>30</v>
      </c>
      <c r="Q5" s="11">
        <v>-24000</v>
      </c>
      <c r="R5" s="11"/>
      <c r="S5" s="12">
        <f t="shared" ref="S5:S30" si="7">IF(OR(P5="ロン",P5="ツモ"),$C5*1000,IF(P5="放銃",$C5*-1000,IF(P5="ツモ支払",$C5*-500,"")))</f>
        <v>0</v>
      </c>
      <c r="T5" s="36">
        <f t="shared" si="2"/>
        <v>9300</v>
      </c>
      <c r="U5" s="26">
        <f t="shared" si="3"/>
        <v>26</v>
      </c>
      <c r="V5" s="27">
        <f t="shared" si="4"/>
        <v>-1</v>
      </c>
      <c r="W5" s="28">
        <f t="shared" si="5"/>
        <v>-26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2</v>
      </c>
      <c r="C6" s="33">
        <f t="shared" ref="C6:C30" si="10">IF($E6="","",IF($E5=$E6,C5+1,0))</f>
        <v>1</v>
      </c>
      <c r="D6" s="33">
        <f t="shared" ref="D6:D30" si="11">IF($E6="","",IF(OR($F5="流局",$F5="チョンボ"),D5+($H5+$M5+$R5)/-1000,0))</f>
        <v>0</v>
      </c>
      <c r="E6" s="5" t="s">
        <v>22</v>
      </c>
      <c r="F6" s="10" t="s">
        <v>31</v>
      </c>
      <c r="G6" s="11">
        <v>2000</v>
      </c>
      <c r="H6" s="11">
        <v>1000</v>
      </c>
      <c r="I6" s="12">
        <f t="shared" ref="I6:I30" si="12">IF(OR(F6="ロン",F6="ツモ"),$C6*1000,IF(F6="放銃",$C6*-1000,IF(F6="ツモ支払",$C6*-500,"")))</f>
        <v>1000</v>
      </c>
      <c r="J6" s="36">
        <f t="shared" si="0"/>
        <v>65200</v>
      </c>
      <c r="K6" s="10" t="s">
        <v>30</v>
      </c>
      <c r="L6" s="11">
        <v>-2000</v>
      </c>
      <c r="M6" s="11"/>
      <c r="N6" s="12">
        <f t="shared" si="6"/>
        <v>-1000</v>
      </c>
      <c r="O6" s="36">
        <f t="shared" si="1"/>
        <v>31500</v>
      </c>
      <c r="P6" s="10"/>
      <c r="Q6" s="11"/>
      <c r="R6" s="11">
        <v>-1000</v>
      </c>
      <c r="S6" s="12" t="str">
        <f t="shared" si="7"/>
        <v/>
      </c>
      <c r="T6" s="36">
        <f t="shared" si="2"/>
        <v>8300</v>
      </c>
      <c r="U6" s="26">
        <f t="shared" si="3"/>
        <v>30</v>
      </c>
      <c r="V6" s="27">
        <f t="shared" si="4"/>
        <v>-4</v>
      </c>
      <c r="W6" s="28">
        <f t="shared" si="5"/>
        <v>-27</v>
      </c>
    </row>
    <row r="7" spans="1:23" x14ac:dyDescent="0.4">
      <c r="A7" s="17" t="str">
        <f t="shared" si="8"/>
        <v>東</v>
      </c>
      <c r="B7" s="33">
        <f t="shared" si="9"/>
        <v>2</v>
      </c>
      <c r="C7" s="33">
        <f t="shared" si="10"/>
        <v>2</v>
      </c>
      <c r="D7" s="33">
        <f t="shared" si="11"/>
        <v>0</v>
      </c>
      <c r="E7" s="5" t="s">
        <v>22</v>
      </c>
      <c r="F7" s="10" t="s">
        <v>30</v>
      </c>
      <c r="G7" s="11">
        <v>-8000</v>
      </c>
      <c r="H7" s="11"/>
      <c r="I7" s="12">
        <f t="shared" si="12"/>
        <v>-2000</v>
      </c>
      <c r="J7" s="36">
        <f t="shared" si="0"/>
        <v>55200</v>
      </c>
      <c r="K7" s="10"/>
      <c r="L7" s="11"/>
      <c r="M7" s="11"/>
      <c r="N7" s="12" t="str">
        <f t="shared" si="6"/>
        <v/>
      </c>
      <c r="O7" s="36">
        <f t="shared" si="1"/>
        <v>31500</v>
      </c>
      <c r="P7" s="10" t="s">
        <v>31</v>
      </c>
      <c r="Q7" s="11">
        <v>8000</v>
      </c>
      <c r="R7" s="11"/>
      <c r="S7" s="12">
        <f t="shared" si="7"/>
        <v>2000</v>
      </c>
      <c r="T7" s="36">
        <f t="shared" si="2"/>
        <v>18300</v>
      </c>
      <c r="U7" s="26">
        <f t="shared" si="3"/>
        <v>20</v>
      </c>
      <c r="V7" s="27">
        <f t="shared" si="4"/>
        <v>-4</v>
      </c>
      <c r="W7" s="28">
        <f t="shared" si="5"/>
        <v>-17</v>
      </c>
    </row>
    <row r="8" spans="1:23" x14ac:dyDescent="0.4">
      <c r="A8" s="17" t="str">
        <f t="shared" si="8"/>
        <v>東</v>
      </c>
      <c r="B8" s="33">
        <f t="shared" si="9"/>
        <v>3</v>
      </c>
      <c r="C8" s="33">
        <f t="shared" si="10"/>
        <v>0</v>
      </c>
      <c r="D8" s="33">
        <f t="shared" si="11"/>
        <v>0</v>
      </c>
      <c r="E8" s="5" t="s">
        <v>24</v>
      </c>
      <c r="F8" s="10" t="s">
        <v>28</v>
      </c>
      <c r="G8" s="11">
        <v>-9000</v>
      </c>
      <c r="H8" s="11">
        <v>-1000</v>
      </c>
      <c r="I8" s="12">
        <f t="shared" si="12"/>
        <v>0</v>
      </c>
      <c r="J8" s="36">
        <f t="shared" si="0"/>
        <v>45200</v>
      </c>
      <c r="K8" s="10" t="s">
        <v>29</v>
      </c>
      <c r="L8" s="11">
        <v>18000</v>
      </c>
      <c r="M8" s="11">
        <v>-1000</v>
      </c>
      <c r="N8" s="12">
        <f t="shared" si="6"/>
        <v>0</v>
      </c>
      <c r="O8" s="36">
        <f t="shared" si="1"/>
        <v>48500</v>
      </c>
      <c r="P8" s="10" t="s">
        <v>28</v>
      </c>
      <c r="Q8" s="11">
        <v>-9000</v>
      </c>
      <c r="R8" s="11">
        <v>2000</v>
      </c>
      <c r="S8" s="12">
        <f t="shared" si="7"/>
        <v>0</v>
      </c>
      <c r="T8" s="36">
        <f t="shared" si="2"/>
        <v>11300</v>
      </c>
      <c r="U8" s="26">
        <f t="shared" si="3"/>
        <v>10</v>
      </c>
      <c r="V8" s="27">
        <f t="shared" si="4"/>
        <v>14</v>
      </c>
      <c r="W8" s="28">
        <f t="shared" si="5"/>
        <v>-24</v>
      </c>
    </row>
    <row r="9" spans="1:23" x14ac:dyDescent="0.4">
      <c r="A9" s="17" t="str">
        <f t="shared" si="8"/>
        <v>東</v>
      </c>
      <c r="B9" s="33">
        <f t="shared" si="9"/>
        <v>3</v>
      </c>
      <c r="C9" s="33">
        <f t="shared" si="10"/>
        <v>1</v>
      </c>
      <c r="D9" s="33">
        <f t="shared" si="11"/>
        <v>0</v>
      </c>
      <c r="E9" s="5" t="s">
        <v>24</v>
      </c>
      <c r="F9" s="10" t="s">
        <v>28</v>
      </c>
      <c r="G9" s="11">
        <v>-9000</v>
      </c>
      <c r="H9" s="11"/>
      <c r="I9" s="12">
        <f t="shared" si="12"/>
        <v>-500</v>
      </c>
      <c r="J9" s="36">
        <f t="shared" si="0"/>
        <v>35700</v>
      </c>
      <c r="K9" s="10" t="s">
        <v>29</v>
      </c>
      <c r="L9" s="11">
        <v>18000</v>
      </c>
      <c r="M9" s="11">
        <v>1000</v>
      </c>
      <c r="N9" s="12">
        <f t="shared" si="6"/>
        <v>1000</v>
      </c>
      <c r="O9" s="36">
        <f t="shared" si="1"/>
        <v>68500</v>
      </c>
      <c r="P9" s="10" t="s">
        <v>28</v>
      </c>
      <c r="Q9" s="11">
        <v>-9000</v>
      </c>
      <c r="R9" s="11">
        <v>-1000</v>
      </c>
      <c r="S9" s="12">
        <f t="shared" si="7"/>
        <v>-500</v>
      </c>
      <c r="T9" s="36">
        <f t="shared" si="2"/>
        <v>800</v>
      </c>
      <c r="U9" s="26">
        <f t="shared" si="3"/>
        <v>1</v>
      </c>
      <c r="V9" s="27">
        <f t="shared" si="4"/>
        <v>34</v>
      </c>
      <c r="W9" s="28">
        <f t="shared" si="5"/>
        <v>-34</v>
      </c>
    </row>
    <row r="10" spans="1:23" x14ac:dyDescent="0.4">
      <c r="A10" s="17" t="str">
        <f t="shared" si="8"/>
        <v>東</v>
      </c>
      <c r="B10" s="33">
        <f t="shared" si="9"/>
        <v>3</v>
      </c>
      <c r="C10" s="33">
        <f t="shared" si="10"/>
        <v>2</v>
      </c>
      <c r="D10" s="33">
        <f t="shared" si="11"/>
        <v>0</v>
      </c>
      <c r="E10" s="5" t="s">
        <v>24</v>
      </c>
      <c r="F10" s="10"/>
      <c r="G10" s="11"/>
      <c r="H10" s="11"/>
      <c r="I10" s="12" t="str">
        <f t="shared" si="12"/>
        <v/>
      </c>
      <c r="J10" s="36">
        <f t="shared" si="0"/>
        <v>35700</v>
      </c>
      <c r="K10" s="10" t="s">
        <v>31</v>
      </c>
      <c r="L10" s="11">
        <v>7700</v>
      </c>
      <c r="M10" s="11"/>
      <c r="N10" s="12">
        <f t="shared" si="6"/>
        <v>2000</v>
      </c>
      <c r="O10" s="36">
        <f t="shared" si="1"/>
        <v>78200</v>
      </c>
      <c r="P10" s="10" t="s">
        <v>30</v>
      </c>
      <c r="Q10" s="11">
        <v>-7700</v>
      </c>
      <c r="R10" s="11"/>
      <c r="S10" s="12">
        <f t="shared" si="7"/>
        <v>-2000</v>
      </c>
      <c r="T10" s="36">
        <f t="shared" si="2"/>
        <v>-8900</v>
      </c>
      <c r="U10" s="26">
        <f t="shared" si="3"/>
        <v>1</v>
      </c>
      <c r="V10" s="27">
        <f t="shared" si="4"/>
        <v>43</v>
      </c>
      <c r="W10" s="28">
        <f t="shared" si="5"/>
        <v>-44</v>
      </c>
    </row>
    <row r="11" spans="1:23" x14ac:dyDescent="0.4">
      <c r="A11" s="17" t="str">
        <f t="shared" si="8"/>
        <v/>
      </c>
      <c r="B11" s="33" t="str">
        <f t="shared" si="9"/>
        <v/>
      </c>
      <c r="C11" s="33" t="str">
        <f t="shared" si="10"/>
        <v/>
      </c>
      <c r="D11" s="33" t="str">
        <f t="shared" si="11"/>
        <v/>
      </c>
      <c r="E11" s="5"/>
      <c r="F11" s="10"/>
      <c r="G11" s="11"/>
      <c r="H11" s="11"/>
      <c r="I11" s="12" t="str">
        <f t="shared" si="12"/>
        <v/>
      </c>
      <c r="J11" s="36" t="str">
        <f t="shared" si="0"/>
        <v/>
      </c>
      <c r="K11" s="10"/>
      <c r="L11" s="11"/>
      <c r="M11" s="11"/>
      <c r="N11" s="12" t="str">
        <f t="shared" si="6"/>
        <v/>
      </c>
      <c r="O11" s="36" t="str">
        <f t="shared" si="1"/>
        <v/>
      </c>
      <c r="P11" s="10"/>
      <c r="Q11" s="11"/>
      <c r="R11" s="11"/>
      <c r="S11" s="12" t="str">
        <f t="shared" si="7"/>
        <v/>
      </c>
      <c r="T11" s="36" t="str">
        <f t="shared" si="2"/>
        <v/>
      </c>
      <c r="U11" s="26" t="str">
        <f t="shared" si="3"/>
        <v/>
      </c>
      <c r="V11" s="27" t="str">
        <f t="shared" si="4"/>
        <v/>
      </c>
      <c r="W11" s="28" t="str">
        <f t="shared" si="5"/>
        <v/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1" priority="2">
      <formula>IF(AND(G4&lt;&gt;"",F4&lt;&gt;"流局",F4&lt;&gt;"チョンボ"),SUM($G4:$I4,$L4:$N4,$Q4:$S4)-$D4*1000)</formula>
    </cfRule>
  </conditionalFormatting>
  <conditionalFormatting sqref="F1:T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60027-20C5-4BE5-8614-8AD25B176D3C}">
  <sheetPr codeName="Sheet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25</v>
      </c>
      <c r="L1" s="45"/>
      <c r="M1" s="45"/>
      <c r="N1" s="46"/>
      <c r="O1" s="47"/>
      <c r="P1" s="44" t="s">
        <v>27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$F$1</f>
        <v>だいち</v>
      </c>
      <c r="V2" s="41" t="str">
        <f>$K$1</f>
        <v>りくと</v>
      </c>
      <c r="W2" s="22" t="str">
        <f>$P$1</f>
        <v>いっしー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22</v>
      </c>
      <c r="F4" s="10" t="s">
        <v>30</v>
      </c>
      <c r="G4" s="11">
        <v>-5200</v>
      </c>
      <c r="H4" s="11">
        <v>-1000</v>
      </c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28800</v>
      </c>
      <c r="K4" s="10" t="s">
        <v>31</v>
      </c>
      <c r="L4" s="11">
        <v>5200</v>
      </c>
      <c r="M4" s="11">
        <v>1000</v>
      </c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41200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36">
        <f t="shared" ref="T4:T30" si="2">IF(COUNTA($F4,$K4,$P4)&gt;0,T3+SUM(Q4:S4),"")</f>
        <v>35000</v>
      </c>
      <c r="U4" s="26">
        <f t="shared" ref="U4:U30" si="3">IF($J4="","",ROUND(($J4-$J$3)/1000,0))</f>
        <v>-6</v>
      </c>
      <c r="V4" s="27">
        <f t="shared" ref="V4:V30" si="4">IF($O4="","",ROUND(($O4-$O$3)/1000,0))</f>
        <v>6</v>
      </c>
      <c r="W4" s="28">
        <f t="shared" ref="W4:W30" si="5">IF($T4="","",ROUND(($T4-$T$3)/1000,0))</f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2</v>
      </c>
      <c r="C5" s="33">
        <f>IF($E5="","",IF($E4=$E5,C4+1,0))</f>
        <v>0</v>
      </c>
      <c r="D5" s="33">
        <f>IF($E5="","",IF(OR($F4="流局",$F4="チョンボ"),D4+($H4+$M4+$R4)/-1000,0))</f>
        <v>0</v>
      </c>
      <c r="E5" s="5" t="s">
        <v>24</v>
      </c>
      <c r="F5" s="10" t="s">
        <v>28</v>
      </c>
      <c r="G5" s="11">
        <v>-3000</v>
      </c>
      <c r="H5" s="11"/>
      <c r="I5" s="12">
        <f>IF(OR(F5="ロン",F5="ツモ"),$C5*1000,IF(F5="放銃",$C5*-1000,IF(F5="ツモ支払",$C5*-500,"")))</f>
        <v>0</v>
      </c>
      <c r="J5" s="36">
        <f t="shared" si="0"/>
        <v>25800</v>
      </c>
      <c r="K5" s="10" t="s">
        <v>28</v>
      </c>
      <c r="L5" s="11">
        <v>-5000</v>
      </c>
      <c r="M5" s="11">
        <v>-1000</v>
      </c>
      <c r="N5" s="12">
        <f t="shared" ref="N5:N30" si="6">IF(OR(K5="ロン",K5="ツモ"),$C5*1000,IF(K5="放銃",$C5*-1000,IF(K5="ツモ支払",$C5*-500,"")))</f>
        <v>0</v>
      </c>
      <c r="O5" s="36">
        <f t="shared" si="1"/>
        <v>35200</v>
      </c>
      <c r="P5" s="10" t="s">
        <v>29</v>
      </c>
      <c r="Q5" s="11">
        <v>8000</v>
      </c>
      <c r="R5" s="11">
        <v>1000</v>
      </c>
      <c r="S5" s="12">
        <f t="shared" ref="S5:S30" si="7">IF(OR(P5="ロン",P5="ツモ"),$C5*1000,IF(P5="放銃",$C5*-1000,IF(P5="ツモ支払",$C5*-500,"")))</f>
        <v>0</v>
      </c>
      <c r="T5" s="36">
        <f t="shared" si="2"/>
        <v>44000</v>
      </c>
      <c r="U5" s="26">
        <f t="shared" si="3"/>
        <v>-9</v>
      </c>
      <c r="V5" s="27">
        <f t="shared" si="4"/>
        <v>0</v>
      </c>
      <c r="W5" s="28">
        <f t="shared" si="5"/>
        <v>9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3</v>
      </c>
      <c r="C6" s="33">
        <f t="shared" ref="C6:C30" si="10">IF($E6="","",IF($E5=$E6,C5+1,0))</f>
        <v>0</v>
      </c>
      <c r="D6" s="33">
        <f t="shared" ref="D6:D30" si="11">IF($E6="","",IF(OR($F5="流局",$F5="チョンボ"),D5+($H5+$M5+$R5)/-1000,0))</f>
        <v>0</v>
      </c>
      <c r="E6" s="5" t="s">
        <v>26</v>
      </c>
      <c r="F6" s="10" t="s">
        <v>28</v>
      </c>
      <c r="G6" s="11">
        <v>-3000</v>
      </c>
      <c r="H6" s="11"/>
      <c r="I6" s="12">
        <f t="shared" ref="I6:I30" si="12">IF(OR(F6="ロン",F6="ツモ"),$C6*1000,IF(F6="放銃",$C6*-1000,IF(F6="ツモ支払",$C6*-500,"")))</f>
        <v>0</v>
      </c>
      <c r="J6" s="36">
        <f t="shared" si="0"/>
        <v>22800</v>
      </c>
      <c r="K6" s="10" t="s">
        <v>28</v>
      </c>
      <c r="L6" s="11">
        <v>-3000</v>
      </c>
      <c r="M6" s="11"/>
      <c r="N6" s="12">
        <f t="shared" si="6"/>
        <v>0</v>
      </c>
      <c r="O6" s="36">
        <f t="shared" si="1"/>
        <v>32200</v>
      </c>
      <c r="P6" s="10" t="s">
        <v>29</v>
      </c>
      <c r="Q6" s="11">
        <v>6000</v>
      </c>
      <c r="R6" s="11"/>
      <c r="S6" s="12">
        <f t="shared" si="7"/>
        <v>0</v>
      </c>
      <c r="T6" s="36">
        <f t="shared" si="2"/>
        <v>50000</v>
      </c>
      <c r="U6" s="26">
        <f t="shared" si="3"/>
        <v>-12</v>
      </c>
      <c r="V6" s="27">
        <f t="shared" si="4"/>
        <v>-3</v>
      </c>
      <c r="W6" s="28">
        <f t="shared" si="5"/>
        <v>15</v>
      </c>
    </row>
    <row r="7" spans="1:23" x14ac:dyDescent="0.4">
      <c r="A7" s="17" t="str">
        <f t="shared" si="8"/>
        <v>東</v>
      </c>
      <c r="B7" s="33">
        <f t="shared" si="9"/>
        <v>3</v>
      </c>
      <c r="C7" s="33">
        <f t="shared" si="10"/>
        <v>1</v>
      </c>
      <c r="D7" s="33">
        <f t="shared" si="11"/>
        <v>0</v>
      </c>
      <c r="E7" s="5" t="s">
        <v>26</v>
      </c>
      <c r="F7" s="10" t="s">
        <v>29</v>
      </c>
      <c r="G7" s="11">
        <v>8000</v>
      </c>
      <c r="H7" s="11">
        <v>1000</v>
      </c>
      <c r="I7" s="12">
        <f t="shared" si="12"/>
        <v>1000</v>
      </c>
      <c r="J7" s="36">
        <f t="shared" si="0"/>
        <v>32800</v>
      </c>
      <c r="K7" s="10" t="s">
        <v>28</v>
      </c>
      <c r="L7" s="11">
        <v>-3000</v>
      </c>
      <c r="M7" s="11"/>
      <c r="N7" s="12">
        <f t="shared" si="6"/>
        <v>-500</v>
      </c>
      <c r="O7" s="36">
        <f t="shared" si="1"/>
        <v>28700</v>
      </c>
      <c r="P7" s="10" t="s">
        <v>28</v>
      </c>
      <c r="Q7" s="11">
        <v>-5000</v>
      </c>
      <c r="R7" s="11">
        <v>-1000</v>
      </c>
      <c r="S7" s="12">
        <f t="shared" si="7"/>
        <v>-500</v>
      </c>
      <c r="T7" s="36">
        <f t="shared" si="2"/>
        <v>43500</v>
      </c>
      <c r="U7" s="26">
        <f t="shared" si="3"/>
        <v>-2</v>
      </c>
      <c r="V7" s="27">
        <f t="shared" si="4"/>
        <v>-6</v>
      </c>
      <c r="W7" s="28">
        <f t="shared" si="5"/>
        <v>9</v>
      </c>
    </row>
    <row r="8" spans="1:23" x14ac:dyDescent="0.4">
      <c r="A8" s="17" t="str">
        <f t="shared" si="8"/>
        <v>南</v>
      </c>
      <c r="B8" s="33">
        <f t="shared" si="9"/>
        <v>1</v>
      </c>
      <c r="C8" s="33">
        <f t="shared" si="10"/>
        <v>0</v>
      </c>
      <c r="D8" s="33">
        <f t="shared" si="11"/>
        <v>0</v>
      </c>
      <c r="E8" s="5" t="s">
        <v>22</v>
      </c>
      <c r="F8" s="10" t="s">
        <v>30</v>
      </c>
      <c r="G8" s="11">
        <v>-12000</v>
      </c>
      <c r="H8" s="11"/>
      <c r="I8" s="12">
        <f t="shared" si="12"/>
        <v>0</v>
      </c>
      <c r="J8" s="36">
        <f t="shared" si="0"/>
        <v>20800</v>
      </c>
      <c r="K8" s="10" t="s">
        <v>31</v>
      </c>
      <c r="L8" s="11">
        <v>12000</v>
      </c>
      <c r="M8" s="11">
        <v>1000</v>
      </c>
      <c r="N8" s="12">
        <f t="shared" si="6"/>
        <v>0</v>
      </c>
      <c r="O8" s="36">
        <f t="shared" si="1"/>
        <v>41700</v>
      </c>
      <c r="P8" s="10"/>
      <c r="Q8" s="11"/>
      <c r="R8" s="11">
        <v>-1000</v>
      </c>
      <c r="S8" s="12" t="str">
        <f t="shared" si="7"/>
        <v/>
      </c>
      <c r="T8" s="36">
        <f t="shared" si="2"/>
        <v>42500</v>
      </c>
      <c r="U8" s="26">
        <f t="shared" si="3"/>
        <v>-14</v>
      </c>
      <c r="V8" s="27">
        <f t="shared" si="4"/>
        <v>7</v>
      </c>
      <c r="W8" s="28">
        <f t="shared" si="5"/>
        <v>8</v>
      </c>
    </row>
    <row r="9" spans="1:23" x14ac:dyDescent="0.4">
      <c r="A9" s="17" t="str">
        <f t="shared" si="8"/>
        <v>南</v>
      </c>
      <c r="B9" s="33">
        <f t="shared" si="9"/>
        <v>2</v>
      </c>
      <c r="C9" s="33">
        <f t="shared" si="10"/>
        <v>0</v>
      </c>
      <c r="D9" s="33">
        <f t="shared" si="11"/>
        <v>0</v>
      </c>
      <c r="E9" s="5" t="s">
        <v>24</v>
      </c>
      <c r="F9" s="10" t="s">
        <v>32</v>
      </c>
      <c r="G9" s="11">
        <v>-1500</v>
      </c>
      <c r="H9" s="11"/>
      <c r="I9" s="12" t="str">
        <f t="shared" si="12"/>
        <v/>
      </c>
      <c r="J9" s="36">
        <f t="shared" si="0"/>
        <v>19300</v>
      </c>
      <c r="K9" s="10" t="s">
        <v>32</v>
      </c>
      <c r="L9" s="11">
        <v>-1500</v>
      </c>
      <c r="M9" s="11"/>
      <c r="N9" s="12" t="str">
        <f t="shared" si="6"/>
        <v/>
      </c>
      <c r="O9" s="36">
        <f t="shared" si="1"/>
        <v>40200</v>
      </c>
      <c r="P9" s="10" t="s">
        <v>32</v>
      </c>
      <c r="Q9" s="11">
        <v>3000</v>
      </c>
      <c r="R9" s="11">
        <v>-1000</v>
      </c>
      <c r="S9" s="12" t="str">
        <f t="shared" si="7"/>
        <v/>
      </c>
      <c r="T9" s="36">
        <f t="shared" si="2"/>
        <v>44500</v>
      </c>
      <c r="U9" s="26">
        <f t="shared" si="3"/>
        <v>-16</v>
      </c>
      <c r="V9" s="27">
        <f t="shared" si="4"/>
        <v>5</v>
      </c>
      <c r="W9" s="28">
        <f t="shared" si="5"/>
        <v>10</v>
      </c>
    </row>
    <row r="10" spans="1:23" x14ac:dyDescent="0.4">
      <c r="A10" s="17" t="str">
        <f t="shared" si="8"/>
        <v>南</v>
      </c>
      <c r="B10" s="33">
        <f t="shared" si="9"/>
        <v>3</v>
      </c>
      <c r="C10" s="33">
        <f t="shared" si="10"/>
        <v>0</v>
      </c>
      <c r="D10" s="33">
        <f t="shared" si="11"/>
        <v>1</v>
      </c>
      <c r="E10" s="5" t="s">
        <v>26</v>
      </c>
      <c r="F10" s="10" t="s">
        <v>31</v>
      </c>
      <c r="G10" s="11">
        <v>8000</v>
      </c>
      <c r="H10" s="11">
        <v>1000</v>
      </c>
      <c r="I10" s="12">
        <f t="shared" si="12"/>
        <v>0</v>
      </c>
      <c r="J10" s="36">
        <f t="shared" si="0"/>
        <v>28300</v>
      </c>
      <c r="K10" s="10" t="s">
        <v>30</v>
      </c>
      <c r="L10" s="11">
        <v>-8000</v>
      </c>
      <c r="M10" s="11"/>
      <c r="N10" s="12">
        <f t="shared" si="6"/>
        <v>0</v>
      </c>
      <c r="O10" s="36">
        <f t="shared" si="1"/>
        <v>32200</v>
      </c>
      <c r="P10" s="10"/>
      <c r="Q10" s="11"/>
      <c r="R10" s="11"/>
      <c r="S10" s="12" t="str">
        <f t="shared" si="7"/>
        <v/>
      </c>
      <c r="T10" s="36">
        <f t="shared" si="2"/>
        <v>44500</v>
      </c>
      <c r="U10" s="26">
        <f t="shared" si="3"/>
        <v>-7</v>
      </c>
      <c r="V10" s="27">
        <f t="shared" si="4"/>
        <v>-3</v>
      </c>
      <c r="W10" s="28">
        <f t="shared" si="5"/>
        <v>10</v>
      </c>
    </row>
    <row r="11" spans="1:23" x14ac:dyDescent="0.4">
      <c r="A11" s="17" t="str">
        <f t="shared" si="8"/>
        <v/>
      </c>
      <c r="B11" s="33" t="str">
        <f t="shared" si="9"/>
        <v/>
      </c>
      <c r="C11" s="33" t="str">
        <f t="shared" si="10"/>
        <v/>
      </c>
      <c r="D11" s="33" t="str">
        <f t="shared" si="11"/>
        <v/>
      </c>
      <c r="E11" s="5"/>
      <c r="F11" s="10"/>
      <c r="G11" s="11"/>
      <c r="H11" s="11"/>
      <c r="I11" s="12" t="str">
        <f t="shared" si="12"/>
        <v/>
      </c>
      <c r="J11" s="36" t="str">
        <f t="shared" si="0"/>
        <v/>
      </c>
      <c r="K11" s="10"/>
      <c r="L11" s="11"/>
      <c r="M11" s="11"/>
      <c r="N11" s="12" t="str">
        <f t="shared" si="6"/>
        <v/>
      </c>
      <c r="O11" s="36" t="str">
        <f t="shared" si="1"/>
        <v/>
      </c>
      <c r="P11" s="10"/>
      <c r="Q11" s="11"/>
      <c r="R11" s="11"/>
      <c r="S11" s="12" t="str">
        <f t="shared" si="7"/>
        <v/>
      </c>
      <c r="T11" s="36" t="str">
        <f t="shared" si="2"/>
        <v/>
      </c>
      <c r="U11" s="26" t="str">
        <f t="shared" si="3"/>
        <v/>
      </c>
      <c r="V11" s="27" t="str">
        <f t="shared" si="4"/>
        <v/>
      </c>
      <c r="W11" s="28" t="str">
        <f t="shared" si="5"/>
        <v/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2">
      <formula>IF(AND(G4&lt;&gt;"",F4&lt;&gt;"流局",F4&lt;&gt;"チョンボ"),SUM($G4:$I4,$L4:$N4,$Q4:$S4)-$D4*1000)</formula>
    </cfRule>
  </conditionalFormatting>
  <conditionalFormatting sqref="F1:T1">
    <cfRule type="duplicateValues" dxfId="8" priority="1"/>
  </conditionalFormatting>
  <dataValidations count="2">
    <dataValidation type="list" allowBlank="1" showErrorMessage="1" sqref="E4:E30" xr:uid="{EBB7B83A-0564-41D2-B4DF-957F632C89ED}">
      <formula1>$U$2:$W$2</formula1>
    </dataValidation>
    <dataValidation type="list" showInputMessage="1" showErrorMessage="1" sqref="K4:K30 P4:P30 F4:F30" xr:uid="{CCF6703F-E158-4374-9C38-0E179192448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419CC-BA4B-4C76-89CF-C59D1CCB5FAE}">
  <sheetPr codeName="Sheet10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25</v>
      </c>
      <c r="L1" s="45"/>
      <c r="M1" s="45"/>
      <c r="N1" s="46"/>
      <c r="O1" s="47"/>
      <c r="P1" s="44" t="s">
        <v>27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$F$1</f>
        <v>だいち</v>
      </c>
      <c r="V2" s="41" t="str">
        <f>$K$1</f>
        <v>りくと</v>
      </c>
      <c r="W2" s="22" t="str">
        <f>$P$1</f>
        <v>いっしー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24</v>
      </c>
      <c r="F4" s="10" t="s">
        <v>28</v>
      </c>
      <c r="G4" s="11">
        <v>-6000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29000</v>
      </c>
      <c r="K4" s="10" t="s">
        <v>28</v>
      </c>
      <c r="L4" s="11">
        <v>-10000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25000</v>
      </c>
      <c r="P4" s="10" t="s">
        <v>29</v>
      </c>
      <c r="Q4" s="11">
        <v>16000</v>
      </c>
      <c r="R4" s="11"/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51000</v>
      </c>
      <c r="U4" s="26">
        <f t="shared" ref="U4:U30" si="3">IF($J4="","",ROUND(($J4-$J$3)/1000,0))</f>
        <v>-6</v>
      </c>
      <c r="V4" s="27">
        <f t="shared" ref="V4:V30" si="4">IF($O4="","",ROUND(($O4-$O$3)/1000,0))</f>
        <v>-10</v>
      </c>
      <c r="W4" s="28">
        <f t="shared" ref="W4:W30" si="5">IF($T4="","",ROUND(($T4-$T$3)/1000,0))</f>
        <v>16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2</v>
      </c>
      <c r="C5" s="33">
        <f>IF($E5="","",IF($E4=$E5,C4+1,0))</f>
        <v>0</v>
      </c>
      <c r="D5" s="33">
        <f>IF($E5="","",IF(OR($F4="流局",$F4="チョンボ"),D4+($H4+$M4+$R4)/-1000,0))</f>
        <v>0</v>
      </c>
      <c r="E5" s="5" t="s">
        <v>26</v>
      </c>
      <c r="F5" s="10" t="s">
        <v>31</v>
      </c>
      <c r="G5" s="11">
        <v>16000</v>
      </c>
      <c r="H5" s="11"/>
      <c r="I5" s="12">
        <f>IF(OR(F5="ロン",F5="ツモ"),$C5*1000,IF(F5="放銃",$C5*-1000,IF(F5="ツモ支払",$C5*-500,"")))</f>
        <v>0</v>
      </c>
      <c r="J5" s="36">
        <f t="shared" si="0"/>
        <v>45000</v>
      </c>
      <c r="K5" s="10" t="s">
        <v>30</v>
      </c>
      <c r="L5" s="11">
        <v>-16000</v>
      </c>
      <c r="M5" s="11"/>
      <c r="N5" s="12">
        <f t="shared" ref="N5:N30" si="6">IF(OR(K5="ロン",K5="ツモ"),$C5*1000,IF(K5="放銃",$C5*-1000,IF(K5="ツモ支払",$C5*-500,"")))</f>
        <v>0</v>
      </c>
      <c r="O5" s="36">
        <f t="shared" si="1"/>
        <v>9000</v>
      </c>
      <c r="P5" s="10"/>
      <c r="Q5" s="11"/>
      <c r="R5" s="11"/>
      <c r="S5" s="12" t="str">
        <f t="shared" ref="S5:S30" si="7">IF(OR(P5="ロン",P5="ツモ"),$C5*1000,IF(P5="放銃",$C5*-1000,IF(P5="ツモ支払",$C5*-500,"")))</f>
        <v/>
      </c>
      <c r="T5" s="36">
        <f t="shared" si="2"/>
        <v>51000</v>
      </c>
      <c r="U5" s="26">
        <f t="shared" si="3"/>
        <v>10</v>
      </c>
      <c r="V5" s="27">
        <f t="shared" si="4"/>
        <v>-26</v>
      </c>
      <c r="W5" s="28">
        <f t="shared" si="5"/>
        <v>16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3</v>
      </c>
      <c r="C6" s="33">
        <f t="shared" ref="C6:C30" si="10">IF($E6="","",IF($E5=$E6,C5+1,0))</f>
        <v>0</v>
      </c>
      <c r="D6" s="33">
        <f t="shared" ref="D6:D30" si="11">IF($E6="","",IF(OR($F5="流局",$F5="チョンボ"),D5+($H5+$M5+$R5)/-1000,0))</f>
        <v>0</v>
      </c>
      <c r="E6" s="5" t="s">
        <v>22</v>
      </c>
      <c r="F6" s="10" t="s">
        <v>30</v>
      </c>
      <c r="G6" s="11">
        <v>-12000</v>
      </c>
      <c r="H6" s="11"/>
      <c r="I6" s="12">
        <f t="shared" ref="I6:I30" si="12">IF(OR(F6="ロン",F6="ツモ"),$C6*1000,IF(F6="放銃",$C6*-1000,IF(F6="ツモ支払",$C6*-500,"")))</f>
        <v>0</v>
      </c>
      <c r="J6" s="36">
        <f t="shared" si="0"/>
        <v>33000</v>
      </c>
      <c r="K6" s="10" t="s">
        <v>31</v>
      </c>
      <c r="L6" s="11">
        <v>12000</v>
      </c>
      <c r="M6" s="11"/>
      <c r="N6" s="12">
        <f t="shared" si="6"/>
        <v>0</v>
      </c>
      <c r="O6" s="36">
        <f t="shared" si="1"/>
        <v>21000</v>
      </c>
      <c r="P6" s="10"/>
      <c r="Q6" s="11"/>
      <c r="R6" s="11"/>
      <c r="S6" s="12" t="str">
        <f t="shared" si="7"/>
        <v/>
      </c>
      <c r="T6" s="36">
        <f t="shared" si="2"/>
        <v>51000</v>
      </c>
      <c r="U6" s="26">
        <f t="shared" si="3"/>
        <v>-2</v>
      </c>
      <c r="V6" s="27">
        <f t="shared" si="4"/>
        <v>-14</v>
      </c>
      <c r="W6" s="28">
        <f t="shared" si="5"/>
        <v>16</v>
      </c>
    </row>
    <row r="7" spans="1:23" x14ac:dyDescent="0.4">
      <c r="A7" s="17" t="str">
        <f t="shared" si="8"/>
        <v>南</v>
      </c>
      <c r="B7" s="33">
        <f t="shared" si="9"/>
        <v>1</v>
      </c>
      <c r="C7" s="33">
        <f t="shared" si="10"/>
        <v>0</v>
      </c>
      <c r="D7" s="33">
        <f t="shared" si="11"/>
        <v>0</v>
      </c>
      <c r="E7" s="5" t="s">
        <v>24</v>
      </c>
      <c r="F7" s="10" t="s">
        <v>28</v>
      </c>
      <c r="G7" s="11">
        <v>-3000</v>
      </c>
      <c r="H7" s="11">
        <v>-1000</v>
      </c>
      <c r="I7" s="12">
        <f t="shared" si="12"/>
        <v>0</v>
      </c>
      <c r="J7" s="36">
        <f t="shared" si="0"/>
        <v>29000</v>
      </c>
      <c r="K7" s="10" t="s">
        <v>28</v>
      </c>
      <c r="L7" s="11">
        <v>-5000</v>
      </c>
      <c r="M7" s="11">
        <v>-1000</v>
      </c>
      <c r="N7" s="12">
        <f t="shared" si="6"/>
        <v>0</v>
      </c>
      <c r="O7" s="36">
        <f t="shared" si="1"/>
        <v>15000</v>
      </c>
      <c r="P7" s="10" t="s">
        <v>29</v>
      </c>
      <c r="Q7" s="11">
        <v>8000</v>
      </c>
      <c r="R7" s="11">
        <v>2000</v>
      </c>
      <c r="S7" s="12">
        <f t="shared" si="7"/>
        <v>0</v>
      </c>
      <c r="T7" s="36">
        <f t="shared" si="2"/>
        <v>61000</v>
      </c>
      <c r="U7" s="26">
        <f t="shared" si="3"/>
        <v>-6</v>
      </c>
      <c r="V7" s="27">
        <f t="shared" si="4"/>
        <v>-20</v>
      </c>
      <c r="W7" s="28">
        <f t="shared" si="5"/>
        <v>26</v>
      </c>
    </row>
    <row r="8" spans="1:23" x14ac:dyDescent="0.4">
      <c r="A8" s="17" t="str">
        <f t="shared" si="8"/>
        <v>南</v>
      </c>
      <c r="B8" s="33">
        <f t="shared" si="9"/>
        <v>2</v>
      </c>
      <c r="C8" s="33">
        <f t="shared" si="10"/>
        <v>0</v>
      </c>
      <c r="D8" s="33">
        <f t="shared" si="11"/>
        <v>0</v>
      </c>
      <c r="E8" s="5" t="s">
        <v>26</v>
      </c>
      <c r="F8" s="10" t="s">
        <v>28</v>
      </c>
      <c r="G8" s="11">
        <v>-9000</v>
      </c>
      <c r="H8" s="11"/>
      <c r="I8" s="12">
        <f t="shared" si="12"/>
        <v>0</v>
      </c>
      <c r="J8" s="36">
        <f t="shared" si="0"/>
        <v>20000</v>
      </c>
      <c r="K8" s="10" t="s">
        <v>28</v>
      </c>
      <c r="L8" s="11">
        <v>-9000</v>
      </c>
      <c r="M8" s="11"/>
      <c r="N8" s="12">
        <f t="shared" si="6"/>
        <v>0</v>
      </c>
      <c r="O8" s="36">
        <f t="shared" si="1"/>
        <v>6000</v>
      </c>
      <c r="P8" s="10" t="s">
        <v>29</v>
      </c>
      <c r="Q8" s="11">
        <v>18000</v>
      </c>
      <c r="R8" s="11"/>
      <c r="S8" s="12">
        <f t="shared" si="7"/>
        <v>0</v>
      </c>
      <c r="T8" s="36">
        <f t="shared" si="2"/>
        <v>79000</v>
      </c>
      <c r="U8" s="26">
        <f t="shared" si="3"/>
        <v>-15</v>
      </c>
      <c r="V8" s="27">
        <f t="shared" si="4"/>
        <v>-29</v>
      </c>
      <c r="W8" s="28">
        <f t="shared" si="5"/>
        <v>44</v>
      </c>
    </row>
    <row r="9" spans="1:23" x14ac:dyDescent="0.4">
      <c r="A9" s="17" t="str">
        <f t="shared" si="8"/>
        <v>南</v>
      </c>
      <c r="B9" s="33">
        <f t="shared" si="9"/>
        <v>2</v>
      </c>
      <c r="C9" s="33">
        <f t="shared" si="10"/>
        <v>1</v>
      </c>
      <c r="D9" s="33">
        <f t="shared" si="11"/>
        <v>0</v>
      </c>
      <c r="E9" s="5" t="s">
        <v>26</v>
      </c>
      <c r="F9" s="10" t="s">
        <v>30</v>
      </c>
      <c r="G9" s="11">
        <v>-12000</v>
      </c>
      <c r="H9" s="11"/>
      <c r="I9" s="12">
        <f t="shared" si="12"/>
        <v>-1000</v>
      </c>
      <c r="J9" s="36">
        <f t="shared" si="0"/>
        <v>7000</v>
      </c>
      <c r="K9" s="10"/>
      <c r="L9" s="11"/>
      <c r="M9" s="11"/>
      <c r="N9" s="12" t="str">
        <f t="shared" si="6"/>
        <v/>
      </c>
      <c r="O9" s="36">
        <f t="shared" si="1"/>
        <v>6000</v>
      </c>
      <c r="P9" s="10" t="s">
        <v>31</v>
      </c>
      <c r="Q9" s="11">
        <v>12000</v>
      </c>
      <c r="R9" s="11"/>
      <c r="S9" s="12">
        <f t="shared" si="7"/>
        <v>1000</v>
      </c>
      <c r="T9" s="36">
        <f t="shared" si="2"/>
        <v>92000</v>
      </c>
      <c r="U9" s="26">
        <f t="shared" si="3"/>
        <v>-28</v>
      </c>
      <c r="V9" s="27">
        <f t="shared" si="4"/>
        <v>-29</v>
      </c>
      <c r="W9" s="28">
        <f t="shared" si="5"/>
        <v>57</v>
      </c>
    </row>
    <row r="10" spans="1:23" x14ac:dyDescent="0.4">
      <c r="A10" s="17" t="str">
        <f t="shared" si="8"/>
        <v>南</v>
      </c>
      <c r="B10" s="33">
        <f t="shared" si="9"/>
        <v>2</v>
      </c>
      <c r="C10" s="33">
        <f t="shared" si="10"/>
        <v>2</v>
      </c>
      <c r="D10" s="33">
        <f t="shared" si="11"/>
        <v>0</v>
      </c>
      <c r="E10" s="5" t="s">
        <v>26</v>
      </c>
      <c r="F10" s="10"/>
      <c r="G10" s="11"/>
      <c r="H10" s="11"/>
      <c r="I10" s="12" t="str">
        <f t="shared" si="12"/>
        <v/>
      </c>
      <c r="J10" s="36">
        <f t="shared" si="0"/>
        <v>7000</v>
      </c>
      <c r="K10" s="10" t="s">
        <v>30</v>
      </c>
      <c r="L10" s="11">
        <v>-24000</v>
      </c>
      <c r="M10" s="11"/>
      <c r="N10" s="12">
        <f t="shared" si="6"/>
        <v>-2000</v>
      </c>
      <c r="O10" s="36">
        <f t="shared" si="1"/>
        <v>-20000</v>
      </c>
      <c r="P10" s="10" t="s">
        <v>31</v>
      </c>
      <c r="Q10" s="11">
        <v>24000</v>
      </c>
      <c r="R10" s="11"/>
      <c r="S10" s="12">
        <f t="shared" si="7"/>
        <v>2000</v>
      </c>
      <c r="T10" s="36">
        <f t="shared" si="2"/>
        <v>118000</v>
      </c>
      <c r="U10" s="26">
        <f t="shared" si="3"/>
        <v>-28</v>
      </c>
      <c r="V10" s="27">
        <f t="shared" si="4"/>
        <v>-55</v>
      </c>
      <c r="W10" s="28">
        <f t="shared" si="5"/>
        <v>83</v>
      </c>
    </row>
    <row r="11" spans="1:23" x14ac:dyDescent="0.4">
      <c r="A11" s="17" t="str">
        <f t="shared" si="8"/>
        <v/>
      </c>
      <c r="B11" s="33" t="str">
        <f t="shared" si="9"/>
        <v/>
      </c>
      <c r="C11" s="33" t="str">
        <f t="shared" si="10"/>
        <v/>
      </c>
      <c r="D11" s="33" t="str">
        <f t="shared" si="11"/>
        <v/>
      </c>
      <c r="E11" s="5"/>
      <c r="F11" s="10"/>
      <c r="G11" s="11"/>
      <c r="H11" s="11"/>
      <c r="I11" s="12" t="str">
        <f t="shared" si="12"/>
        <v/>
      </c>
      <c r="J11" s="36" t="str">
        <f t="shared" si="0"/>
        <v/>
      </c>
      <c r="K11" s="10"/>
      <c r="L11" s="11"/>
      <c r="M11" s="11"/>
      <c r="N11" s="12" t="str">
        <f t="shared" si="6"/>
        <v/>
      </c>
      <c r="O11" s="36" t="str">
        <f t="shared" si="1"/>
        <v/>
      </c>
      <c r="P11" s="10"/>
      <c r="Q11" s="11"/>
      <c r="R11" s="11"/>
      <c r="S11" s="12" t="str">
        <f t="shared" si="7"/>
        <v/>
      </c>
      <c r="T11" s="36" t="str">
        <f t="shared" si="2"/>
        <v/>
      </c>
      <c r="U11" s="26" t="str">
        <f t="shared" si="3"/>
        <v/>
      </c>
      <c r="V11" s="27" t="str">
        <f t="shared" si="4"/>
        <v/>
      </c>
      <c r="W11" s="28" t="str">
        <f t="shared" si="5"/>
        <v/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7" priority="2">
      <formula>IF(AND(G4&lt;&gt;"",F4&lt;&gt;"流局",F4&lt;&gt;"チョンボ"),SUM($G4:$I4,$L4:$N4,$Q4:$S4)-$D4*1000)</formula>
    </cfRule>
  </conditionalFormatting>
  <conditionalFormatting sqref="F1:T1">
    <cfRule type="duplicateValues" dxfId="6" priority="1"/>
  </conditionalFormatting>
  <dataValidations count="2">
    <dataValidation type="list" showInputMessage="1" showErrorMessage="1" sqref="K4:K30 P4:P30 F4:F30" xr:uid="{9B8B246E-AF93-4D5B-A652-B3A42B31685F}">
      <formula1>"ロン,ツモ,放銃,ツモ支払,流局,チョンボ"</formula1>
    </dataValidation>
    <dataValidation type="list" allowBlank="1" showErrorMessage="1" sqref="E4:E30" xr:uid="{4D4AEF2F-5E41-4BD2-B53C-B6D8DF93484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C3489-B54E-4F74-957C-E75B20C46C5D}">
  <sheetPr codeName="Sheet11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25</v>
      </c>
      <c r="L1" s="45"/>
      <c r="M1" s="45"/>
      <c r="N1" s="46"/>
      <c r="O1" s="47"/>
      <c r="P1" s="44" t="s">
        <v>27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43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3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3" t="s">
        <v>10</v>
      </c>
      <c r="T2" s="8" t="s">
        <v>5</v>
      </c>
      <c r="U2" s="42" t="str">
        <f>$F$1</f>
        <v>だいち</v>
      </c>
      <c r="V2" s="43" t="str">
        <f>$K$1</f>
        <v>りくと</v>
      </c>
      <c r="W2" s="22" t="str">
        <f>$P$1</f>
        <v>いっしー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26</v>
      </c>
      <c r="F4" s="10" t="s">
        <v>31</v>
      </c>
      <c r="G4" s="11">
        <v>5200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40200</v>
      </c>
      <c r="K4" s="10" t="s">
        <v>30</v>
      </c>
      <c r="L4" s="11">
        <v>-23200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11800</v>
      </c>
      <c r="P4" s="10" t="s">
        <v>31</v>
      </c>
      <c r="Q4" s="11">
        <v>18000</v>
      </c>
      <c r="R4" s="11"/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53000</v>
      </c>
      <c r="U4" s="26">
        <f t="shared" ref="U4:U30" si="3">IF($J4="","",ROUND(($J4-$J$3)/1000,0))</f>
        <v>5</v>
      </c>
      <c r="V4" s="27">
        <f t="shared" ref="V4:V30" si="4">IF($O4="","",ROUND(($O4-$O$3)/1000,0))</f>
        <v>-23</v>
      </c>
      <c r="W4" s="28">
        <f t="shared" ref="W4:W30" si="5">IF($T4="","",ROUND(($T4-$T$3)/1000,0))</f>
        <v>18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1</v>
      </c>
      <c r="C5" s="33">
        <f>IF($E5="","",IF($E4=$E5,C4+1,0))</f>
        <v>1</v>
      </c>
      <c r="D5" s="33">
        <f>IF($E5="","",IF(OR($F4="流局",$F4="チョンボ"),D4+($H4+$M4+$R4)/-1000,0))</f>
        <v>0</v>
      </c>
      <c r="E5" s="5" t="s">
        <v>26</v>
      </c>
      <c r="F5" s="10" t="s">
        <v>32</v>
      </c>
      <c r="G5" s="11">
        <v>-1500</v>
      </c>
      <c r="H5" s="11"/>
      <c r="I5" s="12" t="str">
        <f>IF(OR(F5="ロン",F5="ツモ"),$C5*1000,IF(F5="放銃",$C5*-1000,IF(F5="ツモ支払",$C5*-500,"")))</f>
        <v/>
      </c>
      <c r="J5" s="36">
        <f t="shared" si="0"/>
        <v>38700</v>
      </c>
      <c r="K5" s="10" t="s">
        <v>32</v>
      </c>
      <c r="L5" s="11">
        <v>3000</v>
      </c>
      <c r="M5" s="11"/>
      <c r="N5" s="12" t="str">
        <f t="shared" ref="N5:N30" si="6">IF(OR(K5="ロン",K5="ツモ"),$C5*1000,IF(K5="放銃",$C5*-1000,IF(K5="ツモ支払",$C5*-500,"")))</f>
        <v/>
      </c>
      <c r="O5" s="36">
        <f t="shared" si="1"/>
        <v>14800</v>
      </c>
      <c r="P5" s="10" t="s">
        <v>32</v>
      </c>
      <c r="Q5" s="11">
        <v>-1500</v>
      </c>
      <c r="R5" s="11"/>
      <c r="S5" s="12" t="str">
        <f t="shared" ref="S5:S30" si="7">IF(OR(P5="ロン",P5="ツモ"),$C5*1000,IF(P5="放銃",$C5*-1000,IF(P5="ツモ支払",$C5*-500,"")))</f>
        <v/>
      </c>
      <c r="T5" s="36">
        <f t="shared" si="2"/>
        <v>51500</v>
      </c>
      <c r="U5" s="26">
        <f t="shared" si="3"/>
        <v>4</v>
      </c>
      <c r="V5" s="27">
        <f t="shared" si="4"/>
        <v>-20</v>
      </c>
      <c r="W5" s="28">
        <f t="shared" si="5"/>
        <v>17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2</v>
      </c>
      <c r="C6" s="33">
        <f t="shared" ref="C6:C30" si="10">IF($E6="","",IF($E5=$E6,C5+1,0))</f>
        <v>0</v>
      </c>
      <c r="D6" s="33">
        <f t="shared" ref="D6:D30" si="11">IF($E6="","",IF(OR($F5="流局",$F5="チョンボ"),D5+($H5+$M5+$R5)/-1000,0))</f>
        <v>0</v>
      </c>
      <c r="E6" s="5" t="s">
        <v>22</v>
      </c>
      <c r="F6" s="10" t="s">
        <v>28</v>
      </c>
      <c r="G6" s="11">
        <v>-5000</v>
      </c>
      <c r="H6" s="11">
        <v>-1000</v>
      </c>
      <c r="I6" s="12">
        <f t="shared" ref="I6:I30" si="12">IF(OR(F6="ロン",F6="ツモ"),$C6*1000,IF(F6="放銃",$C6*-1000,IF(F6="ツモ支払",$C6*-500,"")))</f>
        <v>0</v>
      </c>
      <c r="J6" s="36">
        <f t="shared" si="0"/>
        <v>32700</v>
      </c>
      <c r="K6" s="10" t="s">
        <v>29</v>
      </c>
      <c r="L6" s="11">
        <v>8000</v>
      </c>
      <c r="M6" s="11">
        <v>1000</v>
      </c>
      <c r="N6" s="12">
        <f t="shared" si="6"/>
        <v>0</v>
      </c>
      <c r="O6" s="36">
        <f t="shared" si="1"/>
        <v>23800</v>
      </c>
      <c r="P6" s="10" t="s">
        <v>28</v>
      </c>
      <c r="Q6" s="11">
        <v>-3000</v>
      </c>
      <c r="R6" s="11"/>
      <c r="S6" s="12">
        <f t="shared" si="7"/>
        <v>0</v>
      </c>
      <c r="T6" s="36">
        <f t="shared" si="2"/>
        <v>48500</v>
      </c>
      <c r="U6" s="26">
        <f t="shared" si="3"/>
        <v>-2</v>
      </c>
      <c r="V6" s="27">
        <f t="shared" si="4"/>
        <v>-11</v>
      </c>
      <c r="W6" s="28">
        <f t="shared" si="5"/>
        <v>14</v>
      </c>
    </row>
    <row r="7" spans="1:23" x14ac:dyDescent="0.4">
      <c r="A7" s="17" t="str">
        <f t="shared" si="8"/>
        <v>東</v>
      </c>
      <c r="B7" s="33">
        <f t="shared" si="9"/>
        <v>3</v>
      </c>
      <c r="C7" s="33">
        <f t="shared" si="10"/>
        <v>0</v>
      </c>
      <c r="D7" s="33">
        <f t="shared" si="11"/>
        <v>0</v>
      </c>
      <c r="E7" s="5" t="s">
        <v>24</v>
      </c>
      <c r="F7" s="10" t="s">
        <v>29</v>
      </c>
      <c r="G7" s="11">
        <v>12000</v>
      </c>
      <c r="H7" s="11"/>
      <c r="I7" s="12">
        <f t="shared" si="12"/>
        <v>0</v>
      </c>
      <c r="J7" s="36">
        <f t="shared" si="0"/>
        <v>44700</v>
      </c>
      <c r="K7" s="10" t="s">
        <v>28</v>
      </c>
      <c r="L7" s="11">
        <v>-7500</v>
      </c>
      <c r="M7" s="11"/>
      <c r="N7" s="12">
        <f t="shared" si="6"/>
        <v>0</v>
      </c>
      <c r="O7" s="36">
        <f t="shared" si="1"/>
        <v>16300</v>
      </c>
      <c r="P7" s="10" t="s">
        <v>28</v>
      </c>
      <c r="Q7" s="11">
        <v>-4500</v>
      </c>
      <c r="R7" s="11"/>
      <c r="S7" s="12">
        <f t="shared" si="7"/>
        <v>0</v>
      </c>
      <c r="T7" s="36">
        <f t="shared" si="2"/>
        <v>44000</v>
      </c>
      <c r="U7" s="26">
        <f t="shared" si="3"/>
        <v>10</v>
      </c>
      <c r="V7" s="27">
        <f t="shared" si="4"/>
        <v>-19</v>
      </c>
      <c r="W7" s="28">
        <f t="shared" si="5"/>
        <v>9</v>
      </c>
    </row>
    <row r="8" spans="1:23" x14ac:dyDescent="0.4">
      <c r="A8" s="17" t="str">
        <f t="shared" si="8"/>
        <v>南</v>
      </c>
      <c r="B8" s="33">
        <f t="shared" si="9"/>
        <v>1</v>
      </c>
      <c r="C8" s="33">
        <f t="shared" si="10"/>
        <v>0</v>
      </c>
      <c r="D8" s="33">
        <f t="shared" si="11"/>
        <v>0</v>
      </c>
      <c r="E8" s="5" t="s">
        <v>26</v>
      </c>
      <c r="F8" s="10" t="s">
        <v>28</v>
      </c>
      <c r="G8" s="11">
        <v>-6000</v>
      </c>
      <c r="H8" s="11"/>
      <c r="I8" s="12">
        <f t="shared" si="12"/>
        <v>0</v>
      </c>
      <c r="J8" s="36">
        <f t="shared" si="0"/>
        <v>38700</v>
      </c>
      <c r="K8" s="10" t="s">
        <v>28</v>
      </c>
      <c r="L8" s="11">
        <v>-6000</v>
      </c>
      <c r="M8" s="11"/>
      <c r="N8" s="12">
        <f t="shared" si="6"/>
        <v>0</v>
      </c>
      <c r="O8" s="36">
        <f t="shared" si="1"/>
        <v>10300</v>
      </c>
      <c r="P8" s="10" t="s">
        <v>29</v>
      </c>
      <c r="Q8" s="11">
        <v>12000</v>
      </c>
      <c r="R8" s="11"/>
      <c r="S8" s="12">
        <f t="shared" si="7"/>
        <v>0</v>
      </c>
      <c r="T8" s="36">
        <f t="shared" si="2"/>
        <v>56000</v>
      </c>
      <c r="U8" s="26">
        <f t="shared" si="3"/>
        <v>4</v>
      </c>
      <c r="V8" s="27">
        <f t="shared" si="4"/>
        <v>-25</v>
      </c>
      <c r="W8" s="28">
        <f t="shared" si="5"/>
        <v>21</v>
      </c>
    </row>
    <row r="9" spans="1:23" x14ac:dyDescent="0.4">
      <c r="A9" s="17" t="str">
        <f t="shared" si="8"/>
        <v>南</v>
      </c>
      <c r="B9" s="33">
        <f t="shared" si="9"/>
        <v>1</v>
      </c>
      <c r="C9" s="33">
        <f t="shared" si="10"/>
        <v>1</v>
      </c>
      <c r="D9" s="33">
        <f t="shared" si="11"/>
        <v>0</v>
      </c>
      <c r="E9" s="5" t="s">
        <v>26</v>
      </c>
      <c r="F9" s="10" t="s">
        <v>31</v>
      </c>
      <c r="G9" s="11">
        <v>12000</v>
      </c>
      <c r="H9" s="11"/>
      <c r="I9" s="12">
        <f t="shared" si="12"/>
        <v>1000</v>
      </c>
      <c r="J9" s="36">
        <f t="shared" si="0"/>
        <v>51700</v>
      </c>
      <c r="K9" s="10" t="s">
        <v>30</v>
      </c>
      <c r="L9" s="11">
        <v>-12000</v>
      </c>
      <c r="M9" s="11"/>
      <c r="N9" s="12">
        <f t="shared" si="6"/>
        <v>-1000</v>
      </c>
      <c r="O9" s="36">
        <f t="shared" si="1"/>
        <v>-2700</v>
      </c>
      <c r="P9" s="10"/>
      <c r="Q9" s="11"/>
      <c r="R9" s="11"/>
      <c r="S9" s="12" t="str">
        <f t="shared" si="7"/>
        <v/>
      </c>
      <c r="T9" s="36">
        <f t="shared" si="2"/>
        <v>56000</v>
      </c>
      <c r="U9" s="26">
        <f t="shared" si="3"/>
        <v>17</v>
      </c>
      <c r="V9" s="27">
        <f t="shared" si="4"/>
        <v>-38</v>
      </c>
      <c r="W9" s="28">
        <f t="shared" si="5"/>
        <v>21</v>
      </c>
    </row>
    <row r="10" spans="1:23" x14ac:dyDescent="0.4">
      <c r="A10" s="17" t="str">
        <f t="shared" si="8"/>
        <v/>
      </c>
      <c r="B10" s="33" t="str">
        <f t="shared" si="9"/>
        <v/>
      </c>
      <c r="C10" s="33" t="str">
        <f t="shared" si="10"/>
        <v/>
      </c>
      <c r="D10" s="33" t="str">
        <f t="shared" si="11"/>
        <v/>
      </c>
      <c r="E10" s="5"/>
      <c r="F10" s="10"/>
      <c r="G10" s="11"/>
      <c r="H10" s="11"/>
      <c r="I10" s="12" t="str">
        <f t="shared" si="12"/>
        <v/>
      </c>
      <c r="J10" s="36" t="str">
        <f t="shared" si="0"/>
        <v/>
      </c>
      <c r="K10" s="10"/>
      <c r="L10" s="11"/>
      <c r="M10" s="11"/>
      <c r="N10" s="12" t="str">
        <f t="shared" si="6"/>
        <v/>
      </c>
      <c r="O10" s="36" t="str">
        <f t="shared" si="1"/>
        <v/>
      </c>
      <c r="P10" s="10"/>
      <c r="Q10" s="11"/>
      <c r="R10" s="11"/>
      <c r="S10" s="12" t="str">
        <f t="shared" si="7"/>
        <v/>
      </c>
      <c r="T10" s="36" t="str">
        <f t="shared" si="2"/>
        <v/>
      </c>
      <c r="U10" s="26" t="str">
        <f t="shared" si="3"/>
        <v/>
      </c>
      <c r="V10" s="27" t="str">
        <f t="shared" si="4"/>
        <v/>
      </c>
      <c r="W10" s="28" t="str">
        <f t="shared" si="5"/>
        <v/>
      </c>
    </row>
    <row r="11" spans="1:23" x14ac:dyDescent="0.4">
      <c r="A11" s="17" t="str">
        <f t="shared" si="8"/>
        <v/>
      </c>
      <c r="B11" s="33" t="str">
        <f t="shared" si="9"/>
        <v/>
      </c>
      <c r="C11" s="33" t="str">
        <f t="shared" si="10"/>
        <v/>
      </c>
      <c r="D11" s="33" t="str">
        <f t="shared" si="11"/>
        <v/>
      </c>
      <c r="E11" s="5"/>
      <c r="F11" s="10"/>
      <c r="G11" s="11"/>
      <c r="H11" s="11"/>
      <c r="I11" s="12" t="str">
        <f t="shared" si="12"/>
        <v/>
      </c>
      <c r="J11" s="36" t="str">
        <f t="shared" si="0"/>
        <v/>
      </c>
      <c r="K11" s="10"/>
      <c r="L11" s="11"/>
      <c r="M11" s="11"/>
      <c r="N11" s="12" t="str">
        <f t="shared" si="6"/>
        <v/>
      </c>
      <c r="O11" s="36" t="str">
        <f t="shared" si="1"/>
        <v/>
      </c>
      <c r="P11" s="10"/>
      <c r="Q11" s="11"/>
      <c r="R11" s="11"/>
      <c r="S11" s="12" t="str">
        <f t="shared" si="7"/>
        <v/>
      </c>
      <c r="T11" s="36" t="str">
        <f t="shared" si="2"/>
        <v/>
      </c>
      <c r="U11" s="26" t="str">
        <f t="shared" si="3"/>
        <v/>
      </c>
      <c r="V11" s="27" t="str">
        <f t="shared" si="4"/>
        <v/>
      </c>
      <c r="W11" s="28" t="str">
        <f t="shared" si="5"/>
        <v/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allowBlank="1" showErrorMessage="1" sqref="E4:E30" xr:uid="{252E42EB-339C-4B9C-9BDB-B9C43C863664}">
      <formula1>$U$2:$W$2</formula1>
    </dataValidation>
    <dataValidation type="list" showInputMessage="1" showErrorMessage="1" sqref="K4:K30 P4:P30 F4:F30" xr:uid="{102B991D-E27D-4FCB-B0BE-3FD51AB084D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885A1-33F7-4A2E-965B-E9E7508BC548}">
  <sheetPr codeName="Sheet1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25</v>
      </c>
      <c r="L1" s="45"/>
      <c r="M1" s="45"/>
      <c r="N1" s="46"/>
      <c r="O1" s="47"/>
      <c r="P1" s="44" t="s">
        <v>27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43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3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3" t="s">
        <v>10</v>
      </c>
      <c r="T2" s="8" t="s">
        <v>5</v>
      </c>
      <c r="U2" s="42" t="str">
        <f>$F$1</f>
        <v>だいち</v>
      </c>
      <c r="V2" s="43" t="str">
        <f>$K$1</f>
        <v>りくと</v>
      </c>
      <c r="W2" s="22" t="str">
        <f>$P$1</f>
        <v>いっしー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33</v>
      </c>
      <c r="B4" s="33">
        <v>1</v>
      </c>
      <c r="C4" s="33">
        <v>0</v>
      </c>
      <c r="D4" s="33">
        <v>0</v>
      </c>
      <c r="E4" s="5" t="s">
        <v>22</v>
      </c>
      <c r="F4" s="10" t="s">
        <v>32</v>
      </c>
      <c r="G4" s="11">
        <v>1500</v>
      </c>
      <c r="H4" s="11">
        <v>-1000</v>
      </c>
      <c r="I4" s="12" t="str">
        <f>IF(OR(F4="ロン",F4="ツモ"),$C4*1000,IF(F4="放銃",$C4*-1000,IF(F4="ツモ支払",$C4*-500,"")))</f>
        <v/>
      </c>
      <c r="J4" s="36">
        <f t="shared" ref="J4:J30" si="0">IF(COUNTA($F4,$K4,$P4)&gt;0,J3+SUM(G4:I4),"")</f>
        <v>35500</v>
      </c>
      <c r="K4" s="10" t="s">
        <v>32</v>
      </c>
      <c r="L4" s="11">
        <v>1500</v>
      </c>
      <c r="M4" s="11">
        <v>-1000</v>
      </c>
      <c r="N4" s="12" t="str">
        <f>IF(OR(K4="ロン",K4="ツモ"),$C4*1000,IF(K4="放銃",$C4*-1000,IF(K4="ツモ支払",$C4*-500,"")))</f>
        <v/>
      </c>
      <c r="O4" s="36">
        <f t="shared" ref="O4:O30" si="1">IF(COUNTA($F4,$K4,$P4)&gt;0,O3+SUM(L4:N4),"")</f>
        <v>35500</v>
      </c>
      <c r="P4" s="10" t="s">
        <v>32</v>
      </c>
      <c r="Q4" s="11">
        <v>-3000</v>
      </c>
      <c r="R4" s="11"/>
      <c r="S4" s="12" t="str">
        <f>IF(OR(P4="ロン",P4="ツモ"),$C4*1000,IF(P4="放銃",$C4*-1000,IF(P4="ツモ支払",$C4*-500,"")))</f>
        <v/>
      </c>
      <c r="T4" s="36">
        <f t="shared" ref="T4:T30" si="2">IF(COUNTA($F4,$K4,$P4)&gt;0,T3+SUM(Q4:S4),"")</f>
        <v>32000</v>
      </c>
      <c r="U4" s="26">
        <f t="shared" ref="U4:U30" si="3">IF($J4="","",ROUND(($J4-$J$3)/1000,0))</f>
        <v>1</v>
      </c>
      <c r="V4" s="27">
        <f t="shared" ref="V4:V30" si="4">IF($O4="","",ROUND(($O4-$O$3)/1000,0))</f>
        <v>1</v>
      </c>
      <c r="W4" s="28">
        <f t="shared" ref="W4:W30" si="5">IF($T4="","",ROUND(($T4-$T$3)/1000,0))</f>
        <v>-3</v>
      </c>
    </row>
    <row r="5" spans="1:23" x14ac:dyDescent="0.4">
      <c r="A5" s="17" t="str">
        <f>IF($E5="","",IF(AND(B4=3,B5=1),IF(A4="東","南",IF(A4="南","西",IF(A4="西","北",IF(A4="北","東","")))),A4))</f>
        <v>西</v>
      </c>
      <c r="B5" s="33">
        <f>IF($E5="","",IF($E4=$E5,B4,IF(B4=3,1,B4+1)))</f>
        <v>1</v>
      </c>
      <c r="C5" s="33">
        <f>IF($E5="","",IF($E4=$E5,C4+1,0))</f>
        <v>1</v>
      </c>
      <c r="D5" s="33">
        <f>IF($E5="","",IF(OR($F4="流局",$F4="チョンボ"),D4+($H4+$M4+$R4)/-1000,0))</f>
        <v>2</v>
      </c>
      <c r="E5" s="5" t="s">
        <v>22</v>
      </c>
      <c r="F5" s="10" t="s">
        <v>32</v>
      </c>
      <c r="G5" s="11">
        <v>-1500</v>
      </c>
      <c r="H5" s="11"/>
      <c r="I5" s="12" t="str">
        <f>IF(OR(F5="ロン",F5="ツモ"),$C5*1000,IF(F5="放銃",$C5*-1000,IF(F5="ツモ支払",$C5*-500,"")))</f>
        <v/>
      </c>
      <c r="J5" s="36">
        <f t="shared" si="0"/>
        <v>34000</v>
      </c>
      <c r="K5" s="10" t="s">
        <v>32</v>
      </c>
      <c r="L5" s="11">
        <v>3000</v>
      </c>
      <c r="M5" s="11"/>
      <c r="N5" s="12" t="str">
        <f t="shared" ref="N5:N30" si="6">IF(OR(K5="ロン",K5="ツモ"),$C5*1000,IF(K5="放銃",$C5*-1000,IF(K5="ツモ支払",$C5*-500,"")))</f>
        <v/>
      </c>
      <c r="O5" s="36">
        <f t="shared" si="1"/>
        <v>38500</v>
      </c>
      <c r="P5" s="10" t="s">
        <v>32</v>
      </c>
      <c r="Q5" s="11">
        <v>-1500</v>
      </c>
      <c r="R5" s="11"/>
      <c r="S5" s="12" t="str">
        <f t="shared" ref="S5:S30" si="7">IF(OR(P5="ロン",P5="ツモ"),$C5*1000,IF(P5="放銃",$C5*-1000,IF(P5="ツモ支払",$C5*-500,"")))</f>
        <v/>
      </c>
      <c r="T5" s="36">
        <f t="shared" si="2"/>
        <v>30500</v>
      </c>
      <c r="U5" s="26">
        <f t="shared" si="3"/>
        <v>-1</v>
      </c>
      <c r="V5" s="27">
        <f t="shared" si="4"/>
        <v>4</v>
      </c>
      <c r="W5" s="28">
        <f t="shared" si="5"/>
        <v>-5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西</v>
      </c>
      <c r="B6" s="33">
        <f t="shared" ref="B6:B30" si="9">IF($E6="","",IF($E5=$E6,B5,IF(B5=3,1,B5+1)))</f>
        <v>2</v>
      </c>
      <c r="C6" s="33">
        <f t="shared" ref="C6:C30" si="10">IF($E6="","",IF($E5=$E6,C5+1,0))</f>
        <v>0</v>
      </c>
      <c r="D6" s="33">
        <f t="shared" ref="D6:D30" si="11">IF($E6="","",IF(OR($F5="流局",$F5="チョンボ"),D5+($H5+$M5+$R5)/-1000,0))</f>
        <v>2</v>
      </c>
      <c r="E6" s="5" t="s">
        <v>24</v>
      </c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36">
        <f t="shared" si="0"/>
        <v>34000</v>
      </c>
      <c r="K6" s="10" t="s">
        <v>30</v>
      </c>
      <c r="L6" s="11">
        <v>-8000</v>
      </c>
      <c r="M6" s="11"/>
      <c r="N6" s="12">
        <f t="shared" si="6"/>
        <v>0</v>
      </c>
      <c r="O6" s="36">
        <f t="shared" si="1"/>
        <v>30500</v>
      </c>
      <c r="P6" s="10" t="s">
        <v>31</v>
      </c>
      <c r="Q6" s="11">
        <v>8000</v>
      </c>
      <c r="R6" s="11">
        <v>2000</v>
      </c>
      <c r="S6" s="12">
        <f t="shared" si="7"/>
        <v>0</v>
      </c>
      <c r="T6" s="36">
        <f t="shared" si="2"/>
        <v>40500</v>
      </c>
      <c r="U6" s="26">
        <f t="shared" si="3"/>
        <v>-1</v>
      </c>
      <c r="V6" s="27">
        <f t="shared" si="4"/>
        <v>-5</v>
      </c>
      <c r="W6" s="28">
        <f t="shared" si="5"/>
        <v>6</v>
      </c>
    </row>
    <row r="7" spans="1:23" x14ac:dyDescent="0.4">
      <c r="A7" s="17" t="str">
        <f t="shared" si="8"/>
        <v>西</v>
      </c>
      <c r="B7" s="33">
        <f t="shared" si="9"/>
        <v>3</v>
      </c>
      <c r="C7" s="33">
        <f t="shared" si="10"/>
        <v>0</v>
      </c>
      <c r="D7" s="33">
        <f t="shared" si="11"/>
        <v>0</v>
      </c>
      <c r="E7" s="5" t="s">
        <v>26</v>
      </c>
      <c r="F7" s="10" t="s">
        <v>28</v>
      </c>
      <c r="G7" s="11">
        <v>-3000</v>
      </c>
      <c r="H7" s="11"/>
      <c r="I7" s="12">
        <f t="shared" si="12"/>
        <v>0</v>
      </c>
      <c r="J7" s="36">
        <f t="shared" si="0"/>
        <v>31000</v>
      </c>
      <c r="K7" s="10" t="s">
        <v>29</v>
      </c>
      <c r="L7" s="11">
        <v>8000</v>
      </c>
      <c r="M7" s="11"/>
      <c r="N7" s="12">
        <f t="shared" si="6"/>
        <v>0</v>
      </c>
      <c r="O7" s="36">
        <f t="shared" si="1"/>
        <v>38500</v>
      </c>
      <c r="P7" s="10" t="s">
        <v>28</v>
      </c>
      <c r="Q7" s="11">
        <v>-5000</v>
      </c>
      <c r="R7" s="11"/>
      <c r="S7" s="12">
        <f t="shared" si="7"/>
        <v>0</v>
      </c>
      <c r="T7" s="36">
        <f t="shared" si="2"/>
        <v>35500</v>
      </c>
      <c r="U7" s="26">
        <f t="shared" si="3"/>
        <v>-4</v>
      </c>
      <c r="V7" s="27">
        <f t="shared" si="4"/>
        <v>4</v>
      </c>
      <c r="W7" s="28">
        <f t="shared" si="5"/>
        <v>1</v>
      </c>
    </row>
    <row r="8" spans="1:23" x14ac:dyDescent="0.4">
      <c r="A8" s="17" t="str">
        <f t="shared" si="8"/>
        <v>北</v>
      </c>
      <c r="B8" s="33">
        <f t="shared" si="9"/>
        <v>1</v>
      </c>
      <c r="C8" s="33">
        <f t="shared" si="10"/>
        <v>0</v>
      </c>
      <c r="D8" s="33">
        <f t="shared" si="11"/>
        <v>0</v>
      </c>
      <c r="E8" s="5" t="s">
        <v>22</v>
      </c>
      <c r="F8" s="10" t="s">
        <v>32</v>
      </c>
      <c r="G8" s="11">
        <v>-1500</v>
      </c>
      <c r="H8" s="11"/>
      <c r="I8" s="12" t="str">
        <f t="shared" si="12"/>
        <v/>
      </c>
      <c r="J8" s="36">
        <f t="shared" si="0"/>
        <v>29500</v>
      </c>
      <c r="K8" s="10" t="s">
        <v>32</v>
      </c>
      <c r="L8" s="11">
        <v>-1500</v>
      </c>
      <c r="M8" s="11"/>
      <c r="N8" s="12" t="str">
        <f t="shared" si="6"/>
        <v/>
      </c>
      <c r="O8" s="36">
        <f t="shared" si="1"/>
        <v>37000</v>
      </c>
      <c r="P8" s="10" t="s">
        <v>32</v>
      </c>
      <c r="Q8" s="11">
        <v>3000</v>
      </c>
      <c r="R8" s="11"/>
      <c r="S8" s="12" t="str">
        <f t="shared" si="7"/>
        <v/>
      </c>
      <c r="T8" s="36">
        <f t="shared" si="2"/>
        <v>38500</v>
      </c>
      <c r="U8" s="26">
        <f t="shared" si="3"/>
        <v>-6</v>
      </c>
      <c r="V8" s="27">
        <f t="shared" si="4"/>
        <v>2</v>
      </c>
      <c r="W8" s="28">
        <f t="shared" si="5"/>
        <v>4</v>
      </c>
    </row>
    <row r="9" spans="1:23" x14ac:dyDescent="0.4">
      <c r="A9" s="17" t="str">
        <f t="shared" si="8"/>
        <v>北</v>
      </c>
      <c r="B9" s="33">
        <f t="shared" si="9"/>
        <v>2</v>
      </c>
      <c r="C9" s="33">
        <f t="shared" si="10"/>
        <v>0</v>
      </c>
      <c r="D9" s="33">
        <f t="shared" si="11"/>
        <v>0</v>
      </c>
      <c r="E9" s="5" t="s">
        <v>24</v>
      </c>
      <c r="F9" s="10"/>
      <c r="G9" s="11"/>
      <c r="H9" s="11"/>
      <c r="I9" s="12" t="str">
        <f t="shared" si="12"/>
        <v/>
      </c>
      <c r="J9" s="36">
        <f t="shared" si="0"/>
        <v>29500</v>
      </c>
      <c r="K9" s="10" t="s">
        <v>30</v>
      </c>
      <c r="L9" s="11">
        <v>-6400</v>
      </c>
      <c r="M9" s="11"/>
      <c r="N9" s="12">
        <f t="shared" si="6"/>
        <v>0</v>
      </c>
      <c r="O9" s="36">
        <f t="shared" si="1"/>
        <v>30600</v>
      </c>
      <c r="P9" s="10" t="s">
        <v>31</v>
      </c>
      <c r="Q9" s="11">
        <v>6400</v>
      </c>
      <c r="R9" s="11"/>
      <c r="S9" s="12">
        <f t="shared" si="7"/>
        <v>0</v>
      </c>
      <c r="T9" s="36">
        <f t="shared" si="2"/>
        <v>44900</v>
      </c>
      <c r="U9" s="26">
        <f t="shared" si="3"/>
        <v>-6</v>
      </c>
      <c r="V9" s="27">
        <f t="shared" si="4"/>
        <v>-4</v>
      </c>
      <c r="W9" s="28">
        <f t="shared" si="5"/>
        <v>10</v>
      </c>
    </row>
    <row r="10" spans="1:23" x14ac:dyDescent="0.4">
      <c r="A10" s="17" t="str">
        <f t="shared" si="8"/>
        <v>北</v>
      </c>
      <c r="B10" s="33">
        <f t="shared" si="9"/>
        <v>3</v>
      </c>
      <c r="C10" s="33">
        <f t="shared" si="10"/>
        <v>0</v>
      </c>
      <c r="D10" s="33">
        <f t="shared" si="11"/>
        <v>0</v>
      </c>
      <c r="E10" s="5" t="s">
        <v>26</v>
      </c>
      <c r="F10" s="10" t="s">
        <v>32</v>
      </c>
      <c r="G10" s="11">
        <v>-1500</v>
      </c>
      <c r="H10" s="11"/>
      <c r="I10" s="12" t="str">
        <f t="shared" si="12"/>
        <v/>
      </c>
      <c r="J10" s="36">
        <f t="shared" si="0"/>
        <v>28000</v>
      </c>
      <c r="K10" s="10" t="s">
        <v>32</v>
      </c>
      <c r="L10" s="11">
        <v>-1500</v>
      </c>
      <c r="M10" s="11"/>
      <c r="N10" s="12" t="str">
        <f t="shared" si="6"/>
        <v/>
      </c>
      <c r="O10" s="36">
        <f t="shared" si="1"/>
        <v>29100</v>
      </c>
      <c r="P10" s="10" t="s">
        <v>32</v>
      </c>
      <c r="Q10" s="11">
        <v>3000</v>
      </c>
      <c r="R10" s="11">
        <v>-1000</v>
      </c>
      <c r="S10" s="12" t="str">
        <f t="shared" si="7"/>
        <v/>
      </c>
      <c r="T10" s="36">
        <f t="shared" si="2"/>
        <v>46900</v>
      </c>
      <c r="U10" s="26">
        <f t="shared" si="3"/>
        <v>-7</v>
      </c>
      <c r="V10" s="27">
        <f t="shared" si="4"/>
        <v>-6</v>
      </c>
      <c r="W10" s="28">
        <f t="shared" si="5"/>
        <v>12</v>
      </c>
    </row>
    <row r="11" spans="1:23" x14ac:dyDescent="0.4">
      <c r="A11" s="17" t="str">
        <f t="shared" si="8"/>
        <v/>
      </c>
      <c r="B11" s="33" t="str">
        <f t="shared" si="9"/>
        <v/>
      </c>
      <c r="C11" s="33" t="str">
        <f t="shared" si="10"/>
        <v/>
      </c>
      <c r="D11" s="33" t="str">
        <f t="shared" si="11"/>
        <v/>
      </c>
      <c r="E11" s="5"/>
      <c r="F11" s="10"/>
      <c r="G11" s="11"/>
      <c r="H11" s="11"/>
      <c r="I11" s="12" t="str">
        <f t="shared" si="12"/>
        <v/>
      </c>
      <c r="J11" s="36" t="str">
        <f t="shared" si="0"/>
        <v/>
      </c>
      <c r="K11" s="10"/>
      <c r="L11" s="11"/>
      <c r="M11" s="11"/>
      <c r="N11" s="12" t="str">
        <f t="shared" si="6"/>
        <v/>
      </c>
      <c r="O11" s="36" t="str">
        <f t="shared" si="1"/>
        <v/>
      </c>
      <c r="P11" s="10"/>
      <c r="Q11" s="11"/>
      <c r="R11" s="11"/>
      <c r="S11" s="12" t="str">
        <f t="shared" si="7"/>
        <v/>
      </c>
      <c r="T11" s="36" t="str">
        <f t="shared" si="2"/>
        <v/>
      </c>
      <c r="U11" s="26" t="str">
        <f t="shared" si="3"/>
        <v/>
      </c>
      <c r="V11" s="27" t="str">
        <f t="shared" si="4"/>
        <v/>
      </c>
      <c r="W11" s="28" t="str">
        <f t="shared" si="5"/>
        <v/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showInputMessage="1" showErrorMessage="1" sqref="K4:K30 P4:P30 F4:F30" xr:uid="{CCB2A02F-9AFF-4B64-964C-4A97E83023DC}">
      <formula1>"ロン,ツモ,放銃,ツモ支払,流局,チョンボ"</formula1>
    </dataValidation>
    <dataValidation type="list" allowBlank="1" showErrorMessage="1" sqref="E4:E30" xr:uid="{9A6F024E-8D86-4A52-82AC-111CBADE4BF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ECBC9-04C6-4422-9363-3DCCCACC5462}">
  <sheetPr codeName="Sheet13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25</v>
      </c>
      <c r="L1" s="45"/>
      <c r="M1" s="45"/>
      <c r="N1" s="46"/>
      <c r="O1" s="47"/>
      <c r="P1" s="44" t="s">
        <v>35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43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3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3" t="s">
        <v>10</v>
      </c>
      <c r="T2" s="8" t="s">
        <v>5</v>
      </c>
      <c r="U2" s="42" t="str">
        <f>$F$1</f>
        <v>だいち</v>
      </c>
      <c r="V2" s="43" t="str">
        <f>$K$1</f>
        <v>りくと</v>
      </c>
      <c r="W2" s="22" t="str">
        <f>$P$1</f>
        <v>れんたろう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36</v>
      </c>
      <c r="B4" s="33">
        <v>1</v>
      </c>
      <c r="C4" s="33">
        <v>0</v>
      </c>
      <c r="D4" s="33">
        <v>0</v>
      </c>
      <c r="E4" s="5" t="s">
        <v>24</v>
      </c>
      <c r="F4" s="10" t="s">
        <v>37</v>
      </c>
      <c r="G4" s="11">
        <v>3000</v>
      </c>
      <c r="H4" s="11"/>
      <c r="I4" s="12" t="str">
        <f>IF(OR(F4="ロン",F4="ツモ"),$C4*1000,IF(F4="放銃",$C4*-1000,IF(F4="ツモ支払",$C4*-500,"")))</f>
        <v/>
      </c>
      <c r="J4" s="36">
        <f t="shared" ref="J4:J30" si="0">IF(COUNTA($F4,$K4,$P4)&gt;0,J3+SUM(G4:I4),"")</f>
        <v>38000</v>
      </c>
      <c r="K4" s="10" t="s">
        <v>37</v>
      </c>
      <c r="L4" s="11">
        <v>5000</v>
      </c>
      <c r="M4" s="11">
        <v>-1000</v>
      </c>
      <c r="N4" s="12" t="str">
        <f>IF(OR(K4="ロン",K4="ツモ"),$C4*1000,IF(K4="放銃",$C4*-1000,IF(K4="ツモ支払",$C4*-500,"")))</f>
        <v/>
      </c>
      <c r="O4" s="36">
        <f t="shared" ref="O4:O30" si="1">IF(COUNTA($F4,$K4,$P4)&gt;0,O3+SUM(L4:N4),"")</f>
        <v>39000</v>
      </c>
      <c r="P4" s="10" t="s">
        <v>37</v>
      </c>
      <c r="Q4" s="11">
        <v>-8000</v>
      </c>
      <c r="R4" s="11"/>
      <c r="S4" s="12" t="str">
        <f>IF(OR(P4="ロン",P4="ツモ"),$C4*1000,IF(P4="放銃",$C4*-1000,IF(P4="ツモ支払",$C4*-500,"")))</f>
        <v/>
      </c>
      <c r="T4" s="36">
        <f t="shared" ref="T4:T30" si="2">IF(COUNTA($F4,$K4,$P4)&gt;0,T3+SUM(Q4:S4),"")</f>
        <v>27000</v>
      </c>
      <c r="U4" s="26">
        <f t="shared" ref="U4:U30" si="3">IF($J4="","",ROUND(($J4-$J$3)/1000,0))</f>
        <v>3</v>
      </c>
      <c r="V4" s="27">
        <f t="shared" ref="V4:V30" si="4">IF($O4="","",ROUND(($O4-$O$3)/1000,0))</f>
        <v>4</v>
      </c>
      <c r="W4" s="28">
        <f t="shared" ref="W4:W30" si="5">IF($T4="","",ROUND(($T4-$T$3)/1000,0))</f>
        <v>-8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1</v>
      </c>
      <c r="C5" s="33">
        <f>IF($E5="","",IF($E4=$E5,C4+1,0))</f>
        <v>1</v>
      </c>
      <c r="D5" s="33">
        <f>IF($E5="","",IF(OR($F4="流局",$F4="チョンボ"),D4+($H4+$M4+$R4)/-1000,0))</f>
        <v>1</v>
      </c>
      <c r="E5" s="5" t="s">
        <v>24</v>
      </c>
      <c r="F5" s="10" t="s">
        <v>28</v>
      </c>
      <c r="G5" s="11">
        <v>-6000</v>
      </c>
      <c r="H5" s="11"/>
      <c r="I5" s="12">
        <f>IF(OR(F5="ロン",F5="ツモ"),$C5*1000,IF(F5="放銃",$C5*-1000,IF(F5="ツモ支払",$C5*-500,"")))</f>
        <v>-500</v>
      </c>
      <c r="J5" s="36">
        <f t="shared" si="0"/>
        <v>31500</v>
      </c>
      <c r="K5" s="10" t="s">
        <v>29</v>
      </c>
      <c r="L5" s="11">
        <v>12000</v>
      </c>
      <c r="M5" s="11">
        <v>1000</v>
      </c>
      <c r="N5" s="12">
        <f t="shared" ref="N5:N30" si="6">IF(OR(K5="ロン",K5="ツモ"),$C5*1000,IF(K5="放銃",$C5*-1000,IF(K5="ツモ支払",$C5*-500,"")))</f>
        <v>1000</v>
      </c>
      <c r="O5" s="36">
        <f t="shared" si="1"/>
        <v>53000</v>
      </c>
      <c r="P5" s="10" t="s">
        <v>28</v>
      </c>
      <c r="Q5" s="11">
        <v>-6000</v>
      </c>
      <c r="R5" s="11"/>
      <c r="S5" s="12">
        <f t="shared" ref="S5:S30" si="7">IF(OR(P5="ロン",P5="ツモ"),$C5*1000,IF(P5="放銃",$C5*-1000,IF(P5="ツモ支払",$C5*-500,"")))</f>
        <v>-500</v>
      </c>
      <c r="T5" s="36">
        <f t="shared" si="2"/>
        <v>20500</v>
      </c>
      <c r="U5" s="26">
        <f t="shared" si="3"/>
        <v>-4</v>
      </c>
      <c r="V5" s="27">
        <f t="shared" si="4"/>
        <v>18</v>
      </c>
      <c r="W5" s="28">
        <f t="shared" si="5"/>
        <v>-15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1</v>
      </c>
      <c r="C6" s="33">
        <f t="shared" ref="C6:C30" si="10">IF($E6="","",IF($E5=$E6,C5+1,0))</f>
        <v>2</v>
      </c>
      <c r="D6" s="33">
        <f t="shared" ref="D6:D30" si="11">IF($E6="","",IF(OR($F5="流局",$F5="チョンボ"),D5+($H5+$M5+$R5)/-1000,0))</f>
        <v>0</v>
      </c>
      <c r="E6" s="5" t="s">
        <v>24</v>
      </c>
      <c r="F6" s="10" t="s">
        <v>30</v>
      </c>
      <c r="G6" s="11">
        <v>-18000</v>
      </c>
      <c r="H6" s="11"/>
      <c r="I6" s="12">
        <f t="shared" ref="I6:I30" si="12">IF(OR(F6="ロン",F6="ツモ"),$C6*1000,IF(F6="放銃",$C6*-1000,IF(F6="ツモ支払",$C6*-500,"")))</f>
        <v>-2000</v>
      </c>
      <c r="J6" s="36">
        <f t="shared" si="0"/>
        <v>11500</v>
      </c>
      <c r="K6" s="10" t="s">
        <v>31</v>
      </c>
      <c r="L6" s="11">
        <v>18000</v>
      </c>
      <c r="M6" s="11"/>
      <c r="N6" s="12">
        <f t="shared" si="6"/>
        <v>2000</v>
      </c>
      <c r="O6" s="36">
        <f t="shared" si="1"/>
        <v>73000</v>
      </c>
      <c r="P6" s="10"/>
      <c r="Q6" s="11"/>
      <c r="R6" s="11"/>
      <c r="S6" s="12" t="str">
        <f t="shared" si="7"/>
        <v/>
      </c>
      <c r="T6" s="36">
        <f t="shared" si="2"/>
        <v>20500</v>
      </c>
      <c r="U6" s="26">
        <f t="shared" si="3"/>
        <v>-24</v>
      </c>
      <c r="V6" s="27">
        <f t="shared" si="4"/>
        <v>38</v>
      </c>
      <c r="W6" s="28">
        <f t="shared" si="5"/>
        <v>-15</v>
      </c>
    </row>
    <row r="7" spans="1:23" x14ac:dyDescent="0.4">
      <c r="A7" s="17" t="str">
        <f t="shared" si="8"/>
        <v>東</v>
      </c>
      <c r="B7" s="33">
        <f t="shared" si="9"/>
        <v>1</v>
      </c>
      <c r="C7" s="33">
        <f t="shared" si="10"/>
        <v>3</v>
      </c>
      <c r="D7" s="33">
        <f t="shared" si="11"/>
        <v>0</v>
      </c>
      <c r="E7" s="5" t="s">
        <v>24</v>
      </c>
      <c r="F7" s="10" t="s">
        <v>28</v>
      </c>
      <c r="G7" s="11">
        <v>-2400</v>
      </c>
      <c r="H7" s="11"/>
      <c r="I7" s="12">
        <f t="shared" si="12"/>
        <v>-1500</v>
      </c>
      <c r="J7" s="36">
        <f t="shared" si="0"/>
        <v>7600</v>
      </c>
      <c r="K7" s="10" t="s">
        <v>28</v>
      </c>
      <c r="L7" s="11">
        <v>-4000</v>
      </c>
      <c r="M7" s="11"/>
      <c r="N7" s="12">
        <f t="shared" si="6"/>
        <v>-1500</v>
      </c>
      <c r="O7" s="36">
        <f t="shared" si="1"/>
        <v>67500</v>
      </c>
      <c r="P7" s="10" t="s">
        <v>29</v>
      </c>
      <c r="Q7" s="11">
        <v>6400</v>
      </c>
      <c r="R7" s="11"/>
      <c r="S7" s="12">
        <f t="shared" si="7"/>
        <v>3000</v>
      </c>
      <c r="T7" s="36">
        <f t="shared" si="2"/>
        <v>29900</v>
      </c>
      <c r="U7" s="26">
        <f t="shared" si="3"/>
        <v>-27</v>
      </c>
      <c r="V7" s="27">
        <f t="shared" si="4"/>
        <v>33</v>
      </c>
      <c r="W7" s="28">
        <f t="shared" si="5"/>
        <v>-5</v>
      </c>
    </row>
    <row r="8" spans="1:23" x14ac:dyDescent="0.4">
      <c r="A8" s="17" t="str">
        <f t="shared" si="8"/>
        <v>東</v>
      </c>
      <c r="B8" s="33">
        <f t="shared" si="9"/>
        <v>2</v>
      </c>
      <c r="C8" s="33">
        <f t="shared" si="10"/>
        <v>0</v>
      </c>
      <c r="D8" s="33">
        <f t="shared" si="11"/>
        <v>0</v>
      </c>
      <c r="E8" s="5" t="s">
        <v>34</v>
      </c>
      <c r="F8" s="10" t="s">
        <v>31</v>
      </c>
      <c r="G8" s="11">
        <v>8000</v>
      </c>
      <c r="H8" s="11"/>
      <c r="I8" s="12">
        <f t="shared" si="12"/>
        <v>0</v>
      </c>
      <c r="J8" s="36">
        <f t="shared" si="0"/>
        <v>15600</v>
      </c>
      <c r="K8" s="10" t="s">
        <v>30</v>
      </c>
      <c r="L8" s="11">
        <v>-8000</v>
      </c>
      <c r="M8" s="11"/>
      <c r="N8" s="12">
        <f t="shared" si="6"/>
        <v>0</v>
      </c>
      <c r="O8" s="36">
        <f t="shared" si="1"/>
        <v>59500</v>
      </c>
      <c r="P8" s="10"/>
      <c r="Q8" s="11"/>
      <c r="R8" s="11"/>
      <c r="S8" s="12" t="str">
        <f t="shared" si="7"/>
        <v/>
      </c>
      <c r="T8" s="36">
        <f t="shared" si="2"/>
        <v>29900</v>
      </c>
      <c r="U8" s="26">
        <f t="shared" si="3"/>
        <v>-19</v>
      </c>
      <c r="V8" s="27">
        <f t="shared" si="4"/>
        <v>25</v>
      </c>
      <c r="W8" s="28">
        <f t="shared" si="5"/>
        <v>-5</v>
      </c>
    </row>
    <row r="9" spans="1:23" x14ac:dyDescent="0.4">
      <c r="A9" s="17" t="str">
        <f t="shared" si="8"/>
        <v>東</v>
      </c>
      <c r="B9" s="33">
        <f t="shared" si="9"/>
        <v>3</v>
      </c>
      <c r="C9" s="33">
        <f t="shared" si="10"/>
        <v>0</v>
      </c>
      <c r="D9" s="33">
        <f t="shared" si="11"/>
        <v>0</v>
      </c>
      <c r="E9" s="5" t="s">
        <v>22</v>
      </c>
      <c r="F9" s="10" t="s">
        <v>29</v>
      </c>
      <c r="G9" s="11">
        <v>18000</v>
      </c>
      <c r="H9" s="11"/>
      <c r="I9" s="12">
        <f t="shared" si="12"/>
        <v>0</v>
      </c>
      <c r="J9" s="36">
        <f t="shared" si="0"/>
        <v>33600</v>
      </c>
      <c r="K9" s="10" t="s">
        <v>28</v>
      </c>
      <c r="L9" s="11">
        <v>-9000</v>
      </c>
      <c r="M9" s="11"/>
      <c r="N9" s="12">
        <f t="shared" si="6"/>
        <v>0</v>
      </c>
      <c r="O9" s="36">
        <f t="shared" si="1"/>
        <v>50500</v>
      </c>
      <c r="P9" s="10" t="s">
        <v>28</v>
      </c>
      <c r="Q9" s="11">
        <v>-9000</v>
      </c>
      <c r="R9" s="11"/>
      <c r="S9" s="12">
        <f t="shared" si="7"/>
        <v>0</v>
      </c>
      <c r="T9" s="36">
        <f t="shared" si="2"/>
        <v>20900</v>
      </c>
      <c r="U9" s="26">
        <f t="shared" si="3"/>
        <v>-1</v>
      </c>
      <c r="V9" s="27">
        <f t="shared" si="4"/>
        <v>16</v>
      </c>
      <c r="W9" s="28">
        <f t="shared" si="5"/>
        <v>-14</v>
      </c>
    </row>
    <row r="10" spans="1:23" x14ac:dyDescent="0.4">
      <c r="A10" s="17" t="str">
        <f t="shared" si="8"/>
        <v>東</v>
      </c>
      <c r="B10" s="33">
        <f t="shared" si="9"/>
        <v>3</v>
      </c>
      <c r="C10" s="33">
        <f t="shared" si="10"/>
        <v>1</v>
      </c>
      <c r="D10" s="33">
        <f t="shared" si="11"/>
        <v>0</v>
      </c>
      <c r="E10" s="5" t="s">
        <v>22</v>
      </c>
      <c r="F10" s="10"/>
      <c r="G10" s="11"/>
      <c r="H10" s="11"/>
      <c r="I10" s="12" t="str">
        <f t="shared" si="12"/>
        <v/>
      </c>
      <c r="J10" s="36">
        <f t="shared" si="0"/>
        <v>33600</v>
      </c>
      <c r="K10" s="10" t="s">
        <v>31</v>
      </c>
      <c r="L10" s="11">
        <v>5200</v>
      </c>
      <c r="M10" s="11"/>
      <c r="N10" s="12">
        <f t="shared" si="6"/>
        <v>1000</v>
      </c>
      <c r="O10" s="36">
        <f t="shared" si="1"/>
        <v>56700</v>
      </c>
      <c r="P10" s="10" t="s">
        <v>30</v>
      </c>
      <c r="Q10" s="11">
        <v>-5200</v>
      </c>
      <c r="R10" s="11"/>
      <c r="S10" s="12">
        <f t="shared" si="7"/>
        <v>-1000</v>
      </c>
      <c r="T10" s="36">
        <f t="shared" si="2"/>
        <v>14700</v>
      </c>
      <c r="U10" s="26">
        <f t="shared" si="3"/>
        <v>-1</v>
      </c>
      <c r="V10" s="27">
        <f t="shared" si="4"/>
        <v>22</v>
      </c>
      <c r="W10" s="28">
        <f t="shared" si="5"/>
        <v>-20</v>
      </c>
    </row>
    <row r="11" spans="1:23" x14ac:dyDescent="0.4">
      <c r="A11" s="17" t="str">
        <f t="shared" si="8"/>
        <v>南</v>
      </c>
      <c r="B11" s="33">
        <f t="shared" si="9"/>
        <v>1</v>
      </c>
      <c r="C11" s="33">
        <f t="shared" si="10"/>
        <v>0</v>
      </c>
      <c r="D11" s="33">
        <f t="shared" si="11"/>
        <v>0</v>
      </c>
      <c r="E11" s="5" t="s">
        <v>24</v>
      </c>
      <c r="F11" s="10" t="s">
        <v>29</v>
      </c>
      <c r="G11" s="11">
        <v>12000</v>
      </c>
      <c r="H11" s="11"/>
      <c r="I11" s="12">
        <f t="shared" si="12"/>
        <v>0</v>
      </c>
      <c r="J11" s="36">
        <f t="shared" si="0"/>
        <v>45600</v>
      </c>
      <c r="K11" s="10" t="s">
        <v>28</v>
      </c>
      <c r="L11" s="11">
        <v>-7500</v>
      </c>
      <c r="M11" s="11"/>
      <c r="N11" s="12">
        <f t="shared" si="6"/>
        <v>0</v>
      </c>
      <c r="O11" s="36">
        <f t="shared" si="1"/>
        <v>49200</v>
      </c>
      <c r="P11" s="10" t="s">
        <v>28</v>
      </c>
      <c r="Q11" s="11">
        <v>-4500</v>
      </c>
      <c r="R11" s="11"/>
      <c r="S11" s="12">
        <f t="shared" si="7"/>
        <v>0</v>
      </c>
      <c r="T11" s="36">
        <f t="shared" si="2"/>
        <v>10200</v>
      </c>
      <c r="U11" s="26">
        <f t="shared" si="3"/>
        <v>11</v>
      </c>
      <c r="V11" s="27">
        <f t="shared" si="4"/>
        <v>14</v>
      </c>
      <c r="W11" s="28">
        <f t="shared" si="5"/>
        <v>-25</v>
      </c>
    </row>
    <row r="12" spans="1:23" x14ac:dyDescent="0.4">
      <c r="A12" s="17" t="str">
        <f t="shared" si="8"/>
        <v>南</v>
      </c>
      <c r="B12" s="33">
        <f t="shared" si="9"/>
        <v>2</v>
      </c>
      <c r="C12" s="33">
        <f t="shared" si="10"/>
        <v>0</v>
      </c>
      <c r="D12" s="33">
        <f t="shared" si="11"/>
        <v>0</v>
      </c>
      <c r="E12" s="5" t="s">
        <v>34</v>
      </c>
      <c r="F12" s="10" t="s">
        <v>31</v>
      </c>
      <c r="G12" s="11">
        <v>8000</v>
      </c>
      <c r="H12" s="11">
        <v>1000</v>
      </c>
      <c r="I12" s="12">
        <f t="shared" si="12"/>
        <v>0</v>
      </c>
      <c r="J12" s="36">
        <f t="shared" si="0"/>
        <v>54600</v>
      </c>
      <c r="K12" s="10" t="s">
        <v>30</v>
      </c>
      <c r="L12" s="11">
        <v>-8000</v>
      </c>
      <c r="M12" s="11"/>
      <c r="N12" s="12">
        <f t="shared" si="6"/>
        <v>0</v>
      </c>
      <c r="O12" s="36">
        <f t="shared" si="1"/>
        <v>41200</v>
      </c>
      <c r="P12" s="10"/>
      <c r="Q12" s="11"/>
      <c r="R12" s="11">
        <v>-1000</v>
      </c>
      <c r="S12" s="12" t="str">
        <f t="shared" si="7"/>
        <v/>
      </c>
      <c r="T12" s="36">
        <f t="shared" si="2"/>
        <v>9200</v>
      </c>
      <c r="U12" s="26">
        <f t="shared" si="3"/>
        <v>20</v>
      </c>
      <c r="V12" s="27">
        <f t="shared" si="4"/>
        <v>6</v>
      </c>
      <c r="W12" s="28">
        <f t="shared" si="5"/>
        <v>-26</v>
      </c>
    </row>
    <row r="13" spans="1:23" x14ac:dyDescent="0.4">
      <c r="A13" s="17" t="str">
        <f t="shared" si="8"/>
        <v>南</v>
      </c>
      <c r="B13" s="33">
        <f t="shared" si="9"/>
        <v>3</v>
      </c>
      <c r="C13" s="33">
        <f t="shared" si="10"/>
        <v>0</v>
      </c>
      <c r="D13" s="33">
        <f t="shared" si="11"/>
        <v>0</v>
      </c>
      <c r="E13" s="5" t="s">
        <v>22</v>
      </c>
      <c r="F13" s="10" t="s">
        <v>31</v>
      </c>
      <c r="G13" s="11">
        <v>12000</v>
      </c>
      <c r="H13" s="11"/>
      <c r="I13" s="12">
        <f t="shared" si="12"/>
        <v>0</v>
      </c>
      <c r="J13" s="36">
        <f t="shared" si="0"/>
        <v>66600</v>
      </c>
      <c r="K13" s="10"/>
      <c r="L13" s="11"/>
      <c r="M13" s="11"/>
      <c r="N13" s="12" t="str">
        <f t="shared" si="6"/>
        <v/>
      </c>
      <c r="O13" s="36">
        <f t="shared" si="1"/>
        <v>41200</v>
      </c>
      <c r="P13" s="10" t="s">
        <v>30</v>
      </c>
      <c r="Q13" s="11">
        <v>-12000</v>
      </c>
      <c r="R13" s="11"/>
      <c r="S13" s="12">
        <f t="shared" si="7"/>
        <v>0</v>
      </c>
      <c r="T13" s="36">
        <f t="shared" si="2"/>
        <v>-2800</v>
      </c>
      <c r="U13" s="26">
        <f t="shared" si="3"/>
        <v>32</v>
      </c>
      <c r="V13" s="27">
        <f t="shared" si="4"/>
        <v>6</v>
      </c>
      <c r="W13" s="28">
        <f t="shared" si="5"/>
        <v>-38</v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allowBlank="1" showErrorMessage="1" sqref="E4:E30" xr:uid="{B44D109C-4572-4DD7-ACA7-92DDCC46B21F}">
      <formula1>$U$2:$W$2</formula1>
    </dataValidation>
    <dataValidation type="list" showInputMessage="1" showErrorMessage="1" sqref="K4:K30 P4:P30 F4:F30" xr:uid="{5E2C5C4C-7151-4C9E-AE55-1A580EA9804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  <c r="K2">
        <f>IF('点数表(子→親)'!K2="","",'点数表(子→親)'!K2*2)</f>
        <v>96000</v>
      </c>
      <c r="L2">
        <f>IF('点数表(子→親)'!L2="","",'点数表(子→親)'!L2*2)</f>
        <v>144000</v>
      </c>
    </row>
    <row r="3" spans="1:12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  <c r="K3">
        <f>IF('点数表(子→親)'!K3="","",'点数表(子→親)'!K3*2)</f>
        <v>96000</v>
      </c>
      <c r="L3">
        <f>IF('点数表(子→親)'!L3="","",'点数表(子→親)'!L3*2)</f>
        <v>144000</v>
      </c>
    </row>
    <row r="4" spans="1:12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  <c r="K4">
        <f>IF('点数表(子→親)'!K4="","",'点数表(子→親)'!K4*2)</f>
        <v>96000</v>
      </c>
      <c r="L4">
        <f>IF('点数表(子→親)'!L4="","",'点数表(子→親)'!L4*2)</f>
        <v>144000</v>
      </c>
    </row>
    <row r="5" spans="1:12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  <c r="K5">
        <f>IF('点数表(子→親)'!K5="","",'点数表(子→親)'!K5*2)</f>
        <v>96000</v>
      </c>
      <c r="L5">
        <f>IF('点数表(子→親)'!L5="","",'点数表(子→親)'!L5*2)</f>
        <v>144000</v>
      </c>
    </row>
    <row r="6" spans="1:12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  <c r="K6">
        <f>IF('点数表(子→親)'!K6="","",'点数表(子→親)'!K6*2)</f>
        <v>96000</v>
      </c>
      <c r="L6">
        <f>IF('点数表(子→親)'!L6="","",'点数表(子→親)'!L6*2)</f>
        <v>144000</v>
      </c>
    </row>
    <row r="7" spans="1:12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  <c r="K7">
        <f>IF('点数表(子→親)'!K7="","",'点数表(子→親)'!K7*2)</f>
        <v>96000</v>
      </c>
      <c r="L7">
        <f>IF('点数表(子→親)'!L7="","",'点数表(子→親)'!L7*2)</f>
        <v>144000</v>
      </c>
    </row>
    <row r="8" spans="1:12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  <c r="K8">
        <f>IF('点数表(子→親)'!K8="","",'点数表(子→親)'!K8*2)</f>
        <v>96000</v>
      </c>
      <c r="L8">
        <f>IF('点数表(子→親)'!L8="","",'点数表(子→親)'!L8*2)</f>
        <v>144000</v>
      </c>
    </row>
    <row r="9" spans="1:12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  <c r="K9">
        <f>IF('点数表(子→親)'!K9="","",'点数表(子→親)'!K9*2)</f>
        <v>96000</v>
      </c>
      <c r="L9">
        <f>IF('点数表(子→親)'!L9="","",'点数表(子→親)'!L9*2)</f>
        <v>144000</v>
      </c>
    </row>
    <row r="10" spans="1:12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  <c r="K10">
        <f>IF('点数表(子→親)'!K10="","",'点数表(子→親)'!K10*2)</f>
        <v>96000</v>
      </c>
      <c r="L10">
        <f>IF('点数表(子→親)'!L10="","",'点数表(子→親)'!L10*2)</f>
        <v>144000</v>
      </c>
    </row>
    <row r="11" spans="1:12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  <c r="K11">
        <f>IF('点数表(子→親)'!K11="","",'点数表(子→親)'!K11*2)</f>
        <v>96000</v>
      </c>
      <c r="L11">
        <f>IF('点数表(子→親)'!L11="","",'点数表(子→親)'!L11*2)</f>
        <v>144000</v>
      </c>
    </row>
    <row r="12" spans="1:12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  <c r="K12">
        <f>IF('点数表(子→親)'!K12="","",'点数表(子→親)'!K12*2)</f>
        <v>96000</v>
      </c>
      <c r="L12">
        <f>IF('点数表(子→親)'!L12="","",'点数表(子→親)'!L12*2)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  <c r="K2">
        <v>48000</v>
      </c>
      <c r="L2">
        <v>72000</v>
      </c>
    </row>
    <row r="3" spans="1:12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  <c r="K3">
        <v>48000</v>
      </c>
      <c r="L3">
        <v>72000</v>
      </c>
    </row>
    <row r="4" spans="1:12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  <c r="K4">
        <v>48000</v>
      </c>
      <c r="L4">
        <v>72000</v>
      </c>
    </row>
    <row r="5" spans="1:12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  <c r="K5">
        <v>48000</v>
      </c>
      <c r="L5">
        <v>72000</v>
      </c>
    </row>
    <row r="6" spans="1:12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  <c r="K6">
        <v>48000</v>
      </c>
      <c r="L6">
        <v>72000</v>
      </c>
    </row>
    <row r="7" spans="1:12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  <c r="K7">
        <v>48000</v>
      </c>
      <c r="L7">
        <v>72000</v>
      </c>
    </row>
    <row r="8" spans="1:12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  <c r="K8">
        <v>48000</v>
      </c>
      <c r="L8">
        <v>72000</v>
      </c>
    </row>
    <row r="9" spans="1:12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  <c r="K9">
        <v>48000</v>
      </c>
      <c r="L9">
        <v>72000</v>
      </c>
    </row>
    <row r="10" spans="1:12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  <c r="K10">
        <v>48000</v>
      </c>
      <c r="L10">
        <v>72000</v>
      </c>
    </row>
    <row r="11" spans="1:12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  <c r="K11">
        <v>48000</v>
      </c>
      <c r="L11">
        <v>72000</v>
      </c>
    </row>
    <row r="12" spans="1:12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  <c r="K12">
        <v>48000</v>
      </c>
      <c r="L12">
        <v>72000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  <c r="K2">
        <f>IF('点数表(子→子)'!K2="","",'点数表(子→子)'!K2+'点数表(親→子)'!K2)</f>
        <v>64000</v>
      </c>
      <c r="L2">
        <f>IF('点数表(子→子)'!L2="","",'点数表(子→子)'!L2+'点数表(親→子)'!L2)</f>
        <v>96000</v>
      </c>
    </row>
    <row r="3" spans="1:12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  <c r="K3">
        <f>IF('点数表(子→子)'!K3="","",'点数表(子→子)'!K3+'点数表(親→子)'!K3)</f>
        <v>64000</v>
      </c>
      <c r="L3">
        <f>IF('点数表(子→子)'!L3="","",'点数表(子→子)'!L3+'点数表(親→子)'!L3)</f>
        <v>96000</v>
      </c>
    </row>
    <row r="4" spans="1:12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  <c r="K4">
        <f>IF('点数表(子→子)'!K4="","",'点数表(子→子)'!K4+'点数表(親→子)'!K4)</f>
        <v>64000</v>
      </c>
      <c r="L4">
        <f>IF('点数表(子→子)'!L4="","",'点数表(子→子)'!L4+'点数表(親→子)'!L4)</f>
        <v>96000</v>
      </c>
    </row>
    <row r="5" spans="1:12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  <c r="K5">
        <f>IF('点数表(子→子)'!K5="","",'点数表(子→子)'!K5+'点数表(親→子)'!K5)</f>
        <v>64000</v>
      </c>
      <c r="L5">
        <f>IF('点数表(子→子)'!L5="","",'点数表(子→子)'!L5+'点数表(親→子)'!L5)</f>
        <v>96000</v>
      </c>
    </row>
    <row r="6" spans="1:12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  <c r="K6">
        <f>IF('点数表(子→子)'!K6="","",'点数表(子→子)'!K6+'点数表(親→子)'!K6)</f>
        <v>64000</v>
      </c>
      <c r="L6">
        <f>IF('点数表(子→子)'!L6="","",'点数表(子→子)'!L6+'点数表(親→子)'!L6)</f>
        <v>96000</v>
      </c>
    </row>
    <row r="7" spans="1:12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  <c r="K7">
        <f>IF('点数表(子→子)'!K7="","",'点数表(子→子)'!K7+'点数表(親→子)'!K7)</f>
        <v>64000</v>
      </c>
      <c r="L7">
        <f>IF('点数表(子→子)'!L7="","",'点数表(子→子)'!L7+'点数表(親→子)'!L7)</f>
        <v>96000</v>
      </c>
    </row>
    <row r="8" spans="1:12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  <c r="K8">
        <f>IF('点数表(子→子)'!K8="","",'点数表(子→子)'!K8+'点数表(親→子)'!K8)</f>
        <v>64000</v>
      </c>
      <c r="L8">
        <f>IF('点数表(子→子)'!L8="","",'点数表(子→子)'!L8+'点数表(親→子)'!L8)</f>
        <v>96000</v>
      </c>
    </row>
    <row r="9" spans="1:12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  <c r="K9">
        <f>IF('点数表(子→子)'!K9="","",'点数表(子→子)'!K9+'点数表(親→子)'!K9)</f>
        <v>64000</v>
      </c>
      <c r="L9">
        <f>IF('点数表(子→子)'!L9="","",'点数表(子→子)'!L9+'点数表(親→子)'!L9)</f>
        <v>96000</v>
      </c>
    </row>
    <row r="10" spans="1:12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  <c r="K10">
        <f>IF('点数表(子→子)'!K10="","",'点数表(子→子)'!K10+'点数表(親→子)'!K10)</f>
        <v>64000</v>
      </c>
      <c r="L10">
        <f>IF('点数表(子→子)'!L10="","",'点数表(子→子)'!L10+'点数表(親→子)'!L10)</f>
        <v>96000</v>
      </c>
    </row>
    <row r="11" spans="1:12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  <c r="K11">
        <f>IF('点数表(子→子)'!K11="","",'点数表(子→子)'!K11+'点数表(親→子)'!K11)</f>
        <v>64000</v>
      </c>
      <c r="L11">
        <f>IF('点数表(子→子)'!L11="","",'点数表(子→子)'!L11+'点数表(親→子)'!L11)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  <c r="K12">
        <f>IF('点数表(子→子)'!K12="","",'点数表(子→子)'!K12+'点数表(親→子)'!K12)</f>
        <v>64000</v>
      </c>
      <c r="L12">
        <f>IF('点数表(子→子)'!L12="","",'点数表(子→子)'!L12+'点数表(親→子)'!L12)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  <c r="K2">
        <v>24000</v>
      </c>
      <c r="L2">
        <v>36000</v>
      </c>
    </row>
    <row r="3" spans="1:12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  <c r="K3">
        <v>24000</v>
      </c>
      <c r="L3">
        <v>36000</v>
      </c>
    </row>
    <row r="4" spans="1:12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  <c r="K4">
        <v>24000</v>
      </c>
      <c r="L4">
        <v>36000</v>
      </c>
    </row>
    <row r="5" spans="1:12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  <c r="K5">
        <v>24000</v>
      </c>
      <c r="L5">
        <v>36000</v>
      </c>
    </row>
    <row r="6" spans="1:12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  <c r="K6">
        <v>24000</v>
      </c>
      <c r="L6">
        <v>36000</v>
      </c>
    </row>
    <row r="7" spans="1:12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  <c r="K7">
        <v>24000</v>
      </c>
      <c r="L7">
        <v>36000</v>
      </c>
    </row>
    <row r="8" spans="1:12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  <c r="K8">
        <v>24000</v>
      </c>
      <c r="L8">
        <v>36000</v>
      </c>
    </row>
    <row r="9" spans="1:12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  <c r="K9">
        <v>24000</v>
      </c>
      <c r="L9">
        <v>36000</v>
      </c>
    </row>
    <row r="10" spans="1:12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  <c r="K10">
        <v>24000</v>
      </c>
      <c r="L10">
        <v>36000</v>
      </c>
    </row>
    <row r="11" spans="1:12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  <c r="K11">
        <v>24000</v>
      </c>
      <c r="L11">
        <v>36000</v>
      </c>
    </row>
    <row r="12" spans="1:12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  <c r="K12">
        <v>24000</v>
      </c>
      <c r="L12">
        <v>36000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  <c r="K2">
        <v>40000</v>
      </c>
      <c r="L2">
        <v>60000</v>
      </c>
    </row>
    <row r="3" spans="1:12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  <c r="K3">
        <v>40000</v>
      </c>
      <c r="L3">
        <v>60000</v>
      </c>
    </row>
    <row r="4" spans="1:12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  <c r="K4">
        <v>40000</v>
      </c>
      <c r="L4">
        <v>60000</v>
      </c>
    </row>
    <row r="5" spans="1:12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  <c r="K5">
        <v>40000</v>
      </c>
      <c r="L5">
        <v>60000</v>
      </c>
    </row>
    <row r="6" spans="1:12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  <c r="K6">
        <v>40000</v>
      </c>
      <c r="L6">
        <v>60000</v>
      </c>
    </row>
    <row r="7" spans="1:12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  <c r="K7">
        <v>40000</v>
      </c>
      <c r="L7">
        <v>60000</v>
      </c>
    </row>
    <row r="8" spans="1:12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  <c r="K8">
        <v>40000</v>
      </c>
      <c r="L8">
        <v>60000</v>
      </c>
    </row>
    <row r="9" spans="1:12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  <c r="K9">
        <v>40000</v>
      </c>
      <c r="L9">
        <v>60000</v>
      </c>
    </row>
    <row r="10" spans="1:12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  <c r="K10">
        <v>40000</v>
      </c>
      <c r="L10">
        <v>60000</v>
      </c>
    </row>
    <row r="11" spans="1:12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  <c r="K11">
        <v>40000</v>
      </c>
      <c r="L11">
        <v>60000</v>
      </c>
    </row>
    <row r="12" spans="1:12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  <c r="K12">
        <v>40000</v>
      </c>
      <c r="L12">
        <v>60000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Sheet6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2018-12-08T16:35:12Z</dcterms:modified>
</cp:coreProperties>
</file>