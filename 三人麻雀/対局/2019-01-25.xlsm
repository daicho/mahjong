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3CE71255-3CC9-4E22-B7BC-F7624039CE7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2" i="20"/>
  <c r="D13" i="20" s="1"/>
  <c r="C12" i="20"/>
  <c r="C13" i="20" s="1"/>
  <c r="D11" i="20"/>
  <c r="C11" i="20"/>
  <c r="D10" i="20"/>
  <c r="C10" i="20"/>
  <c r="D9" i="20"/>
  <c r="D8" i="20"/>
  <c r="C8" i="20"/>
  <c r="C9" i="20" s="1"/>
  <c r="D7" i="20"/>
  <c r="D6" i="20"/>
  <c r="C6" i="20"/>
  <c r="C7" i="20" s="1"/>
  <c r="O5" i="20"/>
  <c r="O6" i="20" s="1"/>
  <c r="J5" i="20"/>
  <c r="U5" i="20" s="1"/>
  <c r="D5" i="20"/>
  <c r="C5" i="20"/>
  <c r="B5" i="20"/>
  <c r="B6" i="20" s="1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U12" i="19" s="1"/>
  <c r="D12" i="19"/>
  <c r="C12" i="19"/>
  <c r="B12" i="19"/>
  <c r="A12" i="19" s="1"/>
  <c r="T11" i="19"/>
  <c r="W11" i="19" s="1"/>
  <c r="O11" i="19"/>
  <c r="V11" i="19" s="1"/>
  <c r="J11" i="19"/>
  <c r="U11" i="19" s="1"/>
  <c r="D11" i="19"/>
  <c r="C11" i="19"/>
  <c r="B11" i="19"/>
  <c r="A11" i="19"/>
  <c r="D10" i="19"/>
  <c r="C10" i="19"/>
  <c r="D9" i="19"/>
  <c r="C9" i="19"/>
  <c r="D8" i="19"/>
  <c r="C8" i="19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D11" i="18"/>
  <c r="D10" i="18"/>
  <c r="C10" i="18"/>
  <c r="C11" i="18" s="1"/>
  <c r="D9" i="18"/>
  <c r="D8" i="18"/>
  <c r="C8" i="18"/>
  <c r="C9" i="18" s="1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A5" i="20" l="1"/>
  <c r="V5" i="20"/>
  <c r="V6" i="20"/>
  <c r="O7" i="20"/>
  <c r="B7" i="20"/>
  <c r="A7" i="20" s="1"/>
  <c r="T5" i="20"/>
  <c r="A6" i="20"/>
  <c r="J6" i="20"/>
  <c r="A5" i="19"/>
  <c r="V5" i="19"/>
  <c r="B7" i="19"/>
  <c r="A7" i="19" s="1"/>
  <c r="O7" i="19"/>
  <c r="V6" i="19"/>
  <c r="T5" i="19"/>
  <c r="A6" i="19"/>
  <c r="J6" i="19"/>
  <c r="A5" i="18"/>
  <c r="V5" i="18"/>
  <c r="B7" i="18"/>
  <c r="V6" i="18"/>
  <c r="O7" i="18"/>
  <c r="T5" i="18"/>
  <c r="A6" i="18"/>
  <c r="J6" i="18"/>
  <c r="B8" i="20" l="1"/>
  <c r="A8" i="20" s="1"/>
  <c r="U6" i="20"/>
  <c r="J7" i="20"/>
  <c r="O8" i="20"/>
  <c r="V7" i="20"/>
  <c r="T6" i="20"/>
  <c r="W5" i="20"/>
  <c r="J7" i="19"/>
  <c r="U6" i="19"/>
  <c r="O8" i="19"/>
  <c r="V7" i="19"/>
  <c r="W5" i="19"/>
  <c r="T6" i="19"/>
  <c r="B8" i="19"/>
  <c r="A8" i="19" s="1"/>
  <c r="U6" i="18"/>
  <c r="J7" i="18"/>
  <c r="B8" i="18"/>
  <c r="O8" i="18"/>
  <c r="V7" i="18"/>
  <c r="W5" i="18"/>
  <c r="T6" i="18"/>
  <c r="A7" i="18"/>
  <c r="A8" i="18" s="1"/>
  <c r="W6" i="20" l="1"/>
  <c r="T7" i="20"/>
  <c r="U7" i="20"/>
  <c r="J8" i="20"/>
  <c r="V8" i="20"/>
  <c r="O9" i="20"/>
  <c r="B9" i="20"/>
  <c r="A9" i="20" s="1"/>
  <c r="U7" i="19"/>
  <c r="J8" i="19"/>
  <c r="B9" i="19"/>
  <c r="V8" i="19"/>
  <c r="O9" i="19"/>
  <c r="W6" i="19"/>
  <c r="T7" i="19"/>
  <c r="W6" i="18"/>
  <c r="T7" i="18"/>
  <c r="B9" i="18"/>
  <c r="A9" i="18" s="1"/>
  <c r="U7" i="18"/>
  <c r="J8" i="18"/>
  <c r="O9" i="18"/>
  <c r="V8" i="18"/>
  <c r="B10" i="20" l="1"/>
  <c r="A10" i="20" s="1"/>
  <c r="O10" i="20"/>
  <c r="V9" i="20"/>
  <c r="W7" i="20"/>
  <c r="T8" i="20"/>
  <c r="J9" i="20"/>
  <c r="U8" i="20"/>
  <c r="B10" i="19"/>
  <c r="A9" i="19"/>
  <c r="O10" i="19"/>
  <c r="V10" i="19" s="1"/>
  <c r="V9" i="19"/>
  <c r="U8" i="19"/>
  <c r="J9" i="19"/>
  <c r="W7" i="19"/>
  <c r="T8" i="19"/>
  <c r="B10" i="18"/>
  <c r="A10" i="18" s="1"/>
  <c r="O10" i="18"/>
  <c r="V9" i="18"/>
  <c r="U8" i="18"/>
  <c r="J9" i="18"/>
  <c r="T8" i="18"/>
  <c r="W7" i="18"/>
  <c r="U9" i="20" l="1"/>
  <c r="J10" i="20"/>
  <c r="V10" i="20"/>
  <c r="O11" i="20"/>
  <c r="W8" i="20"/>
  <c r="T9" i="20"/>
  <c r="B11" i="20"/>
  <c r="A11" i="20" s="1"/>
  <c r="A10" i="19"/>
  <c r="U9" i="19"/>
  <c r="J10" i="19"/>
  <c r="U10" i="19" s="1"/>
  <c r="W8" i="19"/>
  <c r="T9" i="19"/>
  <c r="V10" i="18"/>
  <c r="O11" i="18"/>
  <c r="V11" i="18" s="1"/>
  <c r="W8" i="18"/>
  <c r="T9" i="18"/>
  <c r="U9" i="18"/>
  <c r="J10" i="18"/>
  <c r="B11" i="18"/>
  <c r="A11" i="18" s="1"/>
  <c r="B12" i="20" l="1"/>
  <c r="A12" i="20" s="1"/>
  <c r="W9" i="20"/>
  <c r="T10" i="20"/>
  <c r="U10" i="20"/>
  <c r="J11" i="20"/>
  <c r="O12" i="20"/>
  <c r="V11" i="20"/>
  <c r="W9" i="19"/>
  <c r="T10" i="19"/>
  <c r="W10" i="19" s="1"/>
  <c r="W9" i="18"/>
  <c r="T10" i="18"/>
  <c r="U10" i="18"/>
  <c r="J11" i="18"/>
  <c r="U11" i="18" s="1"/>
  <c r="V12" i="20" l="1"/>
  <c r="O13" i="20"/>
  <c r="V13" i="20" s="1"/>
  <c r="W10" i="20"/>
  <c r="T11" i="20"/>
  <c r="U11" i="20"/>
  <c r="J12" i="20"/>
  <c r="B13" i="20"/>
  <c r="A13" i="20" s="1"/>
  <c r="W10" i="18"/>
  <c r="T11" i="18"/>
  <c r="W11" i="18" s="1"/>
  <c r="T12" i="20" l="1"/>
  <c r="W11" i="20"/>
  <c r="U12" i="20"/>
  <c r="J13" i="20"/>
  <c r="U13" i="20" s="1"/>
  <c r="W12" i="20" l="1"/>
  <c r="T13" i="20"/>
  <c r="W13" i="20" s="1"/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D13" i="17"/>
  <c r="D12" i="17"/>
  <c r="C12" i="17"/>
  <c r="C13" i="17" s="1"/>
  <c r="D10" i="17"/>
  <c r="D11" i="17" s="1"/>
  <c r="C10" i="17"/>
  <c r="C11" i="17" s="1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T12" i="16"/>
  <c r="W12" i="16" s="1"/>
  <c r="O12" i="16"/>
  <c r="V12" i="16" s="1"/>
  <c r="J12" i="16"/>
  <c r="U12" i="16" s="1"/>
  <c r="D12" i="16"/>
  <c r="C12" i="16"/>
  <c r="B12" i="16"/>
  <c r="A12" i="16" s="1"/>
  <c r="T11" i="16"/>
  <c r="W11" i="16" s="1"/>
  <c r="O11" i="16"/>
  <c r="V11" i="16" s="1"/>
  <c r="J11" i="16"/>
  <c r="U11" i="16" s="1"/>
  <c r="D11" i="16"/>
  <c r="C11" i="16"/>
  <c r="B11" i="16"/>
  <c r="A11" i="16" s="1"/>
  <c r="T10" i="16"/>
  <c r="W10" i="16" s="1"/>
  <c r="O10" i="16"/>
  <c r="V10" i="16" s="1"/>
  <c r="J10" i="16"/>
  <c r="U10" i="16" s="1"/>
  <c r="D10" i="16"/>
  <c r="C10" i="16"/>
  <c r="B10" i="16"/>
  <c r="A10" i="16" s="1"/>
  <c r="D9" i="16"/>
  <c r="D8" i="16"/>
  <c r="D7" i="16"/>
  <c r="D6" i="16"/>
  <c r="C6" i="16"/>
  <c r="C7" i="16" s="1"/>
  <c r="C8" i="16" s="1"/>
  <c r="C9" i="16" s="1"/>
  <c r="O5" i="16"/>
  <c r="O6" i="16" s="1"/>
  <c r="J5" i="16"/>
  <c r="U5" i="16" s="1"/>
  <c r="D5" i="16"/>
  <c r="C5" i="16"/>
  <c r="B5" i="16"/>
  <c r="B6" i="16" s="1"/>
  <c r="A5" i="16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V5" i="17" l="1"/>
  <c r="B7" i="17"/>
  <c r="A7" i="17" s="1"/>
  <c r="V6" i="17"/>
  <c r="O7" i="17"/>
  <c r="T5" i="17"/>
  <c r="A6" i="17"/>
  <c r="J6" i="17"/>
  <c r="V5" i="16"/>
  <c r="B7" i="16"/>
  <c r="A7" i="16" s="1"/>
  <c r="V6" i="16"/>
  <c r="O7" i="16"/>
  <c r="T5" i="16"/>
  <c r="A6" i="16"/>
  <c r="J6" i="16"/>
  <c r="W3" i="1"/>
  <c r="V3" i="1"/>
  <c r="U3" i="1"/>
  <c r="U6" i="17" l="1"/>
  <c r="J7" i="17"/>
  <c r="O8" i="17"/>
  <c r="V7" i="17"/>
  <c r="W5" i="17"/>
  <c r="T6" i="17"/>
  <c r="B8" i="17"/>
  <c r="A8" i="17" s="1"/>
  <c r="T6" i="16"/>
  <c r="W5" i="16"/>
  <c r="O8" i="16"/>
  <c r="V7" i="16"/>
  <c r="B8" i="16"/>
  <c r="J7" i="16"/>
  <c r="U6" i="16"/>
  <c r="B5" i="1"/>
  <c r="A5" i="1" s="1"/>
  <c r="D6" i="1"/>
  <c r="C6" i="1"/>
  <c r="B6" i="1"/>
  <c r="A6" i="1" s="1"/>
  <c r="D5" i="1"/>
  <c r="C5" i="1"/>
  <c r="O9" i="17" l="1"/>
  <c r="V8" i="17"/>
  <c r="B9" i="17"/>
  <c r="W6" i="17"/>
  <c r="T7" i="17"/>
  <c r="U7" i="17"/>
  <c r="J8" i="17"/>
  <c r="B9" i="16"/>
  <c r="A9" i="16" s="1"/>
  <c r="A8" i="16"/>
  <c r="W6" i="16"/>
  <c r="T7" i="16"/>
  <c r="U7" i="16"/>
  <c r="J8" i="16"/>
  <c r="V8" i="16"/>
  <c r="O9" i="16"/>
  <c r="V9" i="16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B10" i="17" l="1"/>
  <c r="A10" i="17" s="1"/>
  <c r="U8" i="17"/>
  <c r="J9" i="17"/>
  <c r="A9" i="17"/>
  <c r="W7" i="17"/>
  <c r="T8" i="17"/>
  <c r="O10" i="17"/>
  <c r="V9" i="17"/>
  <c r="W7" i="16"/>
  <c r="T8" i="16"/>
  <c r="J9" i="16"/>
  <c r="U9" i="16" s="1"/>
  <c r="U8" i="16"/>
  <c r="Y1" i="1"/>
  <c r="V10" i="17" l="1"/>
  <c r="O11" i="17"/>
  <c r="U9" i="17"/>
  <c r="J10" i="17"/>
  <c r="W8" i="17"/>
  <c r="T9" i="17"/>
  <c r="B11" i="17"/>
  <c r="W8" i="16"/>
  <c r="T9" i="16"/>
  <c r="W9" i="16" s="1"/>
  <c r="BO1" i="1"/>
  <c r="AT1" i="1"/>
  <c r="B12" i="17" l="1"/>
  <c r="A12" i="17" s="1"/>
  <c r="U10" i="17"/>
  <c r="J11" i="17"/>
  <c r="W9" i="17"/>
  <c r="T10" i="17"/>
  <c r="O12" i="17"/>
  <c r="V11" i="17"/>
  <c r="A11" i="17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V12" i="17" l="1"/>
  <c r="O13" i="17"/>
  <c r="V13" i="17" s="1"/>
  <c r="U11" i="17"/>
  <c r="J12" i="17"/>
  <c r="W10" i="17"/>
  <c r="T11" i="17"/>
  <c r="B13" i="17"/>
  <c r="A13" i="17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U12" i="17" l="1"/>
  <c r="J13" i="17"/>
  <c r="U13" i="17" s="1"/>
  <c r="T12" i="17"/>
  <c r="W11" i="17"/>
  <c r="W2" i="1"/>
  <c r="V2" i="1"/>
  <c r="U2" i="1"/>
  <c r="W12" i="17" l="1"/>
  <c r="T13" i="17"/>
  <c r="W13" i="17" s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<sst xmlns="http://schemas.openxmlformats.org/spreadsheetml/2006/main" count="1097" uniqueCount="155">
  <si>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</si>
  <si>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</si>
  <si>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</si>
  <si>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</si>
  <si>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</si>
  <si>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</si>
  <si>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</si>
  <si>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</si>
  <si>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</si>
  <si>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</si>
  <si>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</si>
  <si>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</si>
  <si>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</si>
  <si>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</si>
  <si>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</si>
  <si>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</si>
  <si>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</si>
  <si>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</si>
  <si>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</si>
  <si>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</si>
  <si>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</si>
  <si>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</si>
  <si>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</si>
  <si>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</si>
  <si>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</si>
  <si>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</si>
  <si>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</si>
  <si>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</si>
  <si>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</si>
  <si>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</si>
  <si>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</si>
  <si>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</si>
  <si>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</si>
  <si>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</si>
  <si>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</si>
  <si>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</si>
  <si>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</si>
  <si>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</si>
  <si>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</si>
  <si>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</si>
  <si>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</si>
  <si>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</si>
  <si>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</si>
  <si>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</si>
  <si>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</si>
  <si>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</si>
  <si>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</si>
  <si>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</si>
  <si>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</si>
  <si>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</si>
  <si>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</si>
  <si>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</si>
  <si>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</si>
  <si>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</si>
  <si>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</si>
  <si>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</si>
  <si>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</si>
  <si>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</si>
  <si>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</si>
  <si>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</si>
  <si>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</si>
  <si>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</si>
  <si>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</si>
  <si>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</si>
  <si>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</si>
  <si>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</si>
  <si>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</si>
  <si>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</si>
  <si>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</si>
  <si>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</si>
  <si>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</si>
  <si>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</si>
  <si>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</si>
  <si>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</si>
  <si>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</si>
  <si>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</si>
  <si>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</si>
  <si>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</si>
  <si>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</si>
  <si>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</si>
  <si>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</si>
  <si>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</si>
  <si>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</si>
  <si>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</si>
  <si>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</si>
  <si>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</si>
  <si>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</si>
  <si>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</si>
  <si>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</si>
  <si>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</si>
  <si>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</si>
  <si>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</si>
  <si>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</si>
  <si>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</si>
  <si>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</si>
  <si>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</si>
  <si>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</si>
  <si>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</si>
  <si>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</si>
  <si>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</si>
  <si>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</si>
  <si>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</si>
  <si>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</si>
  <si>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</si>
  <si>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</si>
  <si>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</si>
  <si>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</si>
  <si>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</si>
  <si>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</si>
  <si>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</si>
  <si>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</si>
  <si>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</si>
  <si>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</si>
  <si>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</si>
  <si>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</si>
  <si>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</si>
  <si>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</si>
  <si>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</si>
  <si>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</si>
  <si>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</si>
  <si>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</si>
  <si>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</si>
  <si>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</si>
  <si>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</si>
  <si>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</si>
  <si>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</si>
  <si>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</si>
  <si>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</si>
  <si>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</si>
  <si>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</si>
  <si>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</si>
  <si>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</si>
  <si>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</si>
  <si>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</si>
  <si>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</si>
  <si>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</si>
  <si>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</si>
  <si>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</si>
  <si>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</si>
  <si>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やがさき</t>
  </si>
  <si>
    <t>やがさき</t>
    <phoneticPr fontId="1"/>
  </si>
  <si>
    <t>ロン</t>
  </si>
  <si>
    <t>放銃</t>
  </si>
  <si>
    <t>01</t>
  </si>
  <si>
    <t>*</t>
  </si>
  <si>
    <t>ツモ支払</t>
  </si>
  <si>
    <t>ツモ</t>
  </si>
  <si>
    <t>02</t>
  </si>
  <si>
    <t>ただ</t>
  </si>
  <si>
    <t>ただ</t>
    <phoneticPr fontId="1"/>
  </si>
  <si>
    <t>N</t>
  </si>
  <si>
    <t>T</t>
  </si>
  <si>
    <t>流局</t>
    <phoneticPr fontId="1"/>
  </si>
  <si>
    <t>りくと</t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</si>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</sst>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やがさき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やがさき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7700</v>
      </c>
      <c r="M4" s="9"/>
      <c r="N4" s="55">
        <v>0</v>
      </c>
      <c r="O4" s="21">
        <f>IF(COUNTA($F4,$K4,$P4)&gt;0,O3+SUM(L4:N4),"")</f>
        <v>42700</v>
      </c>
      <c r="P4" s="8" t="s">
        <v>142</v>
      </c>
      <c r="Q4" s="9">
        <v>-7700</v>
      </c>
      <c r="R4" s="9"/>
      <c r="S4" s="55">
        <v>0</v>
      </c>
      <c r="T4" s="21">
        <f>IF(COUNTA($F4,$K4,$P4)&gt;0,T3+SUM(Q4:S4),"")</f>
        <v>27300</v>
      </c>
      <c r="U4" s="60">
        <f t="shared" ref="U4:U30" si="0">IF($J4="","",ROUND(($J4-$J$3)/1000,1))</f>
        <v>0</v>
      </c>
      <c r="V4" s="61">
        <f t="shared" ref="V4:V30" si="1">IF($O4="","",ROUND(($O4-$O$3)/1000,1))</f>
        <v>7.7</v>
      </c>
      <c r="W4" s="62">
        <f t="shared" ref="W4:W30" si="2">IF($T4="","",ROUND(($T4-$T$3)/1000,1))</f>
        <v>-7.7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143</v>
      </c>
      <c r="BA4" s="48" t="s">
        <v>82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141</v>
      </c>
      <c r="G5" s="9">
        <v>8000</v>
      </c>
      <c r="H5" s="9"/>
      <c r="I5" s="55">
        <v>1000</v>
      </c>
      <c r="J5" s="21">
        <f t="shared" ref="J5:J30" si="6">IF(COUNTA($F5,$K5,$P5)&gt;0,J4+SUM(G5:I5),"")</f>
        <v>44000</v>
      </c>
      <c r="K5" s="8" t="s">
        <v>142</v>
      </c>
      <c r="L5" s="9">
        <v>-8000</v>
      </c>
      <c r="M5" s="9"/>
      <c r="N5" s="55">
        <v>-1000</v>
      </c>
      <c r="O5" s="21">
        <f t="shared" ref="O5:O30" si="7">IF(COUNTA($F5,$K5,$P5)&gt;0,O4+SUM(L5:N5),"")</f>
        <v>33700</v>
      </c>
      <c r="P5" s="8"/>
      <c r="Q5" s="9"/>
      <c r="R5" s="9"/>
      <c r="S5" s="55"/>
      <c r="T5" s="21">
        <f t="shared" ref="T5:T30" si="8">IF(COUNTA($F5,$K5,$P5)&gt;0,T4+SUM(Q5:S5),"")</f>
        <v>27300</v>
      </c>
      <c r="U5" s="60">
        <f t="shared" si="0"/>
        <v>9</v>
      </c>
      <c r="V5" s="61">
        <f t="shared" si="1"/>
        <v>-1.3</v>
      </c>
      <c r="W5" s="62">
        <f t="shared" si="2"/>
        <v>-7.7</v>
      </c>
      <c r="Y5" s="8"/>
      <c r="Z5" s="41"/>
      <c r="AA5" s="32">
        <v>1</v>
      </c>
      <c r="AB5" s="32"/>
      <c r="AC5" s="32">
        <v>5</v>
      </c>
      <c r="AD5" s="36" t="s">
        <v>144</v>
      </c>
      <c r="AE5" s="47" t="s">
        <v>143</v>
      </c>
      <c r="AF5" s="48" t="s">
        <v>84</v>
      </c>
      <c r="AG5" s="48" t="s">
        <v>89</v>
      </c>
      <c r="AH5" s="48" t="s">
        <v>80</v>
      </c>
      <c r="AI5" s="48" t="s">
        <v>80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145</v>
      </c>
      <c r="G6" s="9">
        <v>-1500</v>
      </c>
      <c r="H6" s="9"/>
      <c r="I6" s="55">
        <v>0</v>
      </c>
      <c r="J6" s="21">
        <f t="shared" si="6"/>
        <v>42500</v>
      </c>
      <c r="K6" s="8" t="s">
        <v>145</v>
      </c>
      <c r="L6" s="9">
        <v>-1500</v>
      </c>
      <c r="M6" s="9"/>
      <c r="N6" s="55">
        <v>0</v>
      </c>
      <c r="O6" s="21">
        <f t="shared" si="7"/>
        <v>32200</v>
      </c>
      <c r="P6" s="8" t="s">
        <v>146</v>
      </c>
      <c r="Q6" s="9">
        <v>3000</v>
      </c>
      <c r="R6" s="9"/>
      <c r="S6" s="55">
        <v>0</v>
      </c>
      <c r="T6" s="21">
        <f t="shared" si="8"/>
        <v>30300</v>
      </c>
      <c r="U6" s="60">
        <f t="shared" si="0"/>
        <v>7.5</v>
      </c>
      <c r="V6" s="61">
        <f t="shared" si="1"/>
        <v>-2.8</v>
      </c>
      <c r="W6" s="62">
        <f t="shared" si="2"/>
        <v>-4.7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2</v>
      </c>
      <c r="BT6" s="36">
        <v>30</v>
      </c>
      <c r="BU6" s="47" t="s">
        <v>143</v>
      </c>
      <c r="BV6" s="48" t="s">
        <v>83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1</v>
      </c>
      <c r="D7" s="18">
        <f t="shared" si="5"/>
        <v>0</v>
      </c>
      <c r="E7" s="4" t="s">
        <v>139</v>
      </c>
      <c r="F7" s="8" t="s">
        <v>145</v>
      </c>
      <c r="G7" s="9">
        <v>-6000</v>
      </c>
      <c r="H7" s="9"/>
      <c r="I7" s="55">
        <v>-500</v>
      </c>
      <c r="J7" s="21">
        <f t="shared" si="6"/>
        <v>36000</v>
      </c>
      <c r="K7" s="8" t="s">
        <v>145</v>
      </c>
      <c r="L7" s="9">
        <v>-6000</v>
      </c>
      <c r="M7" s="9"/>
      <c r="N7" s="55">
        <v>-500</v>
      </c>
      <c r="O7" s="21">
        <f t="shared" si="7"/>
        <v>25700</v>
      </c>
      <c r="P7" s="8" t="s">
        <v>146</v>
      </c>
      <c r="Q7" s="9">
        <v>12000</v>
      </c>
      <c r="R7" s="9"/>
      <c r="S7" s="55">
        <v>1000</v>
      </c>
      <c r="T7" s="21">
        <f t="shared" si="8"/>
        <v>43300</v>
      </c>
      <c r="U7" s="60">
        <f t="shared" si="0"/>
        <v>1</v>
      </c>
      <c r="V7" s="61">
        <f t="shared" si="1"/>
        <v>-9.3000000000000007</v>
      </c>
      <c r="W7" s="62">
        <f t="shared" si="2"/>
        <v>8.3000000000000007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4</v>
      </c>
      <c r="BT7" s="36">
        <v>30</v>
      </c>
      <c r="BU7" s="47" t="s">
        <v>143</v>
      </c>
      <c r="BV7" s="48" t="s">
        <v>83</v>
      </c>
      <c r="BW7" s="48" t="s">
        <v>147</v>
      </c>
      <c r="BX7" s="48" t="s">
        <v>81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2</v>
      </c>
      <c r="C8" s="18">
        <f t="shared" si="11"/>
        <v>2</v>
      </c>
      <c r="D8" s="18">
        <f t="shared" si="5"/>
        <v>0</v>
      </c>
      <c r="E8" s="4" t="s">
        <v>139</v>
      </c>
      <c r="F8" s="8" t="s">
        <v>142</v>
      </c>
      <c r="G8" s="9">
        <v>-12000</v>
      </c>
      <c r="H8" s="9"/>
      <c r="I8" s="55">
        <v>-2000</v>
      </c>
      <c r="J8" s="21">
        <f t="shared" si="6"/>
        <v>22000</v>
      </c>
      <c r="K8" s="8"/>
      <c r="L8" s="9"/>
      <c r="M8" s="9"/>
      <c r="N8" s="55"/>
      <c r="O8" s="21">
        <f t="shared" si="7"/>
        <v>25700</v>
      </c>
      <c r="P8" s="8" t="s">
        <v>141</v>
      </c>
      <c r="Q8" s="9">
        <v>12000</v>
      </c>
      <c r="R8" s="9"/>
      <c r="S8" s="55">
        <v>2000</v>
      </c>
      <c r="T8" s="21">
        <f t="shared" si="8"/>
        <v>57300</v>
      </c>
      <c r="U8" s="60">
        <f t="shared" si="0"/>
        <v>-13</v>
      </c>
      <c r="V8" s="61">
        <f t="shared" si="1"/>
        <v>-9.3000000000000007</v>
      </c>
      <c r="W8" s="62">
        <f t="shared" si="2"/>
        <v>22.3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4</v>
      </c>
      <c r="BT8" s="36">
        <v>30</v>
      </c>
      <c r="BU8" s="47" t="s">
        <v>105</v>
      </c>
      <c r="BV8" s="48" t="s">
        <v>87</v>
      </c>
      <c r="BW8" s="48" t="s">
        <v>82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9"/>
        <v>2</v>
      </c>
      <c r="C9" s="18">
        <f t="shared" si="11"/>
        <v>3</v>
      </c>
      <c r="D9" s="18">
        <f t="shared" si="5"/>
        <v>0</v>
      </c>
      <c r="E9" s="4" t="s">
        <v>139</v>
      </c>
      <c r="F9" s="8"/>
      <c r="G9" s="9"/>
      <c r="H9" s="9">
        <v>-1000</v>
      </c>
      <c r="I9" s="55"/>
      <c r="J9" s="21">
        <f t="shared" si="6"/>
        <v>21000</v>
      </c>
      <c r="K9" s="8" t="s">
        <v>142</v>
      </c>
      <c r="L9" s="9">
        <v>-48000</v>
      </c>
      <c r="M9" s="9"/>
      <c r="N9" s="55">
        <v>-3000</v>
      </c>
      <c r="O9" s="21">
        <f t="shared" si="7"/>
        <v>-25300</v>
      </c>
      <c r="P9" s="8" t="s">
        <v>141</v>
      </c>
      <c r="Q9" s="9">
        <v>48000</v>
      </c>
      <c r="R9" s="9">
        <v>1000</v>
      </c>
      <c r="S9" s="55">
        <v>3000</v>
      </c>
      <c r="T9" s="21">
        <f t="shared" si="8"/>
        <v>109300</v>
      </c>
      <c r="U9" s="60">
        <f t="shared" si="0"/>
        <v>-14</v>
      </c>
      <c r="V9" s="61">
        <f t="shared" si="1"/>
        <v>-60.3</v>
      </c>
      <c r="W9" s="62">
        <f t="shared" si="2"/>
        <v>74.3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13</v>
      </c>
      <c r="BT9" s="36" t="s">
        <v>144</v>
      </c>
      <c r="BU9" s="47" t="s">
        <v>108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D4135-62FE-40B3-908D-E7E6A42206C7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149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やがさき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やがさき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148</v>
      </c>
      <c r="F4" s="8" t="s">
        <v>145</v>
      </c>
      <c r="G4" s="9">
        <v>-3900</v>
      </c>
      <c r="H4" s="9"/>
      <c r="I4" s="55">
        <v>0</v>
      </c>
      <c r="J4" s="21">
        <f>IF(COUNTA($F4,$K4,$P4)&gt;0,J3+SUM(G4:I4),"")</f>
        <v>31100</v>
      </c>
      <c r="K4" s="8" t="s">
        <v>145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 t="s">
        <v>146</v>
      </c>
      <c r="Q4" s="9">
        <v>7800</v>
      </c>
      <c r="R4" s="9"/>
      <c r="S4" s="55">
        <v>0</v>
      </c>
      <c r="T4" s="21">
        <f>IF(COUNTA($F4,$K4,$P4)&gt;0,T3+SUM(Q4:S4),"")</f>
        <v>42800</v>
      </c>
      <c r="U4" s="60">
        <f t="shared" ref="U4:U30" si="0">IF($J4="","",ROUND(($J4-$J$3)/1000,1))</f>
        <v>-3.9</v>
      </c>
      <c r="V4" s="61">
        <f t="shared" ref="V4:V30" si="1">IF($O4="","",ROUND(($O4-$O$3)/1000,1))</f>
        <v>-3.9</v>
      </c>
      <c r="W4" s="62">
        <f t="shared" ref="W4:W30" si="2">IF($T4="","",ROUND(($T4-$T$3)/1000,1))</f>
        <v>7.8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4</v>
      </c>
      <c r="BT4" s="36">
        <v>20</v>
      </c>
      <c r="BU4" s="47" t="s">
        <v>143</v>
      </c>
      <c r="BV4" s="48" t="s">
        <v>83</v>
      </c>
      <c r="BW4" s="48" t="s">
        <v>84</v>
      </c>
      <c r="BX4" s="48" t="s">
        <v>81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148</v>
      </c>
      <c r="F5" s="8" t="s">
        <v>152</v>
      </c>
      <c r="G5" s="9">
        <v>-3000</v>
      </c>
      <c r="H5" s="9"/>
      <c r="I5" s="55"/>
      <c r="J5" s="21">
        <f t="shared" ref="J5:J30" si="6">IF(COUNTA($F5,$K5,$P5)&gt;0,J4+SUM(G5:I5),"")</f>
        <v>28100</v>
      </c>
      <c r="K5" s="8" t="s">
        <v>152</v>
      </c>
      <c r="L5" s="9">
        <v>1500</v>
      </c>
      <c r="M5" s="9">
        <v>-1000</v>
      </c>
      <c r="N5" s="55"/>
      <c r="O5" s="21">
        <f t="shared" ref="O5:O30" si="7">IF(COUNTA($F5,$K5,$P5)&gt;0,O4+SUM(L5:N5),"")</f>
        <v>31600</v>
      </c>
      <c r="P5" s="8" t="s">
        <v>152</v>
      </c>
      <c r="Q5" s="9">
        <v>1500</v>
      </c>
      <c r="R5" s="9"/>
      <c r="S5" s="55"/>
      <c r="T5" s="21">
        <f t="shared" ref="T5:T30" si="8">IF(COUNTA($F5,$K5,$P5)&gt;0,T4+SUM(Q5:S5),"")</f>
        <v>44300</v>
      </c>
      <c r="U5" s="60">
        <f t="shared" si="0"/>
        <v>-6.9</v>
      </c>
      <c r="V5" s="61">
        <f t="shared" si="1"/>
        <v>-3.4</v>
      </c>
      <c r="W5" s="62">
        <f t="shared" si="2"/>
        <v>9.3000000000000007</v>
      </c>
      <c r="Y5" s="8" t="s">
        <v>150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151</v>
      </c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151</v>
      </c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1</v>
      </c>
      <c r="E6" s="4" t="s">
        <v>148</v>
      </c>
      <c r="F6" s="8" t="s">
        <v>141</v>
      </c>
      <c r="G6" s="9">
        <v>16000</v>
      </c>
      <c r="H6" s="9">
        <v>1000</v>
      </c>
      <c r="I6" s="55">
        <v>2000</v>
      </c>
      <c r="J6" s="21">
        <f t="shared" si="6"/>
        <v>47100</v>
      </c>
      <c r="K6" s="8"/>
      <c r="L6" s="9"/>
      <c r="M6" s="9"/>
      <c r="N6" s="55"/>
      <c r="O6" s="21">
        <f t="shared" si="7"/>
        <v>31600</v>
      </c>
      <c r="P6" s="8" t="s">
        <v>142</v>
      </c>
      <c r="Q6" s="9">
        <v>-16000</v>
      </c>
      <c r="R6" s="9"/>
      <c r="S6" s="55">
        <v>-2000</v>
      </c>
      <c r="T6" s="21">
        <f t="shared" si="8"/>
        <v>26300</v>
      </c>
      <c r="U6" s="60">
        <f t="shared" si="0"/>
        <v>12.1</v>
      </c>
      <c r="V6" s="61">
        <f t="shared" si="1"/>
        <v>-3.4</v>
      </c>
      <c r="W6" s="62">
        <f t="shared" si="2"/>
        <v>-8.6999999999999993</v>
      </c>
      <c r="Y6" s="8"/>
      <c r="Z6" s="41"/>
      <c r="AA6" s="32">
        <v>1</v>
      </c>
      <c r="AB6" s="32"/>
      <c r="AC6" s="32">
        <v>8</v>
      </c>
      <c r="AD6" s="36" t="s">
        <v>144</v>
      </c>
      <c r="AE6" s="47" t="s">
        <v>143</v>
      </c>
      <c r="AF6" s="48" t="s">
        <v>105</v>
      </c>
      <c r="AG6" s="48" t="s">
        <v>87</v>
      </c>
      <c r="AH6" s="48" t="s">
        <v>87</v>
      </c>
      <c r="AI6" s="48" t="s">
        <v>82</v>
      </c>
      <c r="AJ6" s="48" t="s">
        <v>80</v>
      </c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142</v>
      </c>
      <c r="G7" s="9">
        <v>-8000</v>
      </c>
      <c r="H7" s="9">
        <v>-1000</v>
      </c>
      <c r="I7" s="55">
        <v>0</v>
      </c>
      <c r="J7" s="21">
        <f t="shared" si="6"/>
        <v>38100</v>
      </c>
      <c r="K7" s="8"/>
      <c r="L7" s="9"/>
      <c r="M7" s="9"/>
      <c r="N7" s="55"/>
      <c r="O7" s="21">
        <f t="shared" si="7"/>
        <v>31600</v>
      </c>
      <c r="P7" s="8" t="s">
        <v>141</v>
      </c>
      <c r="Q7" s="9">
        <v>8000</v>
      </c>
      <c r="R7" s="9">
        <v>1000</v>
      </c>
      <c r="S7" s="55">
        <v>0</v>
      </c>
      <c r="T7" s="21">
        <f t="shared" si="8"/>
        <v>35300</v>
      </c>
      <c r="U7" s="60">
        <f t="shared" si="0"/>
        <v>3.1</v>
      </c>
      <c r="V7" s="61">
        <f t="shared" si="1"/>
        <v>-3.4</v>
      </c>
      <c r="W7" s="62">
        <f t="shared" si="2"/>
        <v>0.3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144</v>
      </c>
      <c r="BU7" s="47" t="s">
        <v>143</v>
      </c>
      <c r="BV7" s="48" t="s">
        <v>105</v>
      </c>
      <c r="BW7" s="48" t="s">
        <v>87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145</v>
      </c>
      <c r="G8" s="9">
        <v>-3000</v>
      </c>
      <c r="H8" s="9"/>
      <c r="I8" s="55">
        <v>0</v>
      </c>
      <c r="J8" s="21">
        <f t="shared" si="6"/>
        <v>35100</v>
      </c>
      <c r="K8" s="8" t="s">
        <v>145</v>
      </c>
      <c r="L8" s="9">
        <v>-5000</v>
      </c>
      <c r="M8" s="9"/>
      <c r="N8" s="55">
        <v>0</v>
      </c>
      <c r="O8" s="21">
        <f t="shared" si="7"/>
        <v>26600</v>
      </c>
      <c r="P8" s="8" t="s">
        <v>146</v>
      </c>
      <c r="Q8" s="9">
        <v>8000</v>
      </c>
      <c r="R8" s="9"/>
      <c r="S8" s="55">
        <v>0</v>
      </c>
      <c r="T8" s="21">
        <f t="shared" si="8"/>
        <v>43300</v>
      </c>
      <c r="U8" s="60">
        <f t="shared" si="0"/>
        <v>0.1</v>
      </c>
      <c r="V8" s="61">
        <f t="shared" si="1"/>
        <v>-8.4</v>
      </c>
      <c r="W8" s="62">
        <f t="shared" si="2"/>
        <v>8.3000000000000007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144</v>
      </c>
      <c r="BU8" s="47" t="s">
        <v>143</v>
      </c>
      <c r="BV8" s="48" t="s">
        <v>147</v>
      </c>
      <c r="BW8" s="48" t="s">
        <v>87</v>
      </c>
      <c r="BX8" s="48" t="s">
        <v>80</v>
      </c>
      <c r="BY8" s="48" t="s">
        <v>82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148</v>
      </c>
      <c r="F9" s="8" t="s">
        <v>141</v>
      </c>
      <c r="G9" s="9">
        <v>12000</v>
      </c>
      <c r="H9" s="9"/>
      <c r="I9" s="55">
        <v>0</v>
      </c>
      <c r="J9" s="21">
        <f t="shared" si="6"/>
        <v>47100</v>
      </c>
      <c r="K9" s="8"/>
      <c r="L9" s="9"/>
      <c r="M9" s="9"/>
      <c r="N9" s="55"/>
      <c r="O9" s="21">
        <f t="shared" si="7"/>
        <v>26600</v>
      </c>
      <c r="P9" s="8" t="s">
        <v>142</v>
      </c>
      <c r="Q9" s="9">
        <v>-12000</v>
      </c>
      <c r="R9" s="9"/>
      <c r="S9" s="55">
        <v>0</v>
      </c>
      <c r="T9" s="21">
        <f t="shared" si="8"/>
        <v>31300</v>
      </c>
      <c r="U9" s="60">
        <f t="shared" si="0"/>
        <v>12.1</v>
      </c>
      <c r="V9" s="61">
        <f t="shared" si="1"/>
        <v>-8.4</v>
      </c>
      <c r="W9" s="62">
        <f t="shared" si="2"/>
        <v>-3.7</v>
      </c>
      <c r="Y9" s="8"/>
      <c r="Z9" s="41"/>
      <c r="AA9" s="32">
        <v>1</v>
      </c>
      <c r="AB9" s="32"/>
      <c r="AC9" s="32">
        <v>7</v>
      </c>
      <c r="AD9" s="36" t="s">
        <v>144</v>
      </c>
      <c r="AE9" s="47" t="s">
        <v>143</v>
      </c>
      <c r="AF9" s="48" t="s">
        <v>147</v>
      </c>
      <c r="AG9" s="48" t="s">
        <v>105</v>
      </c>
      <c r="AH9" s="48" t="s">
        <v>82</v>
      </c>
      <c r="AI9" s="48" t="s">
        <v>82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152</v>
      </c>
      <c r="G10" s="9">
        <v>1500</v>
      </c>
      <c r="H10" s="9">
        <v>-1000</v>
      </c>
      <c r="I10" s="55"/>
      <c r="J10" s="21">
        <f t="shared" si="6"/>
        <v>47600</v>
      </c>
      <c r="K10" s="8" t="s">
        <v>152</v>
      </c>
      <c r="L10" s="9">
        <v>1500</v>
      </c>
      <c r="M10" s="9"/>
      <c r="N10" s="55"/>
      <c r="O10" s="21">
        <f t="shared" si="7"/>
        <v>28100</v>
      </c>
      <c r="P10" s="8" t="s">
        <v>152</v>
      </c>
      <c r="Q10" s="9">
        <v>-3000</v>
      </c>
      <c r="R10" s="9"/>
      <c r="S10" s="55"/>
      <c r="T10" s="21">
        <f t="shared" si="8"/>
        <v>28300</v>
      </c>
      <c r="U10" s="60">
        <f t="shared" si="0"/>
        <v>12.6</v>
      </c>
      <c r="V10" s="61">
        <f t="shared" si="1"/>
        <v>-6.9</v>
      </c>
      <c r="W10" s="62">
        <f t="shared" si="2"/>
        <v>-6.7</v>
      </c>
      <c r="Y10" s="8" t="s">
        <v>151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151</v>
      </c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150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1</v>
      </c>
      <c r="D11" s="18">
        <f t="shared" si="5"/>
        <v>1</v>
      </c>
      <c r="E11" s="4" t="s">
        <v>135</v>
      </c>
      <c r="F11" s="8" t="s">
        <v>145</v>
      </c>
      <c r="G11" s="9">
        <v>-5000</v>
      </c>
      <c r="H11" s="9"/>
      <c r="I11" s="55">
        <v>-500</v>
      </c>
      <c r="J11" s="21">
        <f t="shared" si="6"/>
        <v>42100</v>
      </c>
      <c r="K11" s="8" t="s">
        <v>146</v>
      </c>
      <c r="L11" s="9">
        <v>8000</v>
      </c>
      <c r="M11" s="9">
        <v>1000</v>
      </c>
      <c r="N11" s="55">
        <v>1000</v>
      </c>
      <c r="O11" s="21">
        <f t="shared" si="7"/>
        <v>38100</v>
      </c>
      <c r="P11" s="8" t="s">
        <v>145</v>
      </c>
      <c r="Q11" s="9">
        <v>-3000</v>
      </c>
      <c r="R11" s="9"/>
      <c r="S11" s="55">
        <v>-500</v>
      </c>
      <c r="T11" s="21">
        <f t="shared" si="8"/>
        <v>24800</v>
      </c>
      <c r="U11" s="60">
        <f t="shared" si="0"/>
        <v>7.1</v>
      </c>
      <c r="V11" s="61">
        <f t="shared" si="1"/>
        <v>3.1</v>
      </c>
      <c r="W11" s="62">
        <f t="shared" si="2"/>
        <v>-10.199999999999999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5</v>
      </c>
      <c r="AY11" s="36" t="s">
        <v>144</v>
      </c>
      <c r="AZ11" s="47" t="s">
        <v>87</v>
      </c>
      <c r="BA11" s="48" t="s">
        <v>80</v>
      </c>
      <c r="BB11" s="48" t="s">
        <v>82</v>
      </c>
      <c r="BC11" s="48" t="s">
        <v>82</v>
      </c>
      <c r="BD11" s="48" t="s">
        <v>83</v>
      </c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139</v>
      </c>
      <c r="F12" s="8"/>
      <c r="G12" s="9"/>
      <c r="H12" s="9"/>
      <c r="I12" s="55"/>
      <c r="J12" s="21">
        <f t="shared" si="6"/>
        <v>42100</v>
      </c>
      <c r="K12" s="8" t="s">
        <v>141</v>
      </c>
      <c r="L12" s="9">
        <v>2900</v>
      </c>
      <c r="M12" s="9"/>
      <c r="N12" s="55">
        <v>0</v>
      </c>
      <c r="O12" s="21">
        <f t="shared" si="7"/>
        <v>41000</v>
      </c>
      <c r="P12" s="8" t="s">
        <v>142</v>
      </c>
      <c r="Q12" s="9">
        <v>-2900</v>
      </c>
      <c r="R12" s="9"/>
      <c r="S12" s="55">
        <v>0</v>
      </c>
      <c r="T12" s="21">
        <f t="shared" si="8"/>
        <v>21900</v>
      </c>
      <c r="U12" s="60">
        <f t="shared" si="0"/>
        <v>7.1</v>
      </c>
      <c r="V12" s="61">
        <f t="shared" si="1"/>
        <v>6</v>
      </c>
      <c r="W12" s="62">
        <f t="shared" si="2"/>
        <v>-13.1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2</v>
      </c>
      <c r="AY12" s="36">
        <v>30</v>
      </c>
      <c r="AZ12" s="47" t="s">
        <v>87</v>
      </c>
      <c r="BA12" s="48" t="s">
        <v>87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1</v>
      </c>
      <c r="D13" s="18">
        <f t="shared" si="5"/>
        <v>0</v>
      </c>
      <c r="E13" s="4" t="s">
        <v>139</v>
      </c>
      <c r="F13" s="8"/>
      <c r="G13" s="9"/>
      <c r="H13" s="9"/>
      <c r="I13" s="55"/>
      <c r="J13" s="21">
        <f t="shared" si="6"/>
        <v>42100</v>
      </c>
      <c r="K13" s="8" t="s">
        <v>142</v>
      </c>
      <c r="L13" s="9">
        <v>-12000</v>
      </c>
      <c r="M13" s="9">
        <v>-1000</v>
      </c>
      <c r="N13" s="55">
        <v>-1000</v>
      </c>
      <c r="O13" s="21">
        <f t="shared" si="7"/>
        <v>27000</v>
      </c>
      <c r="P13" s="8" t="s">
        <v>141</v>
      </c>
      <c r="Q13" s="9">
        <v>12000</v>
      </c>
      <c r="R13" s="9">
        <v>1000</v>
      </c>
      <c r="S13" s="55">
        <v>1000</v>
      </c>
      <c r="T13" s="21">
        <f t="shared" si="8"/>
        <v>35900</v>
      </c>
      <c r="U13" s="60">
        <f t="shared" si="0"/>
        <v>7.1</v>
      </c>
      <c r="V13" s="61">
        <f t="shared" si="1"/>
        <v>-8</v>
      </c>
      <c r="W13" s="62">
        <f t="shared" si="2"/>
        <v>0.9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6</v>
      </c>
      <c r="BT13" s="36" t="s">
        <v>144</v>
      </c>
      <c r="BU13" s="47" t="s">
        <v>92</v>
      </c>
      <c r="BV13" s="48" t="s">
        <v>82</v>
      </c>
      <c r="BW13" s="48" t="s">
        <v>80</v>
      </c>
      <c r="BX13" s="48" t="s">
        <v>81</v>
      </c>
      <c r="BY13" s="48" t="s">
        <v>80</v>
      </c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69FD4E27-D70B-4E80-8A63-EEA7099BA6A4}">
      <formula1>$U$2:$W$2</formula1>
    </dataValidation>
    <dataValidation type="list" showInputMessage="1" showErrorMessage="1" sqref="K4:K30 P4:P30 F4:F30" xr:uid="{93CA8987-6C98-414F-B4C6-8EF60ABDC7B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50A9-4E66-4FA4-BD0A-22BAC22A317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149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148</v>
      </c>
      <c r="F4" s="8" t="s">
        <v>145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146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145</v>
      </c>
      <c r="Q4" s="9">
        <v>-5000</v>
      </c>
      <c r="R4" s="9"/>
      <c r="S4" s="55">
        <v>0</v>
      </c>
      <c r="T4" s="21">
        <f>IF(COUNTA($F4,$K4,$P4)&gt;0,T3+SUM(Q4:S4),"")</f>
        <v>30000</v>
      </c>
      <c r="U4" s="60">
        <f t="shared" ref="U4:U30" si="0">IF($J4="","",ROUND(($J4-$J$3)/1000,1))</f>
        <v>-3</v>
      </c>
      <c r="V4" s="61">
        <f t="shared" ref="V4:V30" si="1">IF($O4="","",ROUND(($O4-$O$3)/1000,1))</f>
        <v>8</v>
      </c>
      <c r="W4" s="62">
        <f t="shared" ref="W4:W30" si="2">IF($T4="","",ROUND(($T4-$T$3)/1000,1))</f>
        <v>-5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5</v>
      </c>
      <c r="AY4" s="36" t="s">
        <v>144</v>
      </c>
      <c r="AZ4" s="47" t="s">
        <v>105</v>
      </c>
      <c r="BA4" s="48" t="s">
        <v>87</v>
      </c>
      <c r="BB4" s="48" t="s">
        <v>87</v>
      </c>
      <c r="BC4" s="48" t="s">
        <v>80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145</v>
      </c>
      <c r="G5" s="9">
        <v>-10000</v>
      </c>
      <c r="H5" s="9"/>
      <c r="I5" s="55">
        <v>0</v>
      </c>
      <c r="J5" s="21">
        <f t="shared" ref="J5:J30" si="6">IF(COUNTA($F5,$K5,$P5)&gt;0,J4+SUM(G5:I5),"")</f>
        <v>22000</v>
      </c>
      <c r="K5" s="8" t="s">
        <v>145</v>
      </c>
      <c r="L5" s="9">
        <v>-6000</v>
      </c>
      <c r="M5" s="9"/>
      <c r="N5" s="55">
        <v>0</v>
      </c>
      <c r="O5" s="21">
        <f t="shared" ref="O5:O30" si="7">IF(COUNTA($F5,$K5,$P5)&gt;0,O4+SUM(L5:N5),"")</f>
        <v>37000</v>
      </c>
      <c r="P5" s="8" t="s">
        <v>146</v>
      </c>
      <c r="Q5" s="9">
        <v>16000</v>
      </c>
      <c r="R5" s="9"/>
      <c r="S5" s="55">
        <v>0</v>
      </c>
      <c r="T5" s="21">
        <f t="shared" ref="T5:T30" si="8">IF(COUNTA($F5,$K5,$P5)&gt;0,T4+SUM(Q5:S5),"")</f>
        <v>46000</v>
      </c>
      <c r="U5" s="60">
        <f t="shared" si="0"/>
        <v>-13</v>
      </c>
      <c r="V5" s="61">
        <f t="shared" si="1"/>
        <v>2</v>
      </c>
      <c r="W5" s="62">
        <f t="shared" si="2"/>
        <v>11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8</v>
      </c>
      <c r="BT5" s="36" t="s">
        <v>144</v>
      </c>
      <c r="BU5" s="47" t="s">
        <v>143</v>
      </c>
      <c r="BV5" s="48" t="s">
        <v>83</v>
      </c>
      <c r="BW5" s="48" t="s">
        <v>147</v>
      </c>
      <c r="BX5" s="48" t="s">
        <v>93</v>
      </c>
      <c r="BY5" s="48" t="s">
        <v>82</v>
      </c>
      <c r="BZ5" s="48" t="s">
        <v>82</v>
      </c>
      <c r="CA5" s="48" t="s">
        <v>82</v>
      </c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137</v>
      </c>
      <c r="F6" s="8" t="s">
        <v>145</v>
      </c>
      <c r="G6" s="9">
        <v>-800</v>
      </c>
      <c r="H6" s="9"/>
      <c r="I6" s="55">
        <v>0</v>
      </c>
      <c r="J6" s="21">
        <f t="shared" si="6"/>
        <v>21200</v>
      </c>
      <c r="K6" s="8" t="s">
        <v>145</v>
      </c>
      <c r="L6" s="9">
        <v>-1300</v>
      </c>
      <c r="M6" s="9"/>
      <c r="N6" s="55">
        <v>0</v>
      </c>
      <c r="O6" s="21">
        <f t="shared" si="7"/>
        <v>35700</v>
      </c>
      <c r="P6" s="8" t="s">
        <v>146</v>
      </c>
      <c r="Q6" s="9">
        <v>2100</v>
      </c>
      <c r="R6" s="9"/>
      <c r="S6" s="55">
        <v>0</v>
      </c>
      <c r="T6" s="21">
        <f t="shared" si="8"/>
        <v>48100</v>
      </c>
      <c r="U6" s="60">
        <f t="shared" si="0"/>
        <v>-13.8</v>
      </c>
      <c r="V6" s="61">
        <f t="shared" si="1"/>
        <v>0.7</v>
      </c>
      <c r="W6" s="62">
        <f t="shared" si="2"/>
        <v>13.1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2</v>
      </c>
      <c r="BT6" s="36">
        <v>30</v>
      </c>
      <c r="BU6" s="47" t="s">
        <v>83</v>
      </c>
      <c r="BV6" s="48" t="s">
        <v>87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148</v>
      </c>
      <c r="F7" s="8" t="s">
        <v>145</v>
      </c>
      <c r="G7" s="9">
        <v>-4500</v>
      </c>
      <c r="H7" s="9"/>
      <c r="I7" s="55">
        <v>0</v>
      </c>
      <c r="J7" s="21">
        <f t="shared" si="6"/>
        <v>16700</v>
      </c>
      <c r="K7" s="8" t="s">
        <v>146</v>
      </c>
      <c r="L7" s="9">
        <v>12000</v>
      </c>
      <c r="M7" s="9"/>
      <c r="N7" s="55">
        <v>0</v>
      </c>
      <c r="O7" s="21">
        <f t="shared" si="7"/>
        <v>47700</v>
      </c>
      <c r="P7" s="8" t="s">
        <v>145</v>
      </c>
      <c r="Q7" s="9">
        <v>-7500</v>
      </c>
      <c r="R7" s="9"/>
      <c r="S7" s="55">
        <v>0</v>
      </c>
      <c r="T7" s="21">
        <f t="shared" si="8"/>
        <v>40600</v>
      </c>
      <c r="U7" s="60">
        <f t="shared" si="0"/>
        <v>-18.3</v>
      </c>
      <c r="V7" s="61">
        <f t="shared" si="1"/>
        <v>12.7</v>
      </c>
      <c r="W7" s="62">
        <f t="shared" si="2"/>
        <v>5.6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6</v>
      </c>
      <c r="AY7" s="36" t="s">
        <v>144</v>
      </c>
      <c r="AZ7" s="47" t="s">
        <v>143</v>
      </c>
      <c r="BA7" s="48" t="s">
        <v>83</v>
      </c>
      <c r="BB7" s="48" t="s">
        <v>87</v>
      </c>
      <c r="BC7" s="48" t="s">
        <v>80</v>
      </c>
      <c r="BD7" s="48" t="s">
        <v>80</v>
      </c>
      <c r="BE7" s="48" t="s">
        <v>80</v>
      </c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135</v>
      </c>
      <c r="F8" s="8" t="s">
        <v>146</v>
      </c>
      <c r="G8" s="9">
        <v>12000</v>
      </c>
      <c r="H8" s="9">
        <v>1000</v>
      </c>
      <c r="I8" s="55">
        <v>0</v>
      </c>
      <c r="J8" s="21">
        <f t="shared" si="6"/>
        <v>29700</v>
      </c>
      <c r="K8" s="8" t="s">
        <v>145</v>
      </c>
      <c r="L8" s="9">
        <v>-6000</v>
      </c>
      <c r="M8" s="9"/>
      <c r="N8" s="55">
        <v>0</v>
      </c>
      <c r="O8" s="21">
        <f t="shared" si="7"/>
        <v>41700</v>
      </c>
      <c r="P8" s="8" t="s">
        <v>145</v>
      </c>
      <c r="Q8" s="9">
        <v>-6000</v>
      </c>
      <c r="R8" s="9">
        <v>-1000</v>
      </c>
      <c r="S8" s="55">
        <v>0</v>
      </c>
      <c r="T8" s="21">
        <f t="shared" si="8"/>
        <v>33600</v>
      </c>
      <c r="U8" s="60">
        <f t="shared" si="0"/>
        <v>-5.3</v>
      </c>
      <c r="V8" s="61">
        <f t="shared" si="1"/>
        <v>6.7</v>
      </c>
      <c r="W8" s="62">
        <f t="shared" si="2"/>
        <v>-1.4</v>
      </c>
      <c r="Y8" s="8"/>
      <c r="Z8" s="41"/>
      <c r="AA8" s="32"/>
      <c r="AB8" s="32"/>
      <c r="AC8" s="32">
        <v>4</v>
      </c>
      <c r="AD8" s="36">
        <v>30</v>
      </c>
      <c r="AE8" s="47" t="s">
        <v>87</v>
      </c>
      <c r="AF8" s="48" t="s">
        <v>87</v>
      </c>
      <c r="AG8" s="48" t="s">
        <v>94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1</v>
      </c>
      <c r="D9" s="18">
        <f t="shared" si="5"/>
        <v>0</v>
      </c>
      <c r="E9" s="4" t="s">
        <v>135</v>
      </c>
      <c r="F9" s="8" t="s">
        <v>145</v>
      </c>
      <c r="G9" s="9">
        <v>-7500</v>
      </c>
      <c r="H9" s="9"/>
      <c r="I9" s="55">
        <v>-500</v>
      </c>
      <c r="J9" s="21">
        <f t="shared" si="6"/>
        <v>21700</v>
      </c>
      <c r="K9" s="8" t="s">
        <v>145</v>
      </c>
      <c r="L9" s="9">
        <v>-4500</v>
      </c>
      <c r="M9" s="9"/>
      <c r="N9" s="55">
        <v>-500</v>
      </c>
      <c r="O9" s="21">
        <f t="shared" si="7"/>
        <v>36700</v>
      </c>
      <c r="P9" s="8" t="s">
        <v>146</v>
      </c>
      <c r="Q9" s="9">
        <v>12000</v>
      </c>
      <c r="R9" s="9"/>
      <c r="S9" s="55">
        <v>1000</v>
      </c>
      <c r="T9" s="21">
        <f t="shared" si="8"/>
        <v>46600</v>
      </c>
      <c r="U9" s="60">
        <f t="shared" si="0"/>
        <v>-13.3</v>
      </c>
      <c r="V9" s="61">
        <f t="shared" si="1"/>
        <v>1.7</v>
      </c>
      <c r="W9" s="62">
        <f t="shared" si="2"/>
        <v>11.6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6</v>
      </c>
      <c r="BT9" s="36" t="s">
        <v>144</v>
      </c>
      <c r="BU9" s="47" t="s">
        <v>83</v>
      </c>
      <c r="BV9" s="48" t="s">
        <v>82</v>
      </c>
      <c r="BW9" s="48" t="s">
        <v>80</v>
      </c>
      <c r="BX9" s="48" t="s">
        <v>80</v>
      </c>
      <c r="BY9" s="48" t="s">
        <v>102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137</v>
      </c>
      <c r="F10" s="8"/>
      <c r="G10" s="9"/>
      <c r="H10" s="9"/>
      <c r="I10" s="55"/>
      <c r="J10" s="21">
        <f t="shared" si="6"/>
        <v>21700</v>
      </c>
      <c r="K10" s="8" t="s">
        <v>141</v>
      </c>
      <c r="L10" s="9">
        <v>2900</v>
      </c>
      <c r="M10" s="9"/>
      <c r="N10" s="55">
        <v>0</v>
      </c>
      <c r="O10" s="21">
        <f t="shared" si="7"/>
        <v>39600</v>
      </c>
      <c r="P10" s="8" t="s">
        <v>142</v>
      </c>
      <c r="Q10" s="9">
        <v>-2900</v>
      </c>
      <c r="R10" s="9"/>
      <c r="S10" s="55">
        <v>0</v>
      </c>
      <c r="T10" s="21">
        <f t="shared" si="8"/>
        <v>43700</v>
      </c>
      <c r="U10" s="60">
        <f t="shared" si="0"/>
        <v>-13.3</v>
      </c>
      <c r="V10" s="61">
        <f t="shared" si="1"/>
        <v>4.5999999999999996</v>
      </c>
      <c r="W10" s="62">
        <f t="shared" si="2"/>
        <v>8.6999999999999993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2</v>
      </c>
      <c r="AY10" s="36">
        <v>30</v>
      </c>
      <c r="AZ10" s="47" t="s">
        <v>87</v>
      </c>
      <c r="BA10" s="48" t="s">
        <v>82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1</v>
      </c>
      <c r="D11" s="18">
        <f t="shared" si="5"/>
        <v>0</v>
      </c>
      <c r="E11" s="4" t="s">
        <v>137</v>
      </c>
      <c r="F11" s="8" t="s">
        <v>146</v>
      </c>
      <c r="G11" s="9">
        <v>32000</v>
      </c>
      <c r="H11" s="9"/>
      <c r="I11" s="55">
        <v>1000</v>
      </c>
      <c r="J11" s="21">
        <f t="shared" si="6"/>
        <v>54700</v>
      </c>
      <c r="K11" s="8" t="s">
        <v>145</v>
      </c>
      <c r="L11" s="9">
        <v>-20000</v>
      </c>
      <c r="M11" s="9"/>
      <c r="N11" s="55">
        <v>-500</v>
      </c>
      <c r="O11" s="21">
        <f t="shared" si="7"/>
        <v>19100</v>
      </c>
      <c r="P11" s="8" t="s">
        <v>145</v>
      </c>
      <c r="Q11" s="9">
        <v>-12000</v>
      </c>
      <c r="R11" s="9"/>
      <c r="S11" s="55">
        <v>-500</v>
      </c>
      <c r="T11" s="21">
        <f t="shared" si="8"/>
        <v>31200</v>
      </c>
      <c r="U11" s="60">
        <f t="shared" si="0"/>
        <v>19.7</v>
      </c>
      <c r="V11" s="61">
        <f t="shared" si="1"/>
        <v>-15.9</v>
      </c>
      <c r="W11" s="62">
        <f t="shared" si="2"/>
        <v>-3.8</v>
      </c>
      <c r="Y11" s="8"/>
      <c r="Z11" s="41"/>
      <c r="AA11" s="32"/>
      <c r="AB11" s="32">
        <v>1</v>
      </c>
      <c r="AC11" s="32">
        <v>13</v>
      </c>
      <c r="AD11" s="36" t="s">
        <v>144</v>
      </c>
      <c r="AE11" s="47" t="s">
        <v>111</v>
      </c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C98B25AA-509F-423D-9773-7F2A21D4127B}">
      <formula1>"ロン,ツモ,放銃,ツモ支払,流局,チョンボ"</formula1>
    </dataValidation>
    <dataValidation type="list" allowBlank="1" showInputMessage="1" showErrorMessage="1" sqref="E4:E30" xr:uid="{DF5897BE-D52D-4908-8AC3-A6DEF95FC6A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B3D8A-3FD6-400B-98CC-7BC93BA3A98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154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やがさき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やがさき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18000</v>
      </c>
      <c r="M4" s="9"/>
      <c r="N4" s="55">
        <v>0</v>
      </c>
      <c r="O4" s="21">
        <f>IF(COUNTA($F4,$K4,$P4)&gt;0,O3+SUM(L4:N4),"")</f>
        <v>53000</v>
      </c>
      <c r="P4" s="8" t="s">
        <v>142</v>
      </c>
      <c r="Q4" s="9">
        <v>-18000</v>
      </c>
      <c r="R4" s="9"/>
      <c r="S4" s="55">
        <v>0</v>
      </c>
      <c r="T4" s="21">
        <f>IF(COUNTA($F4,$K4,$P4)&gt;0,T3+SUM(Q4:S4),"")</f>
        <v>17000</v>
      </c>
      <c r="U4" s="60">
        <f t="shared" ref="U4:U30" si="0">IF($J4="","",ROUND(($J4-$J$3)/1000,1))</f>
        <v>0</v>
      </c>
      <c r="V4" s="61">
        <f t="shared" ref="V4:V30" si="1">IF($O4="","",ROUND(($O4-$O$3)/1000,1))</f>
        <v>18</v>
      </c>
      <c r="W4" s="62">
        <f t="shared" ref="W4:W30" si="2">IF($T4="","",ROUND(($T4-$T$3)/1000,1))</f>
        <v>-18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7</v>
      </c>
      <c r="AY4" s="36" t="s">
        <v>144</v>
      </c>
      <c r="AZ4" s="47" t="s">
        <v>143</v>
      </c>
      <c r="BA4" s="48" t="s">
        <v>147</v>
      </c>
      <c r="BB4" s="48" t="s">
        <v>84</v>
      </c>
      <c r="BC4" s="48" t="s">
        <v>82</v>
      </c>
      <c r="BD4" s="48" t="s">
        <v>82</v>
      </c>
      <c r="BE4" s="48" t="s">
        <v>81</v>
      </c>
      <c r="BF4" s="48" t="s">
        <v>81</v>
      </c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141</v>
      </c>
      <c r="G5" s="9">
        <v>6400</v>
      </c>
      <c r="H5" s="9"/>
      <c r="I5" s="55">
        <v>1000</v>
      </c>
      <c r="J5" s="21">
        <f t="shared" ref="J5:J30" si="6">IF(COUNTA($F5,$K5,$P5)&gt;0,J4+SUM(G5:I5),"")</f>
        <v>42400</v>
      </c>
      <c r="K5" s="8"/>
      <c r="L5" s="9"/>
      <c r="M5" s="9"/>
      <c r="N5" s="55"/>
      <c r="O5" s="21">
        <f t="shared" ref="O5:O30" si="7">IF(COUNTA($F5,$K5,$P5)&gt;0,O4+SUM(L5:N5),"")</f>
        <v>53000</v>
      </c>
      <c r="P5" s="8" t="s">
        <v>142</v>
      </c>
      <c r="Q5" s="9">
        <v>-6400</v>
      </c>
      <c r="R5" s="9"/>
      <c r="S5" s="55">
        <v>-1000</v>
      </c>
      <c r="T5" s="21">
        <f t="shared" ref="T5:T30" si="8">IF(COUNTA($F5,$K5,$P5)&gt;0,T4+SUM(Q5:S5),"")</f>
        <v>9600</v>
      </c>
      <c r="U5" s="60">
        <f t="shared" si="0"/>
        <v>7.4</v>
      </c>
      <c r="V5" s="61">
        <f t="shared" si="1"/>
        <v>18</v>
      </c>
      <c r="W5" s="62">
        <f t="shared" si="2"/>
        <v>-25.4</v>
      </c>
      <c r="Y5" s="8"/>
      <c r="Z5" s="41"/>
      <c r="AA5" s="32"/>
      <c r="AB5" s="32"/>
      <c r="AC5" s="32">
        <v>4</v>
      </c>
      <c r="AD5" s="36">
        <v>25</v>
      </c>
      <c r="AE5" s="47" t="s">
        <v>102</v>
      </c>
      <c r="AF5" s="48" t="s">
        <v>80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153</v>
      </c>
      <c r="F6" s="8" t="s">
        <v>141</v>
      </c>
      <c r="G6" s="9">
        <v>2600</v>
      </c>
      <c r="H6" s="9"/>
      <c r="I6" s="55">
        <v>0</v>
      </c>
      <c r="J6" s="21">
        <f t="shared" si="6"/>
        <v>45000</v>
      </c>
      <c r="K6" s="8" t="s">
        <v>142</v>
      </c>
      <c r="L6" s="9">
        <v>-2600</v>
      </c>
      <c r="M6" s="9"/>
      <c r="N6" s="55">
        <v>0</v>
      </c>
      <c r="O6" s="21">
        <f t="shared" si="7"/>
        <v>50400</v>
      </c>
      <c r="P6" s="8"/>
      <c r="Q6" s="9"/>
      <c r="R6" s="9"/>
      <c r="S6" s="55"/>
      <c r="T6" s="21">
        <f t="shared" si="8"/>
        <v>9600</v>
      </c>
      <c r="U6" s="60">
        <f t="shared" si="0"/>
        <v>10</v>
      </c>
      <c r="V6" s="61">
        <f t="shared" si="1"/>
        <v>15.4</v>
      </c>
      <c r="W6" s="62">
        <f t="shared" si="2"/>
        <v>-25.4</v>
      </c>
      <c r="Y6" s="8"/>
      <c r="Z6" s="41"/>
      <c r="AA6" s="32"/>
      <c r="AB6" s="32"/>
      <c r="AC6" s="32">
        <v>2</v>
      </c>
      <c r="AD6" s="36">
        <v>40</v>
      </c>
      <c r="AE6" s="47" t="s">
        <v>86</v>
      </c>
      <c r="AF6" s="48" t="s">
        <v>82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145</v>
      </c>
      <c r="G7" s="9">
        <v>-5000</v>
      </c>
      <c r="H7" s="9"/>
      <c r="I7" s="55">
        <v>0</v>
      </c>
      <c r="J7" s="21">
        <f t="shared" si="6"/>
        <v>40000</v>
      </c>
      <c r="K7" s="8" t="s">
        <v>145</v>
      </c>
      <c r="L7" s="9">
        <v>-3000</v>
      </c>
      <c r="M7" s="9"/>
      <c r="N7" s="55">
        <v>0</v>
      </c>
      <c r="O7" s="21">
        <f t="shared" si="7"/>
        <v>47400</v>
      </c>
      <c r="P7" s="8" t="s">
        <v>146</v>
      </c>
      <c r="Q7" s="9">
        <v>8000</v>
      </c>
      <c r="R7" s="9"/>
      <c r="S7" s="55">
        <v>0</v>
      </c>
      <c r="T7" s="21">
        <f t="shared" si="8"/>
        <v>17600</v>
      </c>
      <c r="U7" s="60">
        <f t="shared" si="0"/>
        <v>5</v>
      </c>
      <c r="V7" s="61">
        <f t="shared" si="1"/>
        <v>12.4</v>
      </c>
      <c r="W7" s="62">
        <f t="shared" si="2"/>
        <v>-17.399999999999999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144</v>
      </c>
      <c r="BU7" s="47" t="s">
        <v>143</v>
      </c>
      <c r="BV7" s="48" t="s">
        <v>83</v>
      </c>
      <c r="BW7" s="48" t="s">
        <v>82</v>
      </c>
      <c r="BX7" s="48" t="s">
        <v>93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139</v>
      </c>
      <c r="F8" s="8"/>
      <c r="G8" s="9"/>
      <c r="H8" s="9"/>
      <c r="I8" s="55"/>
      <c r="J8" s="21">
        <f t="shared" si="6"/>
        <v>40000</v>
      </c>
      <c r="K8" s="8" t="s">
        <v>142</v>
      </c>
      <c r="L8" s="9">
        <v>-5200</v>
      </c>
      <c r="M8" s="9">
        <v>-1000</v>
      </c>
      <c r="N8" s="55">
        <v>0</v>
      </c>
      <c r="O8" s="21">
        <f t="shared" si="7"/>
        <v>41200</v>
      </c>
      <c r="P8" s="8" t="s">
        <v>141</v>
      </c>
      <c r="Q8" s="9">
        <v>5200</v>
      </c>
      <c r="R8" s="9">
        <v>1000</v>
      </c>
      <c r="S8" s="55">
        <v>0</v>
      </c>
      <c r="T8" s="21">
        <f t="shared" si="8"/>
        <v>23800</v>
      </c>
      <c r="U8" s="60">
        <f t="shared" si="0"/>
        <v>5</v>
      </c>
      <c r="V8" s="61">
        <f t="shared" si="1"/>
        <v>6.2</v>
      </c>
      <c r="W8" s="62">
        <f t="shared" si="2"/>
        <v>-11.2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3</v>
      </c>
      <c r="BT8" s="36">
        <v>40</v>
      </c>
      <c r="BU8" s="47" t="s">
        <v>143</v>
      </c>
      <c r="BV8" s="48" t="s">
        <v>82</v>
      </c>
      <c r="BW8" s="48" t="s">
        <v>80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153</v>
      </c>
      <c r="F9" s="8" t="s">
        <v>146</v>
      </c>
      <c r="G9" s="9">
        <v>12000</v>
      </c>
      <c r="H9" s="9"/>
      <c r="I9" s="55">
        <v>0</v>
      </c>
      <c r="J9" s="21">
        <f t="shared" si="6"/>
        <v>52000</v>
      </c>
      <c r="K9" s="8" t="s">
        <v>145</v>
      </c>
      <c r="L9" s="9">
        <v>-4500</v>
      </c>
      <c r="M9" s="9"/>
      <c r="N9" s="55">
        <v>0</v>
      </c>
      <c r="O9" s="21">
        <f t="shared" si="7"/>
        <v>36700</v>
      </c>
      <c r="P9" s="8" t="s">
        <v>145</v>
      </c>
      <c r="Q9" s="9">
        <v>-7500</v>
      </c>
      <c r="R9" s="9"/>
      <c r="S9" s="55">
        <v>0</v>
      </c>
      <c r="T9" s="21">
        <f t="shared" si="8"/>
        <v>16300</v>
      </c>
      <c r="U9" s="60">
        <f t="shared" si="0"/>
        <v>17</v>
      </c>
      <c r="V9" s="61">
        <f t="shared" si="1"/>
        <v>1.7</v>
      </c>
      <c r="W9" s="62">
        <f t="shared" si="2"/>
        <v>-18.7</v>
      </c>
      <c r="Y9" s="8"/>
      <c r="Z9" s="41"/>
      <c r="AA9" s="32">
        <v>1</v>
      </c>
      <c r="AB9" s="32"/>
      <c r="AC9" s="32">
        <v>7</v>
      </c>
      <c r="AD9" s="36" t="s">
        <v>144</v>
      </c>
      <c r="AE9" s="47" t="s">
        <v>143</v>
      </c>
      <c r="AF9" s="48" t="s">
        <v>83</v>
      </c>
      <c r="AG9" s="48" t="s">
        <v>102</v>
      </c>
      <c r="AH9" s="48" t="s">
        <v>105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141</v>
      </c>
      <c r="G10" s="9">
        <v>5800</v>
      </c>
      <c r="H10" s="9">
        <v>1000</v>
      </c>
      <c r="I10" s="55">
        <v>0</v>
      </c>
      <c r="J10" s="21">
        <f t="shared" si="6"/>
        <v>58800</v>
      </c>
      <c r="K10" s="8"/>
      <c r="L10" s="9"/>
      <c r="M10" s="9"/>
      <c r="N10" s="55"/>
      <c r="O10" s="21">
        <f t="shared" si="7"/>
        <v>36700</v>
      </c>
      <c r="P10" s="8" t="s">
        <v>142</v>
      </c>
      <c r="Q10" s="9">
        <v>-5800</v>
      </c>
      <c r="R10" s="9">
        <v>-1000</v>
      </c>
      <c r="S10" s="55">
        <v>0</v>
      </c>
      <c r="T10" s="21">
        <f t="shared" si="8"/>
        <v>9500</v>
      </c>
      <c r="U10" s="60">
        <f t="shared" si="0"/>
        <v>23.8</v>
      </c>
      <c r="V10" s="61">
        <f t="shared" si="1"/>
        <v>1.7</v>
      </c>
      <c r="W10" s="62">
        <f t="shared" si="2"/>
        <v>-25.5</v>
      </c>
      <c r="Y10" s="8"/>
      <c r="Z10" s="41"/>
      <c r="AA10" s="32">
        <v>1</v>
      </c>
      <c r="AB10" s="32"/>
      <c r="AC10" s="32">
        <v>3</v>
      </c>
      <c r="AD10" s="36">
        <v>30</v>
      </c>
      <c r="AE10" s="47" t="s">
        <v>143</v>
      </c>
      <c r="AF10" s="48" t="s">
        <v>84</v>
      </c>
      <c r="AG10" s="48" t="s">
        <v>81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A0794FD0-B0E5-4C1F-9960-B0885DAB53E3}">
      <formula1>$U$2:$W$2</formula1>
    </dataValidation>
    <dataValidation type="list" showInputMessage="1" showErrorMessage="1" sqref="K4:K30 P4:P30 F4:F30" xr:uid="{3590C71A-5236-4A43-8900-73319A984B0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84461-ACEE-4DA3-9649-3DB1FBDC6A89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154</v>
      </c>
      <c r="L1" s="74"/>
      <c r="M1" s="74"/>
      <c r="N1" s="83"/>
      <c r="O1" s="75"/>
      <c r="P1" s="72" t="s">
        <v>138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やがさき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やがさき</v>
      </c>
      <c r="V2" s="71" t="str">
        <f>$K$1</f>
        <v>りくと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145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145</v>
      </c>
      <c r="L4" s="9">
        <v>-3000</v>
      </c>
      <c r="M4" s="9"/>
      <c r="N4" s="55">
        <v>0</v>
      </c>
      <c r="O4" s="21">
        <f>IF(COUNTA($F4,$K4,$P4)&gt;0,O3+SUM(L4:N4),"")</f>
        <v>32000</v>
      </c>
      <c r="P4" s="8" t="s">
        <v>146</v>
      </c>
      <c r="Q4" s="9">
        <v>6000</v>
      </c>
      <c r="R4" s="9"/>
      <c r="S4" s="55">
        <v>0</v>
      </c>
      <c r="T4" s="21">
        <f>IF(COUNTA($F4,$K4,$P4)&gt;0,T3+SUM(Q4:S4),"")</f>
        <v>41000</v>
      </c>
      <c r="U4" s="60">
        <f t="shared" ref="U4:U30" si="0">IF($J4="","",ROUND(($J4-$J$3)/1000,1))</f>
        <v>-3</v>
      </c>
      <c r="V4" s="61">
        <f t="shared" ref="V4:V30" si="1">IF($O4="","",ROUND(($O4-$O$3)/1000,1))</f>
        <v>-3</v>
      </c>
      <c r="W4" s="62">
        <f t="shared" ref="W4:W30" si="2">IF($T4="","",ROUND(($T4-$T$3)/1000,1))</f>
        <v>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3</v>
      </c>
      <c r="BT4" s="36">
        <v>30</v>
      </c>
      <c r="BU4" s="47" t="s">
        <v>143</v>
      </c>
      <c r="BV4" s="48" t="s">
        <v>83</v>
      </c>
      <c r="BW4" s="48" t="s">
        <v>86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146</v>
      </c>
      <c r="G5" s="9">
        <v>12000</v>
      </c>
      <c r="H5" s="9">
        <v>1000</v>
      </c>
      <c r="I5" s="55">
        <v>1000</v>
      </c>
      <c r="J5" s="21">
        <f t="shared" ref="J5:J30" si="6">IF(COUNTA($F5,$K5,$P5)&gt;0,J4+SUM(G5:I5),"")</f>
        <v>46000</v>
      </c>
      <c r="K5" s="8" t="s">
        <v>145</v>
      </c>
      <c r="L5" s="9">
        <v>-4500</v>
      </c>
      <c r="M5" s="9"/>
      <c r="N5" s="55">
        <v>-500</v>
      </c>
      <c r="O5" s="21">
        <f t="shared" ref="O5:O30" si="7">IF(COUNTA($F5,$K5,$P5)&gt;0,O4+SUM(L5:N5),"")</f>
        <v>27000</v>
      </c>
      <c r="P5" s="8" t="s">
        <v>145</v>
      </c>
      <c r="Q5" s="9">
        <v>-7500</v>
      </c>
      <c r="R5" s="9">
        <v>-1000</v>
      </c>
      <c r="S5" s="55">
        <v>-500</v>
      </c>
      <c r="T5" s="21">
        <f t="shared" ref="T5:T30" si="8">IF(COUNTA($F5,$K5,$P5)&gt;0,T4+SUM(Q5:S5),"")</f>
        <v>32000</v>
      </c>
      <c r="U5" s="60">
        <f t="shared" si="0"/>
        <v>11</v>
      </c>
      <c r="V5" s="61">
        <f t="shared" si="1"/>
        <v>-8</v>
      </c>
      <c r="W5" s="62">
        <f t="shared" si="2"/>
        <v>-3</v>
      </c>
      <c r="Y5" s="8"/>
      <c r="Z5" s="41"/>
      <c r="AA5" s="32">
        <v>1</v>
      </c>
      <c r="AB5" s="32"/>
      <c r="AC5" s="32">
        <v>6</v>
      </c>
      <c r="AD5" s="36" t="s">
        <v>144</v>
      </c>
      <c r="AE5" s="47" t="s">
        <v>143</v>
      </c>
      <c r="AF5" s="48" t="s">
        <v>83</v>
      </c>
      <c r="AG5" s="48" t="s">
        <v>80</v>
      </c>
      <c r="AH5" s="48" t="s">
        <v>81</v>
      </c>
      <c r="AI5" s="48" t="s">
        <v>81</v>
      </c>
      <c r="AJ5" s="48" t="s">
        <v>81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141</v>
      </c>
      <c r="G6" s="9">
        <v>12000</v>
      </c>
      <c r="H6" s="9"/>
      <c r="I6" s="55">
        <v>0</v>
      </c>
      <c r="J6" s="21">
        <f t="shared" si="6"/>
        <v>58000</v>
      </c>
      <c r="K6" s="8" t="s">
        <v>142</v>
      </c>
      <c r="L6" s="9">
        <v>-12000</v>
      </c>
      <c r="M6" s="9"/>
      <c r="N6" s="55">
        <v>0</v>
      </c>
      <c r="O6" s="21">
        <f t="shared" si="7"/>
        <v>15000</v>
      </c>
      <c r="P6" s="8"/>
      <c r="Q6" s="9"/>
      <c r="R6" s="9"/>
      <c r="S6" s="55"/>
      <c r="T6" s="21">
        <f t="shared" si="8"/>
        <v>32000</v>
      </c>
      <c r="U6" s="60">
        <f t="shared" si="0"/>
        <v>23</v>
      </c>
      <c r="V6" s="61">
        <f t="shared" si="1"/>
        <v>-20</v>
      </c>
      <c r="W6" s="62">
        <f t="shared" si="2"/>
        <v>-3</v>
      </c>
      <c r="Y6" s="8"/>
      <c r="Z6" s="41"/>
      <c r="AA6" s="32">
        <v>1</v>
      </c>
      <c r="AB6" s="32"/>
      <c r="AC6" s="32">
        <v>4</v>
      </c>
      <c r="AD6" s="36">
        <v>30</v>
      </c>
      <c r="AE6" s="47" t="s">
        <v>143</v>
      </c>
      <c r="AF6" s="48" t="s">
        <v>84</v>
      </c>
      <c r="AG6" s="48" t="s">
        <v>82</v>
      </c>
      <c r="AH6" s="48" t="s">
        <v>81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0</v>
      </c>
      <c r="E7" s="4" t="s">
        <v>139</v>
      </c>
      <c r="F7" s="8" t="s">
        <v>142</v>
      </c>
      <c r="G7" s="9">
        <v>-8000</v>
      </c>
      <c r="H7" s="9"/>
      <c r="I7" s="55">
        <v>-1000</v>
      </c>
      <c r="J7" s="21">
        <f t="shared" si="6"/>
        <v>49000</v>
      </c>
      <c r="K7" s="8" t="s">
        <v>141</v>
      </c>
      <c r="L7" s="9">
        <v>8000</v>
      </c>
      <c r="M7" s="9"/>
      <c r="N7" s="55">
        <v>1000</v>
      </c>
      <c r="O7" s="21">
        <f t="shared" si="7"/>
        <v>24000</v>
      </c>
      <c r="P7" s="8"/>
      <c r="Q7" s="9"/>
      <c r="R7" s="9"/>
      <c r="S7" s="55"/>
      <c r="T7" s="21">
        <f t="shared" si="8"/>
        <v>32000</v>
      </c>
      <c r="U7" s="60">
        <f t="shared" si="0"/>
        <v>14</v>
      </c>
      <c r="V7" s="61">
        <f t="shared" si="1"/>
        <v>-11</v>
      </c>
      <c r="W7" s="62">
        <f t="shared" si="2"/>
        <v>-3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4</v>
      </c>
      <c r="AY7" s="36">
        <v>30</v>
      </c>
      <c r="AZ7" s="47" t="s">
        <v>87</v>
      </c>
      <c r="BA7" s="48" t="s">
        <v>87</v>
      </c>
      <c r="BB7" s="48" t="s">
        <v>105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153</v>
      </c>
      <c r="F8" s="8" t="s">
        <v>142</v>
      </c>
      <c r="G8" s="9">
        <v>-12000</v>
      </c>
      <c r="H8" s="9"/>
      <c r="I8" s="55">
        <v>0</v>
      </c>
      <c r="J8" s="21">
        <f t="shared" si="6"/>
        <v>37000</v>
      </c>
      <c r="K8" s="8" t="s">
        <v>141</v>
      </c>
      <c r="L8" s="9">
        <v>12000</v>
      </c>
      <c r="M8" s="9"/>
      <c r="N8" s="55">
        <v>0</v>
      </c>
      <c r="O8" s="21">
        <f t="shared" si="7"/>
        <v>36000</v>
      </c>
      <c r="P8" s="8"/>
      <c r="Q8" s="9"/>
      <c r="R8" s="9"/>
      <c r="S8" s="55"/>
      <c r="T8" s="21">
        <f t="shared" si="8"/>
        <v>32000</v>
      </c>
      <c r="U8" s="60">
        <f t="shared" si="0"/>
        <v>2</v>
      </c>
      <c r="V8" s="61">
        <f t="shared" si="1"/>
        <v>1</v>
      </c>
      <c r="W8" s="62">
        <f t="shared" si="2"/>
        <v>-3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144</v>
      </c>
      <c r="AZ8" s="47" t="s">
        <v>143</v>
      </c>
      <c r="BA8" s="48" t="s">
        <v>85</v>
      </c>
      <c r="BB8" s="48" t="s">
        <v>87</v>
      </c>
      <c r="BC8" s="48" t="s">
        <v>81</v>
      </c>
      <c r="BD8" s="48" t="s">
        <v>81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1</v>
      </c>
      <c r="D9" s="18">
        <f t="shared" si="5"/>
        <v>0</v>
      </c>
      <c r="E9" s="4" t="s">
        <v>153</v>
      </c>
      <c r="F9" s="8" t="s">
        <v>146</v>
      </c>
      <c r="G9" s="9">
        <v>8000</v>
      </c>
      <c r="H9" s="9"/>
      <c r="I9" s="55">
        <v>1000</v>
      </c>
      <c r="J9" s="21">
        <f t="shared" si="6"/>
        <v>46000</v>
      </c>
      <c r="K9" s="8" t="s">
        <v>145</v>
      </c>
      <c r="L9" s="9">
        <v>-5000</v>
      </c>
      <c r="M9" s="9"/>
      <c r="N9" s="55">
        <v>-500</v>
      </c>
      <c r="O9" s="21">
        <f t="shared" si="7"/>
        <v>30500</v>
      </c>
      <c r="P9" s="8" t="s">
        <v>145</v>
      </c>
      <c r="Q9" s="9">
        <v>-3000</v>
      </c>
      <c r="R9" s="9"/>
      <c r="S9" s="55">
        <v>-500</v>
      </c>
      <c r="T9" s="21">
        <f t="shared" si="8"/>
        <v>28500</v>
      </c>
      <c r="U9" s="60">
        <f t="shared" si="0"/>
        <v>11</v>
      </c>
      <c r="V9" s="61">
        <f t="shared" si="1"/>
        <v>-4.5</v>
      </c>
      <c r="W9" s="62">
        <f t="shared" si="2"/>
        <v>-6.5</v>
      </c>
      <c r="Y9" s="8"/>
      <c r="Z9" s="41"/>
      <c r="AA9" s="32">
        <v>1</v>
      </c>
      <c r="AB9" s="32"/>
      <c r="AC9" s="32">
        <v>5</v>
      </c>
      <c r="AD9" s="36" t="s">
        <v>144</v>
      </c>
      <c r="AE9" s="47" t="s">
        <v>143</v>
      </c>
      <c r="AF9" s="48" t="s">
        <v>83</v>
      </c>
      <c r="AG9" s="48" t="s">
        <v>82</v>
      </c>
      <c r="AH9" s="48" t="s">
        <v>102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0</v>
      </c>
      <c r="E10" s="4" t="s">
        <v>137</v>
      </c>
      <c r="F10" s="8" t="s">
        <v>146</v>
      </c>
      <c r="G10" s="9">
        <v>8000</v>
      </c>
      <c r="H10" s="9"/>
      <c r="I10" s="55">
        <v>0</v>
      </c>
      <c r="J10" s="21">
        <f t="shared" si="6"/>
        <v>54000</v>
      </c>
      <c r="K10" s="8" t="s">
        <v>145</v>
      </c>
      <c r="L10" s="9">
        <v>-3000</v>
      </c>
      <c r="M10" s="9"/>
      <c r="N10" s="55">
        <v>0</v>
      </c>
      <c r="O10" s="21">
        <f t="shared" si="7"/>
        <v>27500</v>
      </c>
      <c r="P10" s="8" t="s">
        <v>145</v>
      </c>
      <c r="Q10" s="9">
        <v>-5000</v>
      </c>
      <c r="R10" s="9"/>
      <c r="S10" s="55">
        <v>0</v>
      </c>
      <c r="T10" s="21">
        <f t="shared" si="8"/>
        <v>23500</v>
      </c>
      <c r="U10" s="60">
        <f t="shared" si="0"/>
        <v>19</v>
      </c>
      <c r="V10" s="61">
        <f t="shared" si="1"/>
        <v>-7.5</v>
      </c>
      <c r="W10" s="62">
        <f t="shared" si="2"/>
        <v>-11.5</v>
      </c>
      <c r="Y10" s="8"/>
      <c r="Z10" s="41"/>
      <c r="AA10" s="32">
        <v>1</v>
      </c>
      <c r="AB10" s="32"/>
      <c r="AC10" s="32">
        <v>5</v>
      </c>
      <c r="AD10" s="36" t="s">
        <v>144</v>
      </c>
      <c r="AE10" s="47" t="s">
        <v>143</v>
      </c>
      <c r="AF10" s="48" t="s">
        <v>83</v>
      </c>
      <c r="AG10" s="48" t="s">
        <v>82</v>
      </c>
      <c r="AH10" s="48" t="s">
        <v>80</v>
      </c>
      <c r="AI10" s="48" t="s">
        <v>80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139</v>
      </c>
      <c r="F11" s="8" t="s">
        <v>145</v>
      </c>
      <c r="G11" s="9">
        <v>-5000</v>
      </c>
      <c r="H11" s="9"/>
      <c r="I11" s="55">
        <v>0</v>
      </c>
      <c r="J11" s="21">
        <f t="shared" si="6"/>
        <v>49000</v>
      </c>
      <c r="K11" s="8" t="s">
        <v>145</v>
      </c>
      <c r="L11" s="9">
        <v>-3000</v>
      </c>
      <c r="M11" s="9">
        <v>-1000</v>
      </c>
      <c r="N11" s="55">
        <v>0</v>
      </c>
      <c r="O11" s="21">
        <f t="shared" si="7"/>
        <v>23500</v>
      </c>
      <c r="P11" s="8" t="s">
        <v>146</v>
      </c>
      <c r="Q11" s="9">
        <v>8000</v>
      </c>
      <c r="R11" s="9">
        <v>1000</v>
      </c>
      <c r="S11" s="55">
        <v>0</v>
      </c>
      <c r="T11" s="21">
        <f t="shared" si="8"/>
        <v>32500</v>
      </c>
      <c r="U11" s="60">
        <f t="shared" si="0"/>
        <v>14</v>
      </c>
      <c r="V11" s="61">
        <f t="shared" si="1"/>
        <v>-11.5</v>
      </c>
      <c r="W11" s="62">
        <f t="shared" si="2"/>
        <v>-2.5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4</v>
      </c>
      <c r="BT11" s="36">
        <v>30</v>
      </c>
      <c r="BU11" s="47" t="s">
        <v>143</v>
      </c>
      <c r="BV11" s="48" t="s">
        <v>83</v>
      </c>
      <c r="BW11" s="48" t="s">
        <v>82</v>
      </c>
      <c r="BX11" s="48" t="s">
        <v>82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153</v>
      </c>
      <c r="F12" s="8" t="s">
        <v>152</v>
      </c>
      <c r="G12" s="9">
        <v>-1500</v>
      </c>
      <c r="H12" s="9"/>
      <c r="I12" s="55"/>
      <c r="J12" s="21">
        <f t="shared" si="6"/>
        <v>47500</v>
      </c>
      <c r="K12" s="8" t="s">
        <v>152</v>
      </c>
      <c r="L12" s="9">
        <v>3000</v>
      </c>
      <c r="M12" s="9">
        <v>-1000</v>
      </c>
      <c r="N12" s="55"/>
      <c r="O12" s="21">
        <f t="shared" si="7"/>
        <v>25500</v>
      </c>
      <c r="P12" s="8" t="s">
        <v>152</v>
      </c>
      <c r="Q12" s="9">
        <v>-1500</v>
      </c>
      <c r="R12" s="9"/>
      <c r="S12" s="55"/>
      <c r="T12" s="21">
        <f t="shared" si="8"/>
        <v>31000</v>
      </c>
      <c r="U12" s="60">
        <f t="shared" si="0"/>
        <v>12.5</v>
      </c>
      <c r="V12" s="61">
        <f t="shared" si="1"/>
        <v>-9.5</v>
      </c>
      <c r="W12" s="62">
        <f t="shared" si="2"/>
        <v>-4</v>
      </c>
      <c r="Y12" s="8" t="s">
        <v>150</v>
      </c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 t="s">
        <v>151</v>
      </c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 t="s">
        <v>150</v>
      </c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1</v>
      </c>
      <c r="D13" s="18">
        <f t="shared" si="5"/>
        <v>1</v>
      </c>
      <c r="E13" s="4" t="s">
        <v>153</v>
      </c>
      <c r="F13" s="8" t="s">
        <v>142</v>
      </c>
      <c r="G13" s="9">
        <v>-8000</v>
      </c>
      <c r="H13" s="9"/>
      <c r="I13" s="55">
        <v>-1000</v>
      </c>
      <c r="J13" s="21">
        <f t="shared" si="6"/>
        <v>38500</v>
      </c>
      <c r="K13" s="8"/>
      <c r="L13" s="9"/>
      <c r="M13" s="9"/>
      <c r="N13" s="55"/>
      <c r="O13" s="21">
        <f t="shared" si="7"/>
        <v>25500</v>
      </c>
      <c r="P13" s="8" t="s">
        <v>141</v>
      </c>
      <c r="Q13" s="9">
        <v>8000</v>
      </c>
      <c r="R13" s="9">
        <v>1000</v>
      </c>
      <c r="S13" s="55">
        <v>1000</v>
      </c>
      <c r="T13" s="21">
        <f t="shared" si="8"/>
        <v>41000</v>
      </c>
      <c r="U13" s="60">
        <f t="shared" si="0"/>
        <v>3.5</v>
      </c>
      <c r="V13" s="61">
        <f t="shared" si="1"/>
        <v>-9.5</v>
      </c>
      <c r="W13" s="62">
        <f t="shared" si="2"/>
        <v>6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4</v>
      </c>
      <c r="BT13" s="36">
        <v>40</v>
      </c>
      <c r="BU13" s="47" t="s">
        <v>143</v>
      </c>
      <c r="BV13" s="48" t="s">
        <v>85</v>
      </c>
      <c r="BW13" s="48" t="s">
        <v>82</v>
      </c>
      <c r="BX13" s="48" t="s">
        <v>81</v>
      </c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E50EFDAE-A7BA-4BA3-B718-EF1A68A817B9}">
      <formula1>"ロン,ツモ,放銃,ツモ支払,流局,チョンボ"</formula1>
    </dataValidation>
    <dataValidation type="list" allowBlank="1" showInputMessage="1" showErrorMessage="1" sqref="E4:E30" xr:uid="{01F68992-EFBD-4F80-AB62-4EEF491FC9F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6D78D-D31C-423D-B304-7CC1773D34F4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138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やがさき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やがさき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152</v>
      </c>
      <c r="G4" s="9">
        <v>1500</v>
      </c>
      <c r="H4" s="9">
        <v>-1000</v>
      </c>
      <c r="I4" s="55"/>
      <c r="J4" s="21">
        <f>IF(COUNTA($F4,$K4,$P4)&gt;0,J3+SUM(G4:I4),"")</f>
        <v>35500</v>
      </c>
      <c r="K4" s="8" t="s">
        <v>152</v>
      </c>
      <c r="L4" s="9">
        <v>1500</v>
      </c>
      <c r="M4" s="9"/>
      <c r="N4" s="55"/>
      <c r="O4" s="21">
        <f>IF(COUNTA($F4,$K4,$P4)&gt;0,O3+SUM(L4:N4),"")</f>
        <v>36500</v>
      </c>
      <c r="P4" s="8" t="s">
        <v>152</v>
      </c>
      <c r="Q4" s="9">
        <v>-3000</v>
      </c>
      <c r="R4" s="9"/>
      <c r="S4" s="55"/>
      <c r="T4" s="21">
        <f>IF(COUNTA($F4,$K4,$P4)&gt;0,T3+SUM(Q4:S4),"")</f>
        <v>32000</v>
      </c>
      <c r="U4" s="60">
        <f t="shared" ref="U4:U30" si="0">IF($J4="","",ROUND(($J4-$J$3)/1000,1))</f>
        <v>0.5</v>
      </c>
      <c r="V4" s="61">
        <f t="shared" ref="V4:V30" si="1">IF($O4="","",ROUND(($O4-$O$3)/1000,1))</f>
        <v>1.5</v>
      </c>
      <c r="W4" s="62">
        <f t="shared" ref="W4:W30" si="2">IF($T4="","",ROUND(($T4-$T$3)/1000,1))</f>
        <v>-3</v>
      </c>
      <c r="Y4" s="8" t="s">
        <v>151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151</v>
      </c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150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1</v>
      </c>
      <c r="E5" s="4" t="s">
        <v>139</v>
      </c>
      <c r="F5" s="8" t="s">
        <v>145</v>
      </c>
      <c r="G5" s="9">
        <v>-3000</v>
      </c>
      <c r="H5" s="9">
        <v>-1000</v>
      </c>
      <c r="I5" s="55">
        <v>-500</v>
      </c>
      <c r="J5" s="21">
        <f t="shared" ref="J5:J30" si="6">IF(COUNTA($F5,$K5,$P5)&gt;0,J4+SUM(G5:I5),"")</f>
        <v>31000</v>
      </c>
      <c r="K5" s="8" t="s">
        <v>145</v>
      </c>
      <c r="L5" s="9">
        <v>-5000</v>
      </c>
      <c r="M5" s="9"/>
      <c r="N5" s="55">
        <v>-500</v>
      </c>
      <c r="O5" s="21">
        <f t="shared" ref="O5:O30" si="7">IF(COUNTA($F5,$K5,$P5)&gt;0,O4+SUM(L5:N5),"")</f>
        <v>31000</v>
      </c>
      <c r="P5" s="8" t="s">
        <v>146</v>
      </c>
      <c r="Q5" s="9">
        <v>8000</v>
      </c>
      <c r="R5" s="9">
        <v>2000</v>
      </c>
      <c r="S5" s="55">
        <v>1000</v>
      </c>
      <c r="T5" s="21">
        <f t="shared" ref="T5:T30" si="8">IF(COUNTA($F5,$K5,$P5)&gt;0,T4+SUM(Q5:S5),"")</f>
        <v>43000</v>
      </c>
      <c r="U5" s="60">
        <f t="shared" si="0"/>
        <v>-4</v>
      </c>
      <c r="V5" s="61">
        <f t="shared" si="1"/>
        <v>-4</v>
      </c>
      <c r="W5" s="62">
        <f t="shared" si="2"/>
        <v>8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4</v>
      </c>
      <c r="BT5" s="36">
        <v>30</v>
      </c>
      <c r="BU5" s="47" t="s">
        <v>143</v>
      </c>
      <c r="BV5" s="48" t="s">
        <v>83</v>
      </c>
      <c r="BW5" s="48" t="s">
        <v>86</v>
      </c>
      <c r="BX5" s="48" t="s">
        <v>82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137</v>
      </c>
      <c r="F6" s="8" t="s">
        <v>145</v>
      </c>
      <c r="G6" s="9">
        <v>-800</v>
      </c>
      <c r="H6" s="9">
        <v>-1000</v>
      </c>
      <c r="I6" s="55">
        <v>0</v>
      </c>
      <c r="J6" s="21">
        <f t="shared" si="6"/>
        <v>29200</v>
      </c>
      <c r="K6" s="8" t="s">
        <v>146</v>
      </c>
      <c r="L6" s="9">
        <v>2100</v>
      </c>
      <c r="M6" s="9">
        <v>2000</v>
      </c>
      <c r="N6" s="55">
        <v>0</v>
      </c>
      <c r="O6" s="21">
        <f t="shared" si="7"/>
        <v>35100</v>
      </c>
      <c r="P6" s="8" t="s">
        <v>145</v>
      </c>
      <c r="Q6" s="9">
        <v>-1300</v>
      </c>
      <c r="R6" s="9">
        <v>-1000</v>
      </c>
      <c r="S6" s="55">
        <v>0</v>
      </c>
      <c r="T6" s="21">
        <f t="shared" si="8"/>
        <v>40700</v>
      </c>
      <c r="U6" s="60">
        <f t="shared" si="0"/>
        <v>-5.8</v>
      </c>
      <c r="V6" s="61">
        <f t="shared" si="1"/>
        <v>0.1</v>
      </c>
      <c r="W6" s="62">
        <f t="shared" si="2"/>
        <v>5.7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2</v>
      </c>
      <c r="AY6" s="36">
        <v>30</v>
      </c>
      <c r="AZ6" s="47" t="s">
        <v>87</v>
      </c>
      <c r="BA6" s="48" t="s">
        <v>87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145</v>
      </c>
      <c r="G7" s="9">
        <v>-1300</v>
      </c>
      <c r="H7" s="9"/>
      <c r="I7" s="55">
        <v>0</v>
      </c>
      <c r="J7" s="21">
        <f t="shared" si="6"/>
        <v>27900</v>
      </c>
      <c r="K7" s="8" t="s">
        <v>145</v>
      </c>
      <c r="L7" s="9">
        <v>-800</v>
      </c>
      <c r="M7" s="9"/>
      <c r="N7" s="55">
        <v>0</v>
      </c>
      <c r="O7" s="21">
        <f t="shared" si="7"/>
        <v>34300</v>
      </c>
      <c r="P7" s="8" t="s">
        <v>146</v>
      </c>
      <c r="Q7" s="9">
        <v>2100</v>
      </c>
      <c r="R7" s="9"/>
      <c r="S7" s="55">
        <v>0</v>
      </c>
      <c r="T7" s="21">
        <f t="shared" si="8"/>
        <v>42800</v>
      </c>
      <c r="U7" s="60">
        <f t="shared" si="0"/>
        <v>-7.1</v>
      </c>
      <c r="V7" s="61">
        <f t="shared" si="1"/>
        <v>-0.7</v>
      </c>
      <c r="W7" s="62">
        <f t="shared" si="2"/>
        <v>7.8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2</v>
      </c>
      <c r="BT7" s="36">
        <v>30</v>
      </c>
      <c r="BU7" s="47" t="s">
        <v>87</v>
      </c>
      <c r="BV7" s="48" t="s">
        <v>87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139</v>
      </c>
      <c r="F8" s="8"/>
      <c r="G8" s="9"/>
      <c r="H8" s="9"/>
      <c r="I8" s="55"/>
      <c r="J8" s="21">
        <f t="shared" si="6"/>
        <v>27900</v>
      </c>
      <c r="K8" s="8" t="s">
        <v>141</v>
      </c>
      <c r="L8" s="9">
        <v>18000</v>
      </c>
      <c r="M8" s="9"/>
      <c r="N8" s="55">
        <v>0</v>
      </c>
      <c r="O8" s="21">
        <f t="shared" si="7"/>
        <v>52300</v>
      </c>
      <c r="P8" s="8" t="s">
        <v>142</v>
      </c>
      <c r="Q8" s="9">
        <v>-18000</v>
      </c>
      <c r="R8" s="9"/>
      <c r="S8" s="55">
        <v>0</v>
      </c>
      <c r="T8" s="21">
        <f t="shared" si="8"/>
        <v>24800</v>
      </c>
      <c r="U8" s="60">
        <f t="shared" si="0"/>
        <v>-7.1</v>
      </c>
      <c r="V8" s="61">
        <f t="shared" si="1"/>
        <v>17.3</v>
      </c>
      <c r="W8" s="62">
        <f t="shared" si="2"/>
        <v>-10.199999999999999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7</v>
      </c>
      <c r="AY8" s="36" t="s">
        <v>144</v>
      </c>
      <c r="AZ8" s="47" t="s">
        <v>143</v>
      </c>
      <c r="BA8" s="48" t="s">
        <v>93</v>
      </c>
      <c r="BB8" s="48" t="s">
        <v>82</v>
      </c>
      <c r="BC8" s="48" t="s">
        <v>82</v>
      </c>
      <c r="BD8" s="48" t="s">
        <v>80</v>
      </c>
      <c r="BE8" s="48" t="s">
        <v>81</v>
      </c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139</v>
      </c>
      <c r="F9" s="8" t="s">
        <v>142</v>
      </c>
      <c r="G9" s="9">
        <v>-7700</v>
      </c>
      <c r="H9" s="9">
        <v>-1000</v>
      </c>
      <c r="I9" s="55">
        <v>-1000</v>
      </c>
      <c r="J9" s="21">
        <f t="shared" si="6"/>
        <v>18200</v>
      </c>
      <c r="K9" s="8" t="s">
        <v>141</v>
      </c>
      <c r="L9" s="9">
        <v>7700</v>
      </c>
      <c r="M9" s="9">
        <v>1000</v>
      </c>
      <c r="N9" s="55">
        <v>1000</v>
      </c>
      <c r="O9" s="21">
        <f t="shared" si="7"/>
        <v>62000</v>
      </c>
      <c r="P9" s="8"/>
      <c r="Q9" s="9"/>
      <c r="R9" s="9"/>
      <c r="S9" s="55"/>
      <c r="T9" s="21">
        <f t="shared" si="8"/>
        <v>24800</v>
      </c>
      <c r="U9" s="60">
        <f t="shared" si="0"/>
        <v>-16.8</v>
      </c>
      <c r="V9" s="61">
        <f t="shared" si="1"/>
        <v>27</v>
      </c>
      <c r="W9" s="62">
        <f t="shared" si="2"/>
        <v>-10.199999999999999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3</v>
      </c>
      <c r="AY9" s="36">
        <v>40</v>
      </c>
      <c r="AZ9" s="47" t="s">
        <v>143</v>
      </c>
      <c r="BA9" s="48" t="s">
        <v>82</v>
      </c>
      <c r="BB9" s="48" t="s">
        <v>87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2</v>
      </c>
      <c r="D10" s="18">
        <f t="shared" si="5"/>
        <v>0</v>
      </c>
      <c r="E10" s="4" t="s">
        <v>139</v>
      </c>
      <c r="F10" s="8"/>
      <c r="G10" s="9"/>
      <c r="H10" s="9"/>
      <c r="I10" s="55"/>
      <c r="J10" s="21">
        <f t="shared" si="6"/>
        <v>18200</v>
      </c>
      <c r="K10" s="8" t="s">
        <v>142</v>
      </c>
      <c r="L10" s="9">
        <v>-8000</v>
      </c>
      <c r="M10" s="9"/>
      <c r="N10" s="55">
        <v>-2000</v>
      </c>
      <c r="O10" s="21">
        <f t="shared" si="7"/>
        <v>52000</v>
      </c>
      <c r="P10" s="8" t="s">
        <v>141</v>
      </c>
      <c r="Q10" s="9">
        <v>8000</v>
      </c>
      <c r="R10" s="9"/>
      <c r="S10" s="55">
        <v>2000</v>
      </c>
      <c r="T10" s="21">
        <f t="shared" si="8"/>
        <v>34800</v>
      </c>
      <c r="U10" s="60">
        <f t="shared" si="0"/>
        <v>-16.8</v>
      </c>
      <c r="V10" s="61">
        <f t="shared" si="1"/>
        <v>17</v>
      </c>
      <c r="W10" s="62">
        <f t="shared" si="2"/>
        <v>-0.2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>
        <v>4</v>
      </c>
      <c r="BT10" s="36">
        <v>30</v>
      </c>
      <c r="BU10" s="47" t="s">
        <v>84</v>
      </c>
      <c r="BV10" s="48" t="s">
        <v>80</v>
      </c>
      <c r="BW10" s="48" t="s">
        <v>80</v>
      </c>
      <c r="BX10" s="48" t="s">
        <v>82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137</v>
      </c>
      <c r="F11" s="8" t="s">
        <v>141</v>
      </c>
      <c r="G11" s="9">
        <v>5200</v>
      </c>
      <c r="H11" s="9"/>
      <c r="I11" s="55">
        <v>0</v>
      </c>
      <c r="J11" s="21">
        <f t="shared" si="6"/>
        <v>23400</v>
      </c>
      <c r="K11" s="8" t="s">
        <v>142</v>
      </c>
      <c r="L11" s="9">
        <v>-5200</v>
      </c>
      <c r="M11" s="9"/>
      <c r="N11" s="55">
        <v>0</v>
      </c>
      <c r="O11" s="21">
        <f t="shared" si="7"/>
        <v>46800</v>
      </c>
      <c r="P11" s="8"/>
      <c r="Q11" s="9"/>
      <c r="R11" s="9"/>
      <c r="S11" s="55"/>
      <c r="T11" s="21">
        <f t="shared" si="8"/>
        <v>34800</v>
      </c>
      <c r="U11" s="60">
        <f t="shared" si="0"/>
        <v>-11.6</v>
      </c>
      <c r="V11" s="61">
        <f t="shared" si="1"/>
        <v>11.8</v>
      </c>
      <c r="W11" s="62">
        <f t="shared" si="2"/>
        <v>-0.2</v>
      </c>
      <c r="Y11" s="8"/>
      <c r="Z11" s="41"/>
      <c r="AA11" s="32">
        <v>1</v>
      </c>
      <c r="AB11" s="32"/>
      <c r="AC11" s="32">
        <v>3</v>
      </c>
      <c r="AD11" s="36">
        <v>40</v>
      </c>
      <c r="AE11" s="47" t="s">
        <v>143</v>
      </c>
      <c r="AF11" s="48" t="s">
        <v>82</v>
      </c>
      <c r="AG11" s="48" t="s">
        <v>81</v>
      </c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135</v>
      </c>
      <c r="F12" s="8" t="s">
        <v>141</v>
      </c>
      <c r="G12" s="9">
        <v>5800</v>
      </c>
      <c r="H12" s="9">
        <v>1000</v>
      </c>
      <c r="I12" s="55">
        <v>0</v>
      </c>
      <c r="J12" s="21">
        <f t="shared" si="6"/>
        <v>30200</v>
      </c>
      <c r="K12" s="8"/>
      <c r="L12" s="9"/>
      <c r="M12" s="9"/>
      <c r="N12" s="55"/>
      <c r="O12" s="21">
        <f t="shared" si="7"/>
        <v>46800</v>
      </c>
      <c r="P12" s="8" t="s">
        <v>142</v>
      </c>
      <c r="Q12" s="9">
        <v>-5800</v>
      </c>
      <c r="R12" s="9">
        <v>-1000</v>
      </c>
      <c r="S12" s="55">
        <v>0</v>
      </c>
      <c r="T12" s="21">
        <f t="shared" si="8"/>
        <v>28000</v>
      </c>
      <c r="U12" s="60">
        <f t="shared" si="0"/>
        <v>-4.8</v>
      </c>
      <c r="V12" s="61">
        <f t="shared" si="1"/>
        <v>11.8</v>
      </c>
      <c r="W12" s="62">
        <f t="shared" si="2"/>
        <v>-7</v>
      </c>
      <c r="Y12" s="8"/>
      <c r="Z12" s="41"/>
      <c r="AA12" s="32">
        <v>1</v>
      </c>
      <c r="AB12" s="32"/>
      <c r="AC12" s="32">
        <v>3</v>
      </c>
      <c r="AD12" s="36">
        <v>30</v>
      </c>
      <c r="AE12" s="47" t="s">
        <v>143</v>
      </c>
      <c r="AF12" s="48" t="s">
        <v>147</v>
      </c>
      <c r="AG12" s="48" t="s">
        <v>84</v>
      </c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1</v>
      </c>
      <c r="D13" s="18">
        <f t="shared" si="5"/>
        <v>0</v>
      </c>
      <c r="E13" s="4" t="s">
        <v>135</v>
      </c>
      <c r="F13" s="8"/>
      <c r="G13" s="9"/>
      <c r="H13" s="9"/>
      <c r="I13" s="55"/>
      <c r="J13" s="21">
        <f t="shared" si="6"/>
        <v>30200</v>
      </c>
      <c r="K13" s="8" t="s">
        <v>141</v>
      </c>
      <c r="L13" s="9">
        <v>12000</v>
      </c>
      <c r="M13" s="9">
        <v>1000</v>
      </c>
      <c r="N13" s="55">
        <v>1000</v>
      </c>
      <c r="O13" s="21">
        <f t="shared" si="7"/>
        <v>60800</v>
      </c>
      <c r="P13" s="8" t="s">
        <v>142</v>
      </c>
      <c r="Q13" s="9">
        <v>-12000</v>
      </c>
      <c r="R13" s="9">
        <v>-1000</v>
      </c>
      <c r="S13" s="55">
        <v>-1000</v>
      </c>
      <c r="T13" s="21">
        <f t="shared" si="8"/>
        <v>14000</v>
      </c>
      <c r="U13" s="60">
        <f t="shared" si="0"/>
        <v>-4.8</v>
      </c>
      <c r="V13" s="61">
        <f t="shared" si="1"/>
        <v>25.8</v>
      </c>
      <c r="W13" s="62">
        <f t="shared" si="2"/>
        <v>-21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>
        <v>7</v>
      </c>
      <c r="AY13" s="36" t="s">
        <v>144</v>
      </c>
      <c r="AZ13" s="47" t="s">
        <v>143</v>
      </c>
      <c r="BA13" s="48" t="s">
        <v>82</v>
      </c>
      <c r="BB13" s="48" t="s">
        <v>82</v>
      </c>
      <c r="BC13" s="48" t="s">
        <v>81</v>
      </c>
      <c r="BD13" s="48" t="s">
        <v>81</v>
      </c>
      <c r="BE13" s="48" t="s">
        <v>80</v>
      </c>
      <c r="BF13" s="48" t="s">
        <v>80</v>
      </c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88A22A3-FEDC-4862-AC80-B6F8C33FDAF2}">
      <formula1>$U$2:$W$2</formula1>
    </dataValidation>
    <dataValidation type="list" showInputMessage="1" showErrorMessage="1" sqref="K4:K30 P4:P30 F4:F30" xr:uid="{5F8601F7-17BC-43D9-9878-E072B74E9CF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2019-01-25T18:39:08Z</dcterms:modified>
</cp:coreProperties>
</file>