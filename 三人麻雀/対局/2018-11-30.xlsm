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8D317E8F-80B9-4273-837F-99F55D09869F}" xr6:coauthVersionLast="31" xr6:coauthVersionMax="31" xr10:uidLastSave="{00000000-0000-0000-0000-000000000000}"/>
  <bookViews>
    <workbookView xWindow="0" yWindow="0" windowWidth="28800" windowHeight="12720" activeTab="1" xr2:uid="{4CDB34E1-560F-4998-ABAB-D6F7F2862621}"/>
  </bookViews>
  <sheets>
    <sheet name="Sheet1" sheetId="1" r:id="rId1"/>
    <sheet name="Sheet2" sheetId="11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1" l="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1" l="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T14" i="11"/>
  <c r="S14" i="11"/>
  <c r="O14" i="11"/>
  <c r="N14" i="11"/>
  <c r="J14" i="11"/>
  <c r="I14" i="11"/>
  <c r="D14" i="11"/>
  <c r="C14" i="11"/>
  <c r="B14" i="11"/>
  <c r="A14" i="11"/>
  <c r="T13" i="11"/>
  <c r="S13" i="11"/>
  <c r="O13" i="11"/>
  <c r="N13" i="11"/>
  <c r="J13" i="11"/>
  <c r="I13" i="11"/>
  <c r="D13" i="11"/>
  <c r="C13" i="11"/>
  <c r="B13" i="11"/>
  <c r="A13" i="11"/>
  <c r="T12" i="11"/>
  <c r="S12" i="11"/>
  <c r="O12" i="11"/>
  <c r="N12" i="11"/>
  <c r="J12" i="11"/>
  <c r="I12" i="11"/>
  <c r="D12" i="11"/>
  <c r="C12" i="11"/>
  <c r="B12" i="11"/>
  <c r="A12" i="11"/>
  <c r="T11" i="11"/>
  <c r="S11" i="11"/>
  <c r="O11" i="11"/>
  <c r="N11" i="11"/>
  <c r="J11" i="11"/>
  <c r="I11" i="11"/>
  <c r="D11" i="11"/>
  <c r="C11" i="11"/>
  <c r="B11" i="11"/>
  <c r="A11" i="11"/>
  <c r="N10" i="11"/>
  <c r="I10" i="11"/>
  <c r="D10" i="11"/>
  <c r="C10" i="11"/>
  <c r="S10" i="11" s="1"/>
  <c r="N9" i="11"/>
  <c r="D9" i="11"/>
  <c r="C9" i="11"/>
  <c r="S9" i="11" s="1"/>
  <c r="D8" i="11"/>
  <c r="S7" i="11"/>
  <c r="I7" i="11"/>
  <c r="D7" i="11"/>
  <c r="C7" i="11"/>
  <c r="C8" i="11" s="1"/>
  <c r="N6" i="11"/>
  <c r="D6" i="11"/>
  <c r="C6" i="11"/>
  <c r="S6" i="11" s="1"/>
  <c r="B6" i="11"/>
  <c r="N5" i="11"/>
  <c r="D5" i="11"/>
  <c r="C5" i="11"/>
  <c r="S5" i="11" s="1"/>
  <c r="B5" i="11"/>
  <c r="A6" i="11" s="1"/>
  <c r="A5" i="11"/>
  <c r="S4" i="11"/>
  <c r="T4" i="11" s="1"/>
  <c r="O4" i="11"/>
  <c r="N4" i="11"/>
  <c r="I4" i="11"/>
  <c r="J4" i="11" s="1"/>
  <c r="W2" i="11"/>
  <c r="V2" i="11"/>
  <c r="U2" i="11"/>
  <c r="T5" i="11" l="1"/>
  <c r="N8" i="11"/>
  <c r="S8" i="11"/>
  <c r="I8" i="11"/>
  <c r="O5" i="11"/>
  <c r="B7" i="11"/>
  <c r="I5" i="11"/>
  <c r="J5" i="11" s="1"/>
  <c r="N7" i="11"/>
  <c r="I9" i="11"/>
  <c r="I6" i="11"/>
  <c r="J6" i="11" l="1"/>
  <c r="B8" i="11"/>
  <c r="O6" i="11"/>
  <c r="A7" i="11"/>
  <c r="T6" i="11"/>
  <c r="J12" i="9"/>
  <c r="J11" i="9"/>
  <c r="J10" i="9"/>
  <c r="J9" i="9"/>
  <c r="J8" i="9"/>
  <c r="J7" i="9"/>
  <c r="J6" i="9"/>
  <c r="J5" i="9"/>
  <c r="J4" i="9"/>
  <c r="J3" i="9"/>
  <c r="J2" i="9"/>
  <c r="J12" i="10"/>
  <c r="J11" i="10"/>
  <c r="J10" i="10"/>
  <c r="J9" i="10"/>
  <c r="J8" i="10"/>
  <c r="J7" i="10"/>
  <c r="J6" i="10"/>
  <c r="J5" i="10"/>
  <c r="J4" i="10"/>
  <c r="J3" i="10"/>
  <c r="J2" i="10"/>
  <c r="I12" i="9"/>
  <c r="I11" i="9"/>
  <c r="I10" i="9"/>
  <c r="I9" i="9"/>
  <c r="I8" i="9"/>
  <c r="I7" i="9"/>
  <c r="I6" i="9"/>
  <c r="I5" i="9"/>
  <c r="I4" i="9"/>
  <c r="I3" i="9"/>
  <c r="I2" i="9"/>
  <c r="I12" i="10"/>
  <c r="I11" i="10"/>
  <c r="I10" i="10"/>
  <c r="I9" i="10"/>
  <c r="I8" i="10"/>
  <c r="I7" i="10"/>
  <c r="I6" i="10"/>
  <c r="I5" i="10"/>
  <c r="I4" i="10"/>
  <c r="I3" i="10"/>
  <c r="I2" i="10"/>
  <c r="H12" i="9"/>
  <c r="H11" i="9"/>
  <c r="H10" i="9"/>
  <c r="H9" i="9"/>
  <c r="H8" i="9"/>
  <c r="H7" i="9"/>
  <c r="H6" i="9"/>
  <c r="H5" i="9"/>
  <c r="H4" i="9"/>
  <c r="H3" i="9"/>
  <c r="H2" i="9"/>
  <c r="H12" i="10"/>
  <c r="H11" i="10"/>
  <c r="H10" i="10"/>
  <c r="H9" i="10"/>
  <c r="H8" i="10"/>
  <c r="H7" i="10"/>
  <c r="H6" i="10"/>
  <c r="H5" i="10"/>
  <c r="H4" i="10"/>
  <c r="H3" i="10"/>
  <c r="H2" i="10"/>
  <c r="T7" i="11" l="1"/>
  <c r="B9" i="11"/>
  <c r="A8" i="11"/>
  <c r="J7" i="11"/>
  <c r="O7" i="11"/>
  <c r="G12" i="10"/>
  <c r="F12" i="10"/>
  <c r="E12" i="10"/>
  <c r="D12" i="10"/>
  <c r="C12" i="10"/>
  <c r="B12" i="10"/>
  <c r="G11" i="10"/>
  <c r="F11" i="10"/>
  <c r="E11" i="10"/>
  <c r="D11" i="10"/>
  <c r="C11" i="10"/>
  <c r="B11" i="10"/>
  <c r="G10" i="10"/>
  <c r="F10" i="10"/>
  <c r="E10" i="10"/>
  <c r="D10" i="10"/>
  <c r="C10" i="10"/>
  <c r="B10" i="10"/>
  <c r="G9" i="10"/>
  <c r="F9" i="10"/>
  <c r="E9" i="10"/>
  <c r="D9" i="10"/>
  <c r="C9" i="10"/>
  <c r="B9" i="10"/>
  <c r="G8" i="10"/>
  <c r="F8" i="10"/>
  <c r="E8" i="10"/>
  <c r="D8" i="10"/>
  <c r="C8" i="10"/>
  <c r="B8" i="10"/>
  <c r="G7" i="10"/>
  <c r="F7" i="10"/>
  <c r="E7" i="10"/>
  <c r="D7" i="10"/>
  <c r="C7" i="10"/>
  <c r="B7" i="10"/>
  <c r="G6" i="10"/>
  <c r="F6" i="10"/>
  <c r="E6" i="10"/>
  <c r="D6" i="10"/>
  <c r="C6" i="10"/>
  <c r="B6" i="10"/>
  <c r="G5" i="10"/>
  <c r="F5" i="10"/>
  <c r="E5" i="10"/>
  <c r="D5" i="10"/>
  <c r="C5" i="10"/>
  <c r="B5" i="10"/>
  <c r="G4" i="10"/>
  <c r="F4" i="10"/>
  <c r="E4" i="10"/>
  <c r="D4" i="10"/>
  <c r="C4" i="10"/>
  <c r="B4" i="10"/>
  <c r="G3" i="10"/>
  <c r="F3" i="10"/>
  <c r="E3" i="10"/>
  <c r="D3" i="10"/>
  <c r="C3" i="10"/>
  <c r="B3" i="10"/>
  <c r="G2" i="10"/>
  <c r="F2" i="10"/>
  <c r="E2" i="10"/>
  <c r="D2" i="10"/>
  <c r="C2" i="10"/>
  <c r="B2" i="10"/>
  <c r="G12" i="9"/>
  <c r="F12" i="9"/>
  <c r="E12" i="9"/>
  <c r="D12" i="9"/>
  <c r="C12" i="9"/>
  <c r="B12" i="9"/>
  <c r="G11" i="9"/>
  <c r="F11" i="9"/>
  <c r="E11" i="9"/>
  <c r="D11" i="9"/>
  <c r="C11" i="9"/>
  <c r="B11" i="9"/>
  <c r="G10" i="9"/>
  <c r="F10" i="9"/>
  <c r="E10" i="9"/>
  <c r="D10" i="9"/>
  <c r="C10" i="9"/>
  <c r="B10" i="9"/>
  <c r="G9" i="9"/>
  <c r="F9" i="9"/>
  <c r="E9" i="9"/>
  <c r="D9" i="9"/>
  <c r="C9" i="9"/>
  <c r="B9" i="9"/>
  <c r="G8" i="9"/>
  <c r="F8" i="9"/>
  <c r="E8" i="9"/>
  <c r="D8" i="9"/>
  <c r="C8" i="9"/>
  <c r="B8" i="9"/>
  <c r="G7" i="9"/>
  <c r="F7" i="9"/>
  <c r="E7" i="9"/>
  <c r="D7" i="9"/>
  <c r="C7" i="9"/>
  <c r="B7" i="9"/>
  <c r="G6" i="9"/>
  <c r="F6" i="9"/>
  <c r="E6" i="9"/>
  <c r="D6" i="9"/>
  <c r="C6" i="9"/>
  <c r="B6" i="9"/>
  <c r="G5" i="9"/>
  <c r="F5" i="9"/>
  <c r="E5" i="9"/>
  <c r="D5" i="9"/>
  <c r="C5" i="9"/>
  <c r="B5" i="9"/>
  <c r="G4" i="9"/>
  <c r="F4" i="9"/>
  <c r="E4" i="9"/>
  <c r="D4" i="9"/>
  <c r="C4" i="9"/>
  <c r="B4" i="9"/>
  <c r="G3" i="9"/>
  <c r="F3" i="9"/>
  <c r="E3" i="9"/>
  <c r="D3" i="9"/>
  <c r="C3" i="9"/>
  <c r="B3" i="9"/>
  <c r="G2" i="9"/>
  <c r="F2" i="9"/>
  <c r="E2" i="9"/>
  <c r="D2" i="9"/>
  <c r="C2" i="9"/>
  <c r="B2" i="9"/>
  <c r="B10" i="11" l="1"/>
  <c r="O8" i="11"/>
  <c r="A9" i="11"/>
  <c r="A10" i="11" s="1"/>
  <c r="J8" i="11"/>
  <c r="T8" i="1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I6" i="1"/>
  <c r="N6" i="1"/>
  <c r="J5" i="1"/>
  <c r="D5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T9" i="11" l="1"/>
  <c r="O9" i="11"/>
  <c r="J9" i="1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O10" i="11" l="1"/>
  <c r="J10" i="11"/>
  <c r="T10" i="11"/>
  <c r="T5" i="1"/>
  <c r="T6" i="1"/>
  <c r="O6" i="1"/>
  <c r="B10" i="1"/>
  <c r="B11" i="1" s="1"/>
  <c r="T9" i="1"/>
  <c r="A10" i="1" l="1"/>
  <c r="A11" i="1"/>
  <c r="B12" i="1"/>
  <c r="B13" i="1" l="1"/>
  <c r="A13" i="1"/>
  <c r="A12" i="1"/>
  <c r="W2" i="1"/>
  <c r="V2" i="1"/>
  <c r="U2" i="1"/>
  <c r="B14" i="1" l="1"/>
  <c r="A14" i="1" s="1"/>
</calcChain>
</file>

<file path=xl/sharedStrings.xml><?xml version="1.0" encoding="utf-8"?>
<sst xmlns="http://schemas.openxmlformats.org/spreadsheetml/2006/main" count="140" uniqueCount="29">
  <si>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</si>
  <si>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</si>
  <si>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</si>
  <si>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</si>
  <si>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</si>
  <si>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</si>
  <si>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</si>
  <si>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</si>
  <si>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</si>
  <si>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</si>
  <si>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</si>
  <si>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</si>
  <si>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</si>
  <si>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</si>
  <si>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</si>
  <si>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6,7</t>
    <phoneticPr fontId="1"/>
  </si>
  <si>
    <t>8,9,10</t>
    <phoneticPr fontId="1"/>
  </si>
  <si>
    <t>11,12</t>
    <phoneticPr fontId="1"/>
  </si>
  <si>
    <t>13～</t>
    <phoneticPr fontId="1"/>
  </si>
  <si>
    <t>だいち</t>
  </si>
  <si>
    <t>だいち</t>
    <phoneticPr fontId="1"/>
  </si>
  <si>
    <t>たかの</t>
  </si>
  <si>
    <t>たかの</t>
    <phoneticPr fontId="1"/>
  </si>
  <si>
    <t>ただ</t>
  </si>
  <si>
    <t>ただ</t>
    <phoneticPr fontId="1"/>
  </si>
  <si>
    <t>ロン</t>
  </si>
  <si>
    <t>放銃</t>
  </si>
  <si>
    <t>ツモ</t>
  </si>
  <si>
    <t>ツモ支払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</si>
</sst>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4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20</v>
      </c>
      <c r="G1" s="34"/>
      <c r="H1" s="34"/>
      <c r="I1" s="35"/>
      <c r="J1" s="36"/>
      <c r="K1" s="33" t="s">
        <v>22</v>
      </c>
      <c r="L1" s="34"/>
      <c r="M1" s="34"/>
      <c r="N1" s="35"/>
      <c r="O1" s="36"/>
      <c r="P1" s="33" t="s">
        <v>24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F1</f>
        <v>だいち</v>
      </c>
      <c r="V2" s="21" t="str">
        <f>K1</f>
        <v>たかの</v>
      </c>
      <c r="W2" s="22" t="str">
        <f>P1</f>
        <v>ただ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21</v>
      </c>
      <c r="F4" s="10" t="s">
        <v>25</v>
      </c>
      <c r="G4" s="11">
        <v>2000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37000</v>
      </c>
      <c r="K4" s="10" t="s">
        <v>26</v>
      </c>
      <c r="L4" s="11">
        <v>-2000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46">
        <f t="shared" si="0"/>
        <v>2</v>
      </c>
      <c r="V4" s="47">
        <f t="shared" si="1"/>
        <v>-2</v>
      </c>
      <c r="W4" s="48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IF($E5="","",IF(OR(F4="流局",K4="流局",P4="流局",F4="チョンボ",K4="チョンボ",P4="チョンボ"),D4+($H4+$M4+$R4)/-1000,0))</f>
        <v>0</v>
      </c>
      <c r="E5" s="5" t="s">
        <v>23</v>
      </c>
      <c r="F5" s="10" t="s">
        <v>27</v>
      </c>
      <c r="G5" s="11">
        <v>2100</v>
      </c>
      <c r="H5" s="11">
        <v>2000</v>
      </c>
      <c r="I5" s="12">
        <f>IF(OR(F5="ロン",F5="ツモ"),$C5*1000,IF(F5="放銃",$C5*-1000,IF(F5="ツモ支払",$C5*-500,"")))</f>
        <v>0</v>
      </c>
      <c r="J5" s="27">
        <f t="shared" si="3"/>
        <v>41100</v>
      </c>
      <c r="K5" s="10" t="s">
        <v>28</v>
      </c>
      <c r="L5" s="11">
        <v>-800</v>
      </c>
      <c r="M5" s="11">
        <v>-1000</v>
      </c>
      <c r="N5" s="12">
        <f t="shared" ref="N5:N30" si="6">IF(OR(K5="ロン",K5="ツモ"),$C5*1000,IF(K5="放銃",$C5*-1000,IF(K5="ツモ支払",$C5*-500,"")))</f>
        <v>0</v>
      </c>
      <c r="O5" s="27">
        <f t="shared" si="4"/>
        <v>31200</v>
      </c>
      <c r="P5" s="10" t="s">
        <v>28</v>
      </c>
      <c r="Q5" s="11">
        <v>-1300</v>
      </c>
      <c r="R5" s="11">
        <v>-1000</v>
      </c>
      <c r="S5" s="12">
        <f t="shared" ref="S5:S30" si="7">IF(OR(P5="ロン",P5="ツモ"),$C5*1000,IF(P5="放銃",$C5*-1000,IF(P5="ツモ支払",$C5*-500,"")))</f>
        <v>0</v>
      </c>
      <c r="T5" s="27">
        <f t="shared" si="5"/>
        <v>32700</v>
      </c>
      <c r="U5" s="46">
        <f t="shared" si="0"/>
        <v>6.1</v>
      </c>
      <c r="V5" s="47">
        <f t="shared" si="1"/>
        <v>-3.8</v>
      </c>
      <c r="W5" s="48">
        <f t="shared" si="2"/>
        <v>-2.2999999999999998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0" t="s">
        <v>26</v>
      </c>
      <c r="G6" s="11">
        <v>-8000</v>
      </c>
      <c r="H6" s="11">
        <v>-1000</v>
      </c>
      <c r="I6" s="12">
        <f t="shared" ref="I6:I30" si="12">IF(OR(F6="ロン",F6="ツモ"),$C6*1000,IF(F6="放銃",$C6*-1000,IF(F6="ツモ支払",$C6*-500,"")))</f>
        <v>0</v>
      </c>
      <c r="J6" s="27">
        <f t="shared" si="3"/>
        <v>32100</v>
      </c>
      <c r="K6" s="10"/>
      <c r="L6" s="11"/>
      <c r="M6" s="11"/>
      <c r="N6" s="12" t="str">
        <f t="shared" si="6"/>
        <v/>
      </c>
      <c r="O6" s="27">
        <f t="shared" si="4"/>
        <v>31200</v>
      </c>
      <c r="P6" s="10" t="s">
        <v>25</v>
      </c>
      <c r="Q6" s="11">
        <v>8000</v>
      </c>
      <c r="R6" s="11">
        <v>1000</v>
      </c>
      <c r="S6" s="12">
        <f t="shared" si="7"/>
        <v>0</v>
      </c>
      <c r="T6" s="27">
        <f t="shared" si="5"/>
        <v>41700</v>
      </c>
      <c r="U6" s="46">
        <f t="shared" si="0"/>
        <v>-2.9</v>
      </c>
      <c r="V6" s="47">
        <f t="shared" si="1"/>
        <v>-3.8</v>
      </c>
      <c r="W6" s="48">
        <f t="shared" si="2"/>
        <v>6.7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21</v>
      </c>
      <c r="F7" s="10" t="s">
        <v>26</v>
      </c>
      <c r="G7" s="11">
        <v>-18000</v>
      </c>
      <c r="H7" s="11"/>
      <c r="I7" s="12">
        <f t="shared" si="12"/>
        <v>0</v>
      </c>
      <c r="J7" s="27">
        <f t="shared" si="3"/>
        <v>14100</v>
      </c>
      <c r="K7" s="10" t="s">
        <v>25</v>
      </c>
      <c r="L7" s="11">
        <v>18000</v>
      </c>
      <c r="M7" s="11"/>
      <c r="N7" s="12">
        <f t="shared" si="6"/>
        <v>0</v>
      </c>
      <c r="O7" s="27">
        <f t="shared" si="4"/>
        <v>49200</v>
      </c>
      <c r="P7" s="10"/>
      <c r="Q7" s="11"/>
      <c r="R7" s="11"/>
      <c r="S7" s="12" t="str">
        <f t="shared" si="7"/>
        <v/>
      </c>
      <c r="T7" s="27">
        <f t="shared" si="5"/>
        <v>41700</v>
      </c>
      <c r="U7" s="46">
        <f t="shared" si="0"/>
        <v>-20.9</v>
      </c>
      <c r="V7" s="47">
        <f t="shared" si="1"/>
        <v>14.2</v>
      </c>
      <c r="W7" s="48">
        <f t="shared" si="2"/>
        <v>6.7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1</v>
      </c>
      <c r="D8" s="24">
        <f t="shared" si="11"/>
        <v>0</v>
      </c>
      <c r="E8" s="5" t="s">
        <v>21</v>
      </c>
      <c r="F8" s="10" t="s">
        <v>27</v>
      </c>
      <c r="G8" s="11">
        <v>16000</v>
      </c>
      <c r="H8" s="11"/>
      <c r="I8" s="12">
        <f t="shared" si="12"/>
        <v>1000</v>
      </c>
      <c r="J8" s="27">
        <f t="shared" si="3"/>
        <v>31100</v>
      </c>
      <c r="K8" s="10" t="s">
        <v>28</v>
      </c>
      <c r="L8" s="11">
        <v>-10000</v>
      </c>
      <c r="M8" s="11"/>
      <c r="N8" s="12">
        <f t="shared" si="6"/>
        <v>-500</v>
      </c>
      <c r="O8" s="27">
        <f t="shared" si="4"/>
        <v>38700</v>
      </c>
      <c r="P8" s="10" t="s">
        <v>28</v>
      </c>
      <c r="Q8" s="11">
        <v>-6000</v>
      </c>
      <c r="R8" s="11"/>
      <c r="S8" s="12">
        <f t="shared" si="7"/>
        <v>-500</v>
      </c>
      <c r="T8" s="27">
        <f t="shared" si="5"/>
        <v>35200</v>
      </c>
      <c r="U8" s="46">
        <f t="shared" si="0"/>
        <v>-3.9</v>
      </c>
      <c r="V8" s="47">
        <f t="shared" si="1"/>
        <v>3.7</v>
      </c>
      <c r="W8" s="48">
        <f t="shared" si="2"/>
        <v>0.2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23</v>
      </c>
      <c r="F9" s="10" t="s">
        <v>28</v>
      </c>
      <c r="G9" s="11">
        <v>-4500</v>
      </c>
      <c r="H9" s="11"/>
      <c r="I9" s="12">
        <f t="shared" si="12"/>
        <v>0</v>
      </c>
      <c r="J9" s="27">
        <f t="shared" si="3"/>
        <v>26600</v>
      </c>
      <c r="K9" s="10" t="s">
        <v>27</v>
      </c>
      <c r="L9" s="11">
        <v>12000</v>
      </c>
      <c r="M9" s="11"/>
      <c r="N9" s="12">
        <f t="shared" si="6"/>
        <v>0</v>
      </c>
      <c r="O9" s="27">
        <f t="shared" si="4"/>
        <v>50700</v>
      </c>
      <c r="P9" s="10" t="s">
        <v>28</v>
      </c>
      <c r="Q9" s="11">
        <v>-7500</v>
      </c>
      <c r="R9" s="11"/>
      <c r="S9" s="12">
        <f t="shared" si="7"/>
        <v>0</v>
      </c>
      <c r="T9" s="27">
        <f t="shared" si="5"/>
        <v>27700</v>
      </c>
      <c r="U9" s="46">
        <f t="shared" si="0"/>
        <v>-8.4</v>
      </c>
      <c r="V9" s="47">
        <f t="shared" si="1"/>
        <v>15.7</v>
      </c>
      <c r="W9" s="48">
        <f t="shared" si="2"/>
        <v>-7.3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19</v>
      </c>
      <c r="F10" s="10"/>
      <c r="G10" s="11"/>
      <c r="H10" s="11"/>
      <c r="I10" s="12" t="str">
        <f t="shared" si="12"/>
        <v/>
      </c>
      <c r="J10" s="27">
        <f t="shared" si="3"/>
        <v>26600</v>
      </c>
      <c r="K10" s="10" t="s">
        <v>25</v>
      </c>
      <c r="L10" s="11">
        <v>12000</v>
      </c>
      <c r="M10" s="11"/>
      <c r="N10" s="12">
        <f t="shared" si="6"/>
        <v>0</v>
      </c>
      <c r="O10" s="27">
        <f t="shared" si="4"/>
        <v>62700</v>
      </c>
      <c r="P10" s="10" t="s">
        <v>26</v>
      </c>
      <c r="Q10" s="11">
        <v>-12000</v>
      </c>
      <c r="R10" s="11"/>
      <c r="S10" s="12">
        <f t="shared" si="7"/>
        <v>0</v>
      </c>
      <c r="T10" s="27">
        <f t="shared" si="5"/>
        <v>15700</v>
      </c>
      <c r="U10" s="46">
        <f t="shared" si="0"/>
        <v>-8.4</v>
      </c>
      <c r="V10" s="47">
        <f t="shared" si="1"/>
        <v>27.7</v>
      </c>
      <c r="W10" s="48">
        <f t="shared" si="2"/>
        <v>-19.3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B866-8BB2-4B93-9B3B-F61F7A9B313F}">
  <sheetPr codeName="Sheet2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7" t="s">
        <v>0</v>
      </c>
      <c r="B1" s="39" t="s">
        <v>2</v>
      </c>
      <c r="C1" s="39" t="s">
        <v>1</v>
      </c>
      <c r="D1" s="39" t="s">
        <v>6</v>
      </c>
      <c r="E1" s="41" t="s">
        <v>3</v>
      </c>
      <c r="F1" s="33" t="s">
        <v>20</v>
      </c>
      <c r="G1" s="34"/>
      <c r="H1" s="34"/>
      <c r="I1" s="35"/>
      <c r="J1" s="36"/>
      <c r="K1" s="33" t="s">
        <v>22</v>
      </c>
      <c r="L1" s="34"/>
      <c r="M1" s="34"/>
      <c r="N1" s="35"/>
      <c r="O1" s="36"/>
      <c r="P1" s="33" t="s">
        <v>24</v>
      </c>
      <c r="Q1" s="34"/>
      <c r="R1" s="34"/>
      <c r="S1" s="35"/>
      <c r="T1" s="36"/>
      <c r="U1" s="33" t="s">
        <v>8</v>
      </c>
      <c r="V1" s="34"/>
      <c r="W1" s="36"/>
    </row>
    <row r="2" spans="1:23" x14ac:dyDescent="0.4">
      <c r="A2" s="38"/>
      <c r="B2" s="40"/>
      <c r="C2" s="40"/>
      <c r="D2" s="40"/>
      <c r="E2" s="42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F1</f>
        <v>だいち</v>
      </c>
      <c r="V2" s="32" t="str">
        <f>K1</f>
        <v>たかの</v>
      </c>
      <c r="W2" s="22" t="str">
        <f>P1</f>
        <v>ただ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3">
        <f t="shared" ref="U3:U30" si="0">IF($J3="","",ROUND(($J3-$J$3)/1000,1))</f>
        <v>0</v>
      </c>
      <c r="V3" s="44">
        <f t="shared" ref="V3:V30" si="1">IF($O3="","",ROUND(($O3-$O$3)/1000,1))</f>
        <v>0</v>
      </c>
      <c r="W3" s="45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21</v>
      </c>
      <c r="F4" s="10" t="s">
        <v>25</v>
      </c>
      <c r="G4" s="11">
        <v>2000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37000</v>
      </c>
      <c r="K4" s="10" t="s">
        <v>26</v>
      </c>
      <c r="L4" s="11">
        <v>-2000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46">
        <f t="shared" si="0"/>
        <v>2</v>
      </c>
      <c r="V4" s="47">
        <f t="shared" si="1"/>
        <v>-2</v>
      </c>
      <c r="W4" s="48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IF($E5="","",IF(OR(F4="流局",K4="流局",P4="流局",F4="チョンボ",K4="チョンボ",P4="チョンボ"),D4+($H4+$M4+$R4)/-1000,0))</f>
        <v>0</v>
      </c>
      <c r="E5" s="5" t="s">
        <v>23</v>
      </c>
      <c r="F5" s="10" t="s">
        <v>27</v>
      </c>
      <c r="G5" s="11">
        <v>2100</v>
      </c>
      <c r="H5" s="11">
        <v>2000</v>
      </c>
      <c r="I5" s="12">
        <f>IF(OR(F5="ロン",F5="ツモ"),$C5*1000,IF(F5="放銃",$C5*-1000,IF(F5="ツモ支払",$C5*-500,"")))</f>
        <v>0</v>
      </c>
      <c r="J5" s="27">
        <f t="shared" si="3"/>
        <v>41100</v>
      </c>
      <c r="K5" s="10" t="s">
        <v>28</v>
      </c>
      <c r="L5" s="11">
        <v>-800</v>
      </c>
      <c r="M5" s="11">
        <v>-1000</v>
      </c>
      <c r="N5" s="12">
        <f t="shared" ref="N5:N30" si="6">IF(OR(K5="ロン",K5="ツモ"),$C5*1000,IF(K5="放銃",$C5*-1000,IF(K5="ツモ支払",$C5*-500,"")))</f>
        <v>0</v>
      </c>
      <c r="O5" s="27">
        <f t="shared" si="4"/>
        <v>31200</v>
      </c>
      <c r="P5" s="10" t="s">
        <v>28</v>
      </c>
      <c r="Q5" s="11">
        <v>-1300</v>
      </c>
      <c r="R5" s="11">
        <v>-1000</v>
      </c>
      <c r="S5" s="12">
        <f t="shared" ref="S5:S30" si="7">IF(OR(P5="ロン",P5="ツモ"),$C5*1000,IF(P5="放銃",$C5*-1000,IF(P5="ツモ支払",$C5*-500,"")))</f>
        <v>0</v>
      </c>
      <c r="T5" s="27">
        <f t="shared" si="5"/>
        <v>32700</v>
      </c>
      <c r="U5" s="46">
        <f t="shared" si="0"/>
        <v>6.1</v>
      </c>
      <c r="V5" s="47">
        <f t="shared" si="1"/>
        <v>-3.8</v>
      </c>
      <c r="W5" s="48">
        <f t="shared" si="2"/>
        <v>-2.2999999999999998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IF($E6="","",IF(OR(F5="流局",K5="流局",P5="流局",F5="チョンボ",K5="チョンボ",P5="チョンボ"),D5+($H5+$M5+$R5)/-1000,0))</f>
        <v>0</v>
      </c>
      <c r="E6" s="5" t="s">
        <v>19</v>
      </c>
      <c r="F6" s="10" t="s">
        <v>26</v>
      </c>
      <c r="G6" s="11">
        <v>-8000</v>
      </c>
      <c r="H6" s="11">
        <v>-1000</v>
      </c>
      <c r="I6" s="12">
        <f t="shared" ref="I6:I30" si="12">IF(OR(F6="ロン",F6="ツモ"),$C6*1000,IF(F6="放銃",$C6*-1000,IF(F6="ツモ支払",$C6*-500,"")))</f>
        <v>0</v>
      </c>
      <c r="J6" s="27">
        <f t="shared" si="3"/>
        <v>32100</v>
      </c>
      <c r="K6" s="10"/>
      <c r="L6" s="11"/>
      <c r="M6" s="11"/>
      <c r="N6" s="12" t="str">
        <f t="shared" si="6"/>
        <v/>
      </c>
      <c r="O6" s="27">
        <f t="shared" si="4"/>
        <v>31200</v>
      </c>
      <c r="P6" s="10" t="s">
        <v>25</v>
      </c>
      <c r="Q6" s="11">
        <v>8000</v>
      </c>
      <c r="R6" s="11">
        <v>1000</v>
      </c>
      <c r="S6" s="12">
        <f t="shared" si="7"/>
        <v>0</v>
      </c>
      <c r="T6" s="27">
        <f t="shared" si="5"/>
        <v>41700</v>
      </c>
      <c r="U6" s="46">
        <f t="shared" si="0"/>
        <v>-2.9</v>
      </c>
      <c r="V6" s="47">
        <f t="shared" si="1"/>
        <v>-3.8</v>
      </c>
      <c r="W6" s="48">
        <f t="shared" si="2"/>
        <v>6.7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21</v>
      </c>
      <c r="F7" s="10" t="s">
        <v>26</v>
      </c>
      <c r="G7" s="11">
        <v>-18000</v>
      </c>
      <c r="H7" s="11"/>
      <c r="I7" s="12">
        <f t="shared" si="12"/>
        <v>0</v>
      </c>
      <c r="J7" s="27">
        <f t="shared" si="3"/>
        <v>14100</v>
      </c>
      <c r="K7" s="10" t="s">
        <v>25</v>
      </c>
      <c r="L7" s="11">
        <v>18000</v>
      </c>
      <c r="M7" s="11"/>
      <c r="N7" s="12">
        <f t="shared" si="6"/>
        <v>0</v>
      </c>
      <c r="O7" s="27">
        <f t="shared" si="4"/>
        <v>49200</v>
      </c>
      <c r="P7" s="10"/>
      <c r="Q7" s="11"/>
      <c r="R7" s="11"/>
      <c r="S7" s="12" t="str">
        <f t="shared" si="7"/>
        <v/>
      </c>
      <c r="T7" s="27">
        <f t="shared" si="5"/>
        <v>41700</v>
      </c>
      <c r="U7" s="46">
        <f t="shared" si="0"/>
        <v>-20.9</v>
      </c>
      <c r="V7" s="47">
        <f t="shared" si="1"/>
        <v>14.2</v>
      </c>
      <c r="W7" s="48">
        <f t="shared" si="2"/>
        <v>6.7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1</v>
      </c>
      <c r="D8" s="24">
        <f t="shared" si="11"/>
        <v>0</v>
      </c>
      <c r="E8" s="5" t="s">
        <v>21</v>
      </c>
      <c r="F8" s="10" t="s">
        <v>27</v>
      </c>
      <c r="G8" s="11">
        <v>16000</v>
      </c>
      <c r="H8" s="11"/>
      <c r="I8" s="12">
        <f t="shared" si="12"/>
        <v>1000</v>
      </c>
      <c r="J8" s="27">
        <f t="shared" si="3"/>
        <v>31100</v>
      </c>
      <c r="K8" s="10" t="s">
        <v>28</v>
      </c>
      <c r="L8" s="11">
        <v>-10000</v>
      </c>
      <c r="M8" s="11"/>
      <c r="N8" s="12">
        <f t="shared" si="6"/>
        <v>-500</v>
      </c>
      <c r="O8" s="27">
        <f t="shared" si="4"/>
        <v>38700</v>
      </c>
      <c r="P8" s="10" t="s">
        <v>28</v>
      </c>
      <c r="Q8" s="11">
        <v>-6000</v>
      </c>
      <c r="R8" s="11"/>
      <c r="S8" s="12">
        <f t="shared" si="7"/>
        <v>-500</v>
      </c>
      <c r="T8" s="27">
        <f t="shared" si="5"/>
        <v>35200</v>
      </c>
      <c r="U8" s="46">
        <f t="shared" si="0"/>
        <v>-3.9</v>
      </c>
      <c r="V8" s="47">
        <f t="shared" si="1"/>
        <v>3.7</v>
      </c>
      <c r="W8" s="48">
        <f t="shared" si="2"/>
        <v>0.2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23</v>
      </c>
      <c r="F9" s="10" t="s">
        <v>28</v>
      </c>
      <c r="G9" s="11">
        <v>-4500</v>
      </c>
      <c r="H9" s="11"/>
      <c r="I9" s="12">
        <f t="shared" si="12"/>
        <v>0</v>
      </c>
      <c r="J9" s="27">
        <f t="shared" si="3"/>
        <v>26600</v>
      </c>
      <c r="K9" s="10" t="s">
        <v>27</v>
      </c>
      <c r="L9" s="11">
        <v>12000</v>
      </c>
      <c r="M9" s="11"/>
      <c r="N9" s="12">
        <f t="shared" si="6"/>
        <v>0</v>
      </c>
      <c r="O9" s="27">
        <f t="shared" si="4"/>
        <v>50700</v>
      </c>
      <c r="P9" s="10" t="s">
        <v>28</v>
      </c>
      <c r="Q9" s="11">
        <v>-7500</v>
      </c>
      <c r="R9" s="11"/>
      <c r="S9" s="12">
        <f t="shared" si="7"/>
        <v>0</v>
      </c>
      <c r="T9" s="27">
        <f t="shared" si="5"/>
        <v>27700</v>
      </c>
      <c r="U9" s="46">
        <f t="shared" si="0"/>
        <v>-8.4</v>
      </c>
      <c r="V9" s="47">
        <f t="shared" si="1"/>
        <v>15.7</v>
      </c>
      <c r="W9" s="48">
        <f t="shared" si="2"/>
        <v>-7.3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19</v>
      </c>
      <c r="F10" s="10"/>
      <c r="G10" s="11"/>
      <c r="H10" s="11"/>
      <c r="I10" s="12" t="str">
        <f t="shared" si="12"/>
        <v/>
      </c>
      <c r="J10" s="27">
        <f t="shared" si="3"/>
        <v>26600</v>
      </c>
      <c r="K10" s="10" t="s">
        <v>25</v>
      </c>
      <c r="L10" s="11">
        <v>12000</v>
      </c>
      <c r="M10" s="11"/>
      <c r="N10" s="12">
        <f t="shared" si="6"/>
        <v>0</v>
      </c>
      <c r="O10" s="27">
        <f t="shared" si="4"/>
        <v>62700</v>
      </c>
      <c r="P10" s="10" t="s">
        <v>26</v>
      </c>
      <c r="Q10" s="11">
        <v>-12000</v>
      </c>
      <c r="R10" s="11"/>
      <c r="S10" s="12">
        <f t="shared" si="7"/>
        <v>0</v>
      </c>
      <c r="T10" s="27">
        <f t="shared" si="5"/>
        <v>15700</v>
      </c>
      <c r="U10" s="46">
        <f t="shared" si="0"/>
        <v>-8.4</v>
      </c>
      <c r="V10" s="47">
        <f t="shared" si="1"/>
        <v>27.7</v>
      </c>
      <c r="W10" s="48">
        <f t="shared" si="2"/>
        <v>-19.3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6" t="str">
        <f t="shared" si="0"/>
        <v/>
      </c>
      <c r="V11" s="47" t="str">
        <f t="shared" si="1"/>
        <v/>
      </c>
      <c r="W11" s="48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6" t="str">
        <f t="shared" si="0"/>
        <v/>
      </c>
      <c r="V12" s="47" t="str">
        <f t="shared" si="1"/>
        <v/>
      </c>
      <c r="W12" s="48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6" t="str">
        <f t="shared" si="0"/>
        <v/>
      </c>
      <c r="V13" s="47" t="str">
        <f t="shared" si="1"/>
        <v/>
      </c>
      <c r="W13" s="48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6" t="str">
        <f t="shared" si="0"/>
        <v/>
      </c>
      <c r="V14" s="47" t="str">
        <f t="shared" si="1"/>
        <v/>
      </c>
      <c r="W14" s="48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6" t="str">
        <f t="shared" si="0"/>
        <v/>
      </c>
      <c r="V15" s="47" t="str">
        <f t="shared" si="1"/>
        <v/>
      </c>
      <c r="W15" s="48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6" t="str">
        <f t="shared" si="0"/>
        <v/>
      </c>
      <c r="V16" s="47" t="str">
        <f t="shared" si="1"/>
        <v/>
      </c>
      <c r="W16" s="48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6" t="str">
        <f t="shared" si="0"/>
        <v/>
      </c>
      <c r="V17" s="47" t="str">
        <f t="shared" si="1"/>
        <v/>
      </c>
      <c r="W17" s="48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6" t="str">
        <f t="shared" si="0"/>
        <v/>
      </c>
      <c r="V18" s="47" t="str">
        <f t="shared" si="1"/>
        <v/>
      </c>
      <c r="W18" s="48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6" t="str">
        <f t="shared" si="0"/>
        <v/>
      </c>
      <c r="V19" s="47" t="str">
        <f t="shared" si="1"/>
        <v/>
      </c>
      <c r="W19" s="48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6" t="str">
        <f t="shared" si="0"/>
        <v/>
      </c>
      <c r="V20" s="47" t="str">
        <f t="shared" si="1"/>
        <v/>
      </c>
      <c r="W20" s="48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6" t="str">
        <f t="shared" si="0"/>
        <v/>
      </c>
      <c r="V21" s="47" t="str">
        <f t="shared" si="1"/>
        <v/>
      </c>
      <c r="W21" s="48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6" t="str">
        <f t="shared" si="0"/>
        <v/>
      </c>
      <c r="V22" s="47" t="str">
        <f t="shared" si="1"/>
        <v/>
      </c>
      <c r="W22" s="48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6" t="str">
        <f t="shared" si="0"/>
        <v/>
      </c>
      <c r="V23" s="47" t="str">
        <f t="shared" si="1"/>
        <v/>
      </c>
      <c r="W23" s="48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6" t="str">
        <f t="shared" si="0"/>
        <v/>
      </c>
      <c r="V24" s="47" t="str">
        <f t="shared" si="1"/>
        <v/>
      </c>
      <c r="W24" s="48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6" t="str">
        <f t="shared" si="0"/>
        <v/>
      </c>
      <c r="V25" s="47" t="str">
        <f t="shared" si="1"/>
        <v/>
      </c>
      <c r="W25" s="48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6" t="str">
        <f t="shared" si="0"/>
        <v/>
      </c>
      <c r="V26" s="47" t="str">
        <f t="shared" si="1"/>
        <v/>
      </c>
      <c r="W26" s="48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6" t="str">
        <f t="shared" si="0"/>
        <v/>
      </c>
      <c r="V27" s="47" t="str">
        <f t="shared" si="1"/>
        <v/>
      </c>
      <c r="W27" s="48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6" t="str">
        <f t="shared" si="0"/>
        <v/>
      </c>
      <c r="V28" s="47" t="str">
        <f t="shared" si="1"/>
        <v/>
      </c>
      <c r="W28" s="48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6" t="str">
        <f t="shared" si="0"/>
        <v/>
      </c>
      <c r="V29" s="47" t="str">
        <f t="shared" si="1"/>
        <v/>
      </c>
      <c r="W29" s="48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49" t="str">
        <f t="shared" si="0"/>
        <v/>
      </c>
      <c r="V30" s="50" t="str">
        <f t="shared" si="1"/>
        <v/>
      </c>
      <c r="W30" s="51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289941ED-16C6-44FC-92EE-5DD935E3B92D}">
      <formula1>$U$2:$W$2</formula1>
    </dataValidation>
    <dataValidation type="list" showInputMessage="1" showErrorMessage="1" sqref="K4:K30 P4:P30 F4:F30" xr:uid="{4AE30AA1-F185-4BF7-9B4E-E57316F1A96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</row>
    <row r="3" spans="1:10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</row>
    <row r="4" spans="1:10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</row>
    <row r="5" spans="1:10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</row>
    <row r="6" spans="1:10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</row>
    <row r="7" spans="1:10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</row>
    <row r="8" spans="1:10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</row>
    <row r="9" spans="1:10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</row>
    <row r="10" spans="1:10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</row>
    <row r="11" spans="1:10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</row>
    <row r="12" spans="1:10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</row>
    <row r="3" spans="1:10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</row>
    <row r="4" spans="1:10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</row>
    <row r="5" spans="1:10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</row>
    <row r="6" spans="1:10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</row>
    <row r="7" spans="1:10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</row>
    <row r="8" spans="1:10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</row>
    <row r="9" spans="1:10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</row>
    <row r="10" spans="1:10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</row>
    <row r="11" spans="1:10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</row>
    <row r="12" spans="1:10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</row>
    <row r="3" spans="1:10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</row>
    <row r="4" spans="1:10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</row>
    <row r="5" spans="1:10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</row>
    <row r="6" spans="1:10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</row>
    <row r="7" spans="1:10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</row>
    <row r="8" spans="1:10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</row>
    <row r="9" spans="1:10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</row>
    <row r="10" spans="1:10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</row>
    <row r="11" spans="1:10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</row>
    <row r="12" spans="1:10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J12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</row>
    <row r="3" spans="1:10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</row>
    <row r="4" spans="1:10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</row>
    <row r="5" spans="1:10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</row>
    <row r="6" spans="1:10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</row>
    <row r="7" spans="1:10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</row>
    <row r="8" spans="1:10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</row>
    <row r="9" spans="1:10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</row>
    <row r="10" spans="1:10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</row>
    <row r="11" spans="1:10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</row>
    <row r="12" spans="1:10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J14"/>
  <sheetViews>
    <sheetView workbookViewId="0"/>
  </sheetViews>
  <sheetFormatPr defaultRowHeight="18.75" x14ac:dyDescent="0.4"/>
  <cols>
    <col min="1" max="1" width="9" style="19"/>
  </cols>
  <sheetData>
    <row r="1" spans="1:10" s="19" customFormat="1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</row>
    <row r="3" spans="1:10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</row>
    <row r="4" spans="1:10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</row>
    <row r="5" spans="1:10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</row>
    <row r="6" spans="1:10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</row>
    <row r="7" spans="1:10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</row>
    <row r="8" spans="1:10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</row>
    <row r="9" spans="1:10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</row>
    <row r="10" spans="1:10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</row>
    <row r="11" spans="1:10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</row>
    <row r="12" spans="1:10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</row>
    <row r="14" spans="1:10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</row>
    <row r="3" spans="1:10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</row>
    <row r="4" spans="1:10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</row>
    <row r="5" spans="1:10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</row>
    <row r="6" spans="1:10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</row>
    <row r="7" spans="1:10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</row>
    <row r="8" spans="1:10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</row>
    <row r="9" spans="1:10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</row>
    <row r="10" spans="1:10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</row>
    <row r="11" spans="1:10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</row>
    <row r="12" spans="1:10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J12"/>
  <sheetViews>
    <sheetView workbookViewId="0"/>
  </sheetViews>
  <sheetFormatPr defaultRowHeight="18.75" x14ac:dyDescent="0.4"/>
  <cols>
    <col min="1" max="1" width="9" style="19"/>
  </cols>
  <sheetData>
    <row r="1" spans="1:10" x14ac:dyDescent="0.4"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 t="s">
        <v>15</v>
      </c>
      <c r="H1" s="19" t="s">
        <v>16</v>
      </c>
      <c r="I1" s="19" t="s">
        <v>17</v>
      </c>
      <c r="J1" s="19" t="s">
        <v>18</v>
      </c>
    </row>
    <row r="2" spans="1:10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</row>
    <row r="3" spans="1:10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</row>
    <row r="4" spans="1:10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</row>
    <row r="5" spans="1:10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</row>
    <row r="6" spans="1:10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</row>
    <row r="7" spans="1:10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</row>
    <row r="8" spans="1:10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</row>
    <row r="9" spans="1:10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</row>
    <row r="10" spans="1:10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</row>
    <row r="11" spans="1:10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</row>
    <row r="12" spans="1:10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Sheet2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2018-12-20T05:39:48Z</dcterms:modified>
</cp:coreProperties>
</file>