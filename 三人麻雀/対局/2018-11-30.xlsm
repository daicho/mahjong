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ADC64037-2D00-41CF-B65A-457D92654BE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N9" i="1" s="1"/>
  <c r="C7" i="1"/>
  <c r="C8" i="1" s="1"/>
  <c r="C6" i="1"/>
  <c r="I6" i="1" s="1"/>
  <c r="I5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7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S8" i="1" l="1"/>
  <c r="N8" i="1"/>
  <c r="I8" i="1"/>
  <c r="S9" i="1"/>
  <c r="A5" i="1"/>
  <c r="J5" i="1"/>
  <c r="U5" i="1" s="1"/>
  <c r="I9" i="1"/>
  <c r="A6" i="1"/>
  <c r="A7" i="1" s="1"/>
  <c r="A8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7" i="1"/>
  <c r="U7" i="1" s="1"/>
  <c r="J6" i="1"/>
  <c r="U6" i="1" s="1"/>
  <c r="A9" i="1" l="1"/>
  <c r="J8" i="1"/>
  <c r="T5" i="1"/>
  <c r="W5" i="1" s="1"/>
  <c r="T6" i="1"/>
  <c r="O6" i="1"/>
  <c r="B10" i="1"/>
  <c r="B11" i="1" s="1"/>
  <c r="V6" i="1" l="1"/>
  <c r="O7" i="1"/>
  <c r="W6" i="1"/>
  <c r="T7" i="1"/>
  <c r="U8" i="1"/>
  <c r="J9" i="1"/>
  <c r="A10" i="1"/>
  <c r="A11" i="1"/>
  <c r="B12" i="1"/>
  <c r="W7" i="1" l="1"/>
  <c r="T8" i="1"/>
  <c r="V7" i="1"/>
  <c r="O8" i="1"/>
  <c r="U9" i="1"/>
  <c r="J10" i="1"/>
  <c r="U10" i="1" s="1"/>
  <c r="B13" i="1"/>
  <c r="A13" i="1"/>
  <c r="A12" i="1"/>
  <c r="W2" i="1"/>
  <c r="V2" i="1"/>
  <c r="U2" i="1"/>
  <c r="V8" i="1" l="1"/>
  <c r="O9" i="1"/>
  <c r="W8" i="1"/>
  <c r="T9" i="1"/>
  <c r="B14" i="1"/>
  <c r="A14" i="1" s="1"/>
  <c r="W9" i="1" l="1"/>
  <c r="T10" i="1"/>
  <c r="W10" i="1" s="1"/>
  <c r="V9" i="1"/>
  <c r="O10" i="1"/>
  <c r="V10" i="1" s="1"/>
</calcChain>
</file>

<file path=xl/sharedStrings.xml><?xml version="1.0" encoding="utf-8"?>
<sst xmlns="http://schemas.openxmlformats.org/spreadsheetml/2006/main" count="91" uniqueCount="29">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</sst>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22</v>
      </c>
      <c r="L1" s="41"/>
      <c r="M1" s="41"/>
      <c r="N1" s="42"/>
      <c r="O1" s="43"/>
      <c r="P1" s="40" t="s">
        <v>24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F1</f>
        <v>だいち</v>
      </c>
      <c r="V2" s="21" t="str">
        <f>K1</f>
        <v>たかの</v>
      </c>
      <c r="W2" s="22" t="str">
        <f>P1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1">
        <f t="shared" ref="U3:U30" si="0">IF($J3="","",ROUND(($J3-$J$3)/1000,1))</f>
        <v>0</v>
      </c>
      <c r="V3" s="32">
        <f t="shared" ref="V3:V30" si="1">IF($O3="","",ROUND(($O3-$O$3)/1000,1))</f>
        <v>0</v>
      </c>
      <c r="W3" s="33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21</v>
      </c>
      <c r="F4" s="10" t="s">
        <v>25</v>
      </c>
      <c r="G4" s="11">
        <v>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37000</v>
      </c>
      <c r="K4" s="10" t="s">
        <v>26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34">
        <f t="shared" si="0"/>
        <v>2</v>
      </c>
      <c r="V4" s="35">
        <f t="shared" si="1"/>
        <v>-2</v>
      </c>
      <c r="W4" s="36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27</v>
      </c>
      <c r="G5" s="11">
        <v>2100</v>
      </c>
      <c r="H5" s="11">
        <v>2000</v>
      </c>
      <c r="I5" s="12">
        <f>IF(OR(F5="ロン",F5="ツモ"),$C5*1000,IF(F5="放銃",$C5*-1000,IF(F5="ツモ支払",$C5*-500,"")))</f>
        <v>0</v>
      </c>
      <c r="J5" s="27">
        <f t="shared" si="3"/>
        <v>41100</v>
      </c>
      <c r="K5" s="10" t="s">
        <v>28</v>
      </c>
      <c r="L5" s="11">
        <v>-800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31200</v>
      </c>
      <c r="P5" s="10" t="s">
        <v>28</v>
      </c>
      <c r="Q5" s="11">
        <v>-1300</v>
      </c>
      <c r="R5" s="11">
        <v>-1000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32700</v>
      </c>
      <c r="U5" s="34">
        <f t="shared" si="0"/>
        <v>6.1</v>
      </c>
      <c r="V5" s="35">
        <f t="shared" si="1"/>
        <v>-3.8</v>
      </c>
      <c r="W5" s="36">
        <f t="shared" si="2"/>
        <v>-2.2999999999999998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0" t="s">
        <v>26</v>
      </c>
      <c r="G6" s="11">
        <v>-8000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32100</v>
      </c>
      <c r="K6" s="10"/>
      <c r="L6" s="11"/>
      <c r="M6" s="11"/>
      <c r="N6" s="12" t="str">
        <f t="shared" si="6"/>
        <v/>
      </c>
      <c r="O6" s="27">
        <f t="shared" si="4"/>
        <v>31200</v>
      </c>
      <c r="P6" s="10" t="s">
        <v>25</v>
      </c>
      <c r="Q6" s="11">
        <v>8000</v>
      </c>
      <c r="R6" s="11">
        <v>1000</v>
      </c>
      <c r="S6" s="12">
        <f t="shared" si="7"/>
        <v>0</v>
      </c>
      <c r="T6" s="27">
        <f t="shared" si="5"/>
        <v>41700</v>
      </c>
      <c r="U6" s="34">
        <f t="shared" si="0"/>
        <v>-2.9</v>
      </c>
      <c r="V6" s="35">
        <f t="shared" si="1"/>
        <v>-3.8</v>
      </c>
      <c r="W6" s="36">
        <f t="shared" si="2"/>
        <v>6.7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21</v>
      </c>
      <c r="F7" s="10" t="s">
        <v>26</v>
      </c>
      <c r="G7" s="11">
        <v>-18000</v>
      </c>
      <c r="H7" s="11"/>
      <c r="I7" s="12">
        <f t="shared" si="12"/>
        <v>0</v>
      </c>
      <c r="J7" s="27">
        <f t="shared" si="3"/>
        <v>14100</v>
      </c>
      <c r="K7" s="10" t="s">
        <v>25</v>
      </c>
      <c r="L7" s="11">
        <v>18000</v>
      </c>
      <c r="M7" s="11"/>
      <c r="N7" s="12">
        <f t="shared" si="6"/>
        <v>0</v>
      </c>
      <c r="O7" s="27">
        <f t="shared" si="4"/>
        <v>49200</v>
      </c>
      <c r="P7" s="10"/>
      <c r="Q7" s="11"/>
      <c r="R7" s="11"/>
      <c r="S7" s="12" t="str">
        <f t="shared" si="7"/>
        <v/>
      </c>
      <c r="T7" s="27">
        <f t="shared" si="5"/>
        <v>41700</v>
      </c>
      <c r="U7" s="34">
        <f t="shared" si="0"/>
        <v>-20.9</v>
      </c>
      <c r="V7" s="35">
        <f t="shared" si="1"/>
        <v>14.2</v>
      </c>
      <c r="W7" s="36">
        <f t="shared" si="2"/>
        <v>6.7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21</v>
      </c>
      <c r="F8" s="10" t="s">
        <v>27</v>
      </c>
      <c r="G8" s="11">
        <v>16000</v>
      </c>
      <c r="H8" s="11"/>
      <c r="I8" s="12">
        <f t="shared" si="12"/>
        <v>1000</v>
      </c>
      <c r="J8" s="27">
        <f t="shared" si="3"/>
        <v>31100</v>
      </c>
      <c r="K8" s="10" t="s">
        <v>28</v>
      </c>
      <c r="L8" s="11">
        <v>-10000</v>
      </c>
      <c r="M8" s="11"/>
      <c r="N8" s="12">
        <f t="shared" si="6"/>
        <v>-500</v>
      </c>
      <c r="O8" s="27">
        <f t="shared" si="4"/>
        <v>38700</v>
      </c>
      <c r="P8" s="10" t="s">
        <v>28</v>
      </c>
      <c r="Q8" s="11">
        <v>-6000</v>
      </c>
      <c r="R8" s="11"/>
      <c r="S8" s="12">
        <f t="shared" si="7"/>
        <v>-500</v>
      </c>
      <c r="T8" s="27">
        <f t="shared" si="5"/>
        <v>35200</v>
      </c>
      <c r="U8" s="34">
        <f t="shared" si="0"/>
        <v>-3.9</v>
      </c>
      <c r="V8" s="35">
        <f t="shared" si="1"/>
        <v>3.7</v>
      </c>
      <c r="W8" s="36">
        <f t="shared" si="2"/>
        <v>0.2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23</v>
      </c>
      <c r="F9" s="10" t="s">
        <v>28</v>
      </c>
      <c r="G9" s="11">
        <v>-4500</v>
      </c>
      <c r="H9" s="11"/>
      <c r="I9" s="12">
        <f t="shared" si="12"/>
        <v>0</v>
      </c>
      <c r="J9" s="27">
        <f t="shared" si="3"/>
        <v>26600</v>
      </c>
      <c r="K9" s="10" t="s">
        <v>27</v>
      </c>
      <c r="L9" s="11">
        <v>12000</v>
      </c>
      <c r="M9" s="11"/>
      <c r="N9" s="12">
        <f t="shared" si="6"/>
        <v>0</v>
      </c>
      <c r="O9" s="27">
        <f t="shared" si="4"/>
        <v>50700</v>
      </c>
      <c r="P9" s="10" t="s">
        <v>28</v>
      </c>
      <c r="Q9" s="11">
        <v>-7500</v>
      </c>
      <c r="R9" s="11"/>
      <c r="S9" s="12">
        <f t="shared" si="7"/>
        <v>0</v>
      </c>
      <c r="T9" s="27">
        <f t="shared" si="5"/>
        <v>27700</v>
      </c>
      <c r="U9" s="34">
        <f t="shared" si="0"/>
        <v>-8.4</v>
      </c>
      <c r="V9" s="35">
        <f t="shared" si="1"/>
        <v>15.7</v>
      </c>
      <c r="W9" s="36">
        <f t="shared" si="2"/>
        <v>-7.3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19</v>
      </c>
      <c r="F10" s="10"/>
      <c r="G10" s="11"/>
      <c r="H10" s="11"/>
      <c r="I10" s="12" t="str">
        <f t="shared" si="12"/>
        <v/>
      </c>
      <c r="J10" s="27">
        <f t="shared" si="3"/>
        <v>26600</v>
      </c>
      <c r="K10" s="10" t="s">
        <v>25</v>
      </c>
      <c r="L10" s="11">
        <v>12000</v>
      </c>
      <c r="M10" s="11"/>
      <c r="N10" s="12">
        <f t="shared" si="6"/>
        <v>0</v>
      </c>
      <c r="O10" s="27">
        <f t="shared" si="4"/>
        <v>62700</v>
      </c>
      <c r="P10" s="10" t="s">
        <v>26</v>
      </c>
      <c r="Q10" s="11">
        <v>-12000</v>
      </c>
      <c r="R10" s="11"/>
      <c r="S10" s="12">
        <f t="shared" si="7"/>
        <v>0</v>
      </c>
      <c r="T10" s="27">
        <f t="shared" si="5"/>
        <v>15700</v>
      </c>
      <c r="U10" s="34">
        <f t="shared" si="0"/>
        <v>-8.4</v>
      </c>
      <c r="V10" s="35">
        <f t="shared" si="1"/>
        <v>27.7</v>
      </c>
      <c r="W10" s="36">
        <f t="shared" si="2"/>
        <v>-19.3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4" t="str">
        <f t="shared" si="0"/>
        <v/>
      </c>
      <c r="V11" s="35" t="str">
        <f t="shared" si="1"/>
        <v/>
      </c>
      <c r="W11" s="36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4" t="str">
        <f t="shared" si="0"/>
        <v/>
      </c>
      <c r="V12" s="35" t="str">
        <f t="shared" si="1"/>
        <v/>
      </c>
      <c r="W12" s="36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4" t="str">
        <f t="shared" si="0"/>
        <v/>
      </c>
      <c r="V13" s="35" t="str">
        <f t="shared" si="1"/>
        <v/>
      </c>
      <c r="W13" s="36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4" t="str">
        <f t="shared" si="0"/>
        <v/>
      </c>
      <c r="V14" s="35" t="str">
        <f t="shared" si="1"/>
        <v/>
      </c>
      <c r="W14" s="36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4" t="str">
        <f t="shared" si="0"/>
        <v/>
      </c>
      <c r="V15" s="35" t="str">
        <f t="shared" si="1"/>
        <v/>
      </c>
      <c r="W15" s="36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4" t="str">
        <f t="shared" si="0"/>
        <v/>
      </c>
      <c r="V16" s="35" t="str">
        <f t="shared" si="1"/>
        <v/>
      </c>
      <c r="W16" s="36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4" t="str">
        <f t="shared" si="0"/>
        <v/>
      </c>
      <c r="V17" s="35" t="str">
        <f t="shared" si="1"/>
        <v/>
      </c>
      <c r="W17" s="36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2019-02-06T12:44:36Z</dcterms:modified>
</cp:coreProperties>
</file>