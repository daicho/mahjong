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9C09D4F7-0DF9-440F-B611-6B5F89B07BA0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D5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T6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O6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<sst xmlns="http://schemas.openxmlformats.org/spreadsheetml/2006/main" count="95" uniqueCount="30">
  <si>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</si>
  <si>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</si>
  <si>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</si>
  <si>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</si>
  <si>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</si>
  <si>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</si>
  <si>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</si>
  <si>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</si>
  <si>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</si>
  <si>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</si>
  <si>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</si>
  <si>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</si>
  <si>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</si>
  <si>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</si>
  <si>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</si>
  <si>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</si>
  <si>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</si>
  <si>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</si>
  <si>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</si>
  <si>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</si>
  <si>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</si>
  <si>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</si>
  <si>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</si>
  <si>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</si>
  <si>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</si>
  <si>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流局</t>
  </si>
  <si>
    <t>ツモ</t>
  </si>
  <si>
    <t>ツモ支払</t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</si>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</sst>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2" t="s">
        <v>0</v>
      </c>
      <c r="B1" s="44" t="s">
        <v>2</v>
      </c>
      <c r="C1" s="44" t="s">
        <v>1</v>
      </c>
      <c r="D1" s="44" t="s">
        <v>6</v>
      </c>
      <c r="E1" s="46" t="s">
        <v>3</v>
      </c>
      <c r="F1" s="38" t="s">
        <v>20</v>
      </c>
      <c r="G1" s="39"/>
      <c r="H1" s="39"/>
      <c r="I1" s="40"/>
      <c r="J1" s="41"/>
      <c r="K1" s="38" t="s">
        <v>22</v>
      </c>
      <c r="L1" s="39"/>
      <c r="M1" s="39"/>
      <c r="N1" s="40"/>
      <c r="O1" s="41"/>
      <c r="P1" s="38" t="s">
        <v>24</v>
      </c>
      <c r="Q1" s="39"/>
      <c r="R1" s="39"/>
      <c r="S1" s="40"/>
      <c r="T1" s="41"/>
      <c r="U1" s="38" t="s">
        <v>8</v>
      </c>
      <c r="V1" s="39"/>
      <c r="W1" s="41"/>
    </row>
    <row r="2" spans="1:23" x14ac:dyDescent="0.4">
      <c r="A2" s="43"/>
      <c r="B2" s="45"/>
      <c r="C2" s="45"/>
      <c r="D2" s="45"/>
      <c r="E2" s="47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4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23</v>
      </c>
      <c r="F4" s="17" t="s">
        <v>25</v>
      </c>
      <c r="G4" s="18"/>
      <c r="H4" s="18">
        <v>-1000</v>
      </c>
      <c r="I4" s="19" t="str">
        <f>IF(OR(F4="ロン",F4="ツモ"),$C4*1000,IF(F4="放銃",$C4*-1000,IF(F4="ツモ支払",$C4*-500,"")))</f>
        <v/>
      </c>
      <c r="J4" s="20">
        <f t="shared" ref="J4:J30" si="0">IF(COUNTA($F4,$K4,$P4)&gt;0,J3+SUM(G4:I4),"")</f>
        <v>34000</v>
      </c>
      <c r="K4" s="17" t="s">
        <v>25</v>
      </c>
      <c r="L4" s="18"/>
      <c r="M4" s="18"/>
      <c r="N4" s="19" t="str">
        <f>IF(OR(K4="ロン",K4="ツモ"),$C4*1000,IF(K4="放銃",$C4*-1000,IF(K4="ツモ支払",$C4*-500,"")))</f>
        <v/>
      </c>
      <c r="O4" s="20">
        <f t="shared" ref="O4:O30" si="1">IF(COUNTA($F4,$K4,$P4)&gt;0,O3+SUM(L4:N4),"")</f>
        <v>35000</v>
      </c>
      <c r="P4" s="17" t="s">
        <v>25</v>
      </c>
      <c r="Q4" s="18"/>
      <c r="R4" s="18"/>
      <c r="S4" s="19" t="str">
        <f>IF(OR(P4="ロン",P4="ツモ"),$C4*1000,IF(P4="放銃",$C4*-1000,IF(P4="ツモ支払",$C4*-500,"")))</f>
        <v/>
      </c>
      <c r="T4" s="20">
        <f t="shared" ref="T4:T30" si="2">IF(COUNTA($F4,$K4,$P4)&gt;0,T3+SUM(Q4:S4),"")</f>
        <v>35000</v>
      </c>
      <c r="U4" s="21">
        <f>IF($J4="","",ROUND(($J4-35000)/1000,0))</f>
        <v>-1</v>
      </c>
      <c r="V4" s="22">
        <f>IF($O4="","",ROUND(($O4-35000)/1000,0))</f>
        <v>0</v>
      </c>
      <c r="W4" s="23">
        <f>IF($T4="","",ROUND(($T4-35000)/1000,0))</f>
        <v>0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1</v>
      </c>
      <c r="E5" s="6" t="s">
        <v>23</v>
      </c>
      <c r="F5" s="17" t="s">
        <v>27</v>
      </c>
      <c r="G5" s="18">
        <v>-3000</v>
      </c>
      <c r="H5" s="18"/>
      <c r="I5" s="19">
        <f>IF(OR(F5="ロン",F5="ツモ"),$C5*1000,IF(F5="放銃",$C5*-1000,IF(F5="ツモ支払",$C5*-500,"")))</f>
        <v>-500</v>
      </c>
      <c r="J5" s="20">
        <f t="shared" si="0"/>
        <v>30500</v>
      </c>
      <c r="K5" s="17" t="s">
        <v>26</v>
      </c>
      <c r="L5" s="18">
        <v>8000</v>
      </c>
      <c r="M5" s="18">
        <v>1000</v>
      </c>
      <c r="N5" s="19">
        <f t="shared" ref="N5:N30" si="3">IF(OR(K5="ロン",K5="ツモ"),$C5*1000,IF(K5="放銃",$C5*-1000,IF(K5="ツモ支払",$C5*-500,"")))</f>
        <v>1000</v>
      </c>
      <c r="O5" s="20">
        <f t="shared" si="1"/>
        <v>45000</v>
      </c>
      <c r="P5" s="17" t="s">
        <v>27</v>
      </c>
      <c r="Q5" s="18">
        <v>-5000</v>
      </c>
      <c r="R5" s="18"/>
      <c r="S5" s="19">
        <f t="shared" ref="S5:S30" si="4">IF(OR(P5="ロン",P5="ツモ"),$C5*1000,IF(P5="放銃",$C5*-1000,IF(P5="ツモ支払",$C5*-500,"")))</f>
        <v>-500</v>
      </c>
      <c r="T5" s="20">
        <f t="shared" si="2"/>
        <v>29500</v>
      </c>
      <c r="U5" s="21">
        <f>IF($J5="","",ROUND(($J5-35000)/1000,0))</f>
        <v>-5</v>
      </c>
      <c r="V5" s="22">
        <f>IF($O5="","",ROUND(($O5-35000)/1000,0))</f>
        <v>10</v>
      </c>
      <c r="W5" s="23">
        <f>IF($T5="","",ROUND(($T5-35000)/1000,0))</f>
        <v>-6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2</v>
      </c>
      <c r="C6" s="34">
        <f t="shared" ref="C6:C30" si="7">IF($E6="","",IF($E5=$E6,C5+1,0))</f>
        <v>0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19</v>
      </c>
      <c r="F6" s="17" t="s">
        <v>25</v>
      </c>
      <c r="G6" s="18">
        <v>1500</v>
      </c>
      <c r="H6" s="18"/>
      <c r="I6" s="19" t="str">
        <f t="shared" ref="I6:I30" si="9">IF(OR(F6="ロン",F6="ツモ"),$C6*1000,IF(F6="放銃",$C6*-1000,IF(F6="ツモ支払",$C6*-500,"")))</f>
        <v/>
      </c>
      <c r="J6" s="20">
        <f t="shared" si="0"/>
        <v>32000</v>
      </c>
      <c r="K6" s="17" t="s">
        <v>25</v>
      </c>
      <c r="L6" s="18">
        <v>-3000</v>
      </c>
      <c r="M6" s="18"/>
      <c r="N6" s="19" t="str">
        <f t="shared" si="3"/>
        <v/>
      </c>
      <c r="O6" s="20">
        <f t="shared" si="1"/>
        <v>42000</v>
      </c>
      <c r="P6" s="17" t="s">
        <v>25</v>
      </c>
      <c r="Q6" s="18">
        <v>1500</v>
      </c>
      <c r="R6" s="18"/>
      <c r="S6" s="19" t="str">
        <f t="shared" si="4"/>
        <v/>
      </c>
      <c r="T6" s="20">
        <f t="shared" si="2"/>
        <v>31000</v>
      </c>
      <c r="U6" s="21">
        <f>IF($J6="","",ROUND(($J6-35000)/1000,0))</f>
        <v>-3</v>
      </c>
      <c r="V6" s="22">
        <f>IF($O6="","",ROUND(($O6-35000)/1000,0))</f>
        <v>7</v>
      </c>
      <c r="W6" s="23">
        <f>IF($T6="","",ROUND(($T6-35000)/1000,0))</f>
        <v>-4</v>
      </c>
    </row>
    <row r="7" spans="1:23" x14ac:dyDescent="0.4">
      <c r="A7" s="33" t="str">
        <f t="shared" si="5"/>
        <v>東</v>
      </c>
      <c r="B7" s="34">
        <f t="shared" si="6"/>
        <v>2</v>
      </c>
      <c r="C7" s="34">
        <f t="shared" si="7"/>
        <v>1</v>
      </c>
      <c r="D7" s="34">
        <f t="shared" si="8"/>
        <v>0</v>
      </c>
      <c r="E7" s="6" t="s">
        <v>19</v>
      </c>
      <c r="F7" s="17" t="s">
        <v>28</v>
      </c>
      <c r="G7" s="18">
        <v>-8000</v>
      </c>
      <c r="H7" s="18"/>
      <c r="I7" s="19">
        <f t="shared" si="9"/>
        <v>-1000</v>
      </c>
      <c r="J7" s="20">
        <f t="shared" si="0"/>
        <v>23000</v>
      </c>
      <c r="K7" s="17" t="s">
        <v>29</v>
      </c>
      <c r="L7" s="18">
        <v>8000</v>
      </c>
      <c r="M7" s="18">
        <v>1000</v>
      </c>
      <c r="N7" s="19">
        <f t="shared" si="3"/>
        <v>1000</v>
      </c>
      <c r="O7" s="20">
        <f t="shared" si="1"/>
        <v>52000</v>
      </c>
      <c r="P7" s="17"/>
      <c r="Q7" s="18"/>
      <c r="R7" s="18">
        <v>-1000</v>
      </c>
      <c r="S7" s="19" t="str">
        <f t="shared" si="4"/>
        <v/>
      </c>
      <c r="T7" s="20">
        <f t="shared" si="2"/>
        <v>30000</v>
      </c>
      <c r="U7" s="21">
        <f>IF($J7="","",ROUND(($J7-35000)/1000,0))</f>
        <v>-12</v>
      </c>
      <c r="V7" s="22">
        <f>IF($O7="","",ROUND(($O7-35000)/1000,0))</f>
        <v>17</v>
      </c>
      <c r="W7" s="23">
        <f>IF($T7="","",ROUND(($T7-35000)/1000,0))</f>
        <v>-5</v>
      </c>
    </row>
    <row r="8" spans="1:23" x14ac:dyDescent="0.4">
      <c r="A8" s="33" t="str">
        <f t="shared" si="5"/>
        <v>東</v>
      </c>
      <c r="B8" s="34">
        <f t="shared" si="6"/>
        <v>3</v>
      </c>
      <c r="C8" s="34">
        <f t="shared" si="7"/>
        <v>0</v>
      </c>
      <c r="D8" s="34">
        <f t="shared" si="8"/>
        <v>0</v>
      </c>
      <c r="E8" s="6" t="s">
        <v>21</v>
      </c>
      <c r="F8" s="17"/>
      <c r="G8" s="18"/>
      <c r="H8" s="18"/>
      <c r="I8" s="19" t="str">
        <f t="shared" si="9"/>
        <v/>
      </c>
      <c r="J8" s="20">
        <f t="shared" si="0"/>
        <v>23000</v>
      </c>
      <c r="K8" s="17" t="s">
        <v>29</v>
      </c>
      <c r="L8" s="18">
        <v>18000</v>
      </c>
      <c r="M8" s="18"/>
      <c r="N8" s="19">
        <f t="shared" si="3"/>
        <v>0</v>
      </c>
      <c r="O8" s="20">
        <f t="shared" si="1"/>
        <v>70000</v>
      </c>
      <c r="P8" s="17" t="s">
        <v>28</v>
      </c>
      <c r="Q8" s="18">
        <v>-18000</v>
      </c>
      <c r="R8" s="18"/>
      <c r="S8" s="19">
        <f t="shared" si="4"/>
        <v>0</v>
      </c>
      <c r="T8" s="20">
        <f t="shared" si="2"/>
        <v>12000</v>
      </c>
      <c r="U8" s="21">
        <f>IF($J8="","",ROUND(($J8-35000)/1000,0))</f>
        <v>-12</v>
      </c>
      <c r="V8" s="22">
        <f>IF($O8="","",ROUND(($O8-35000)/1000,0))</f>
        <v>35</v>
      </c>
      <c r="W8" s="23">
        <f>IF($T8="","",ROUND(($T8-35000)/1000,0))</f>
        <v>-23</v>
      </c>
    </row>
    <row r="9" spans="1:23" x14ac:dyDescent="0.4">
      <c r="A9" s="33" t="str">
        <f t="shared" si="5"/>
        <v>東</v>
      </c>
      <c r="B9" s="34">
        <f t="shared" si="6"/>
        <v>3</v>
      </c>
      <c r="C9" s="34">
        <f t="shared" si="7"/>
        <v>1</v>
      </c>
      <c r="D9" s="34">
        <f t="shared" si="8"/>
        <v>0</v>
      </c>
      <c r="E9" s="6" t="s">
        <v>21</v>
      </c>
      <c r="F9" s="17" t="s">
        <v>25</v>
      </c>
      <c r="G9" s="18">
        <v>-3000</v>
      </c>
      <c r="H9" s="18"/>
      <c r="I9" s="19" t="str">
        <f t="shared" si="9"/>
        <v/>
      </c>
      <c r="J9" s="20">
        <f t="shared" si="0"/>
        <v>20000</v>
      </c>
      <c r="K9" s="17" t="s">
        <v>25</v>
      </c>
      <c r="L9" s="18">
        <v>1500</v>
      </c>
      <c r="M9" s="18">
        <v>-1000</v>
      </c>
      <c r="N9" s="19" t="str">
        <f t="shared" si="3"/>
        <v/>
      </c>
      <c r="O9" s="20">
        <f t="shared" si="1"/>
        <v>70500</v>
      </c>
      <c r="P9" s="17" t="s">
        <v>25</v>
      </c>
      <c r="Q9" s="18">
        <v>1500</v>
      </c>
      <c r="R9" s="18">
        <v>-1000</v>
      </c>
      <c r="S9" s="19" t="str">
        <f t="shared" si="4"/>
        <v/>
      </c>
      <c r="T9" s="20">
        <f t="shared" si="2"/>
        <v>12500</v>
      </c>
      <c r="U9" s="21">
        <f>IF($J9="","",ROUND(($J9-35000)/1000,0))</f>
        <v>-15</v>
      </c>
      <c r="V9" s="22">
        <f>IF($O9="","",ROUND(($O9-35000)/1000,0))</f>
        <v>36</v>
      </c>
      <c r="W9" s="23">
        <f>IF($T9="","",ROUND(($T9-35000)/1000,0))</f>
        <v>-23</v>
      </c>
    </row>
    <row r="10" spans="1:23" x14ac:dyDescent="0.4">
      <c r="A10" s="33" t="str">
        <f t="shared" si="5"/>
        <v>東</v>
      </c>
      <c r="B10" s="34">
        <f t="shared" si="6"/>
        <v>3</v>
      </c>
      <c r="C10" s="34">
        <f t="shared" si="7"/>
        <v>2</v>
      </c>
      <c r="D10" s="34">
        <f t="shared" si="8"/>
        <v>2</v>
      </c>
      <c r="E10" s="6" t="s">
        <v>21</v>
      </c>
      <c r="F10" s="17" t="s">
        <v>28</v>
      </c>
      <c r="G10" s="18">
        <v>-12000</v>
      </c>
      <c r="H10" s="18">
        <v>-1000</v>
      </c>
      <c r="I10" s="19">
        <f t="shared" si="9"/>
        <v>-2000</v>
      </c>
      <c r="J10" s="20">
        <f t="shared" si="0"/>
        <v>5000</v>
      </c>
      <c r="K10" s="17" t="s">
        <v>29</v>
      </c>
      <c r="L10" s="18">
        <v>12000</v>
      </c>
      <c r="M10" s="18">
        <v>3000</v>
      </c>
      <c r="N10" s="19">
        <f t="shared" si="3"/>
        <v>2000</v>
      </c>
      <c r="O10" s="20">
        <f t="shared" si="1"/>
        <v>87500</v>
      </c>
      <c r="P10" s="17"/>
      <c r="Q10" s="18"/>
      <c r="R10" s="18"/>
      <c r="S10" s="19" t="str">
        <f t="shared" si="4"/>
        <v/>
      </c>
      <c r="T10" s="20">
        <f t="shared" si="2"/>
        <v>12500</v>
      </c>
      <c r="U10" s="21">
        <f>IF($J10="","",ROUND(($J10-35000)/1000,0))</f>
        <v>-30</v>
      </c>
      <c r="V10" s="22">
        <f>IF($O10="","",ROUND(($O10-35000)/1000,0))</f>
        <v>53</v>
      </c>
      <c r="W10" s="23">
        <f>IF($T10="","",ROUND(($T10-35000)/1000,0))</f>
        <v>-23</v>
      </c>
    </row>
    <row r="11" spans="1:23" x14ac:dyDescent="0.4">
      <c r="A11" s="33" t="str">
        <f t="shared" si="5"/>
        <v>東</v>
      </c>
      <c r="B11" s="34">
        <f t="shared" si="6"/>
        <v>3</v>
      </c>
      <c r="C11" s="34">
        <f t="shared" si="7"/>
        <v>3</v>
      </c>
      <c r="D11" s="34">
        <f t="shared" si="8"/>
        <v>0</v>
      </c>
      <c r="E11" s="6" t="s">
        <v>21</v>
      </c>
      <c r="F11" s="17" t="s">
        <v>28</v>
      </c>
      <c r="G11" s="18">
        <v>-8000</v>
      </c>
      <c r="H11" s="18"/>
      <c r="I11" s="19">
        <f t="shared" si="9"/>
        <v>-3000</v>
      </c>
      <c r="J11" s="20">
        <f t="shared" si="0"/>
        <v>-6000</v>
      </c>
      <c r="K11" s="17"/>
      <c r="L11" s="18"/>
      <c r="M11" s="18"/>
      <c r="N11" s="19" t="str">
        <f t="shared" si="3"/>
        <v/>
      </c>
      <c r="O11" s="20">
        <f t="shared" si="1"/>
        <v>87500</v>
      </c>
      <c r="P11" s="17" t="s">
        <v>29</v>
      </c>
      <c r="Q11" s="18">
        <v>8000</v>
      </c>
      <c r="R11" s="18"/>
      <c r="S11" s="19">
        <f t="shared" si="4"/>
        <v>3000</v>
      </c>
      <c r="T11" s="20">
        <f t="shared" si="2"/>
        <v>23500</v>
      </c>
      <c r="U11" s="21">
        <f>IF($J11="","",ROUND(($J11-35000)/1000,0))</f>
        <v>-41</v>
      </c>
      <c r="V11" s="22">
        <f>IF($O11="","",ROUND(($O11-35000)/1000,0))</f>
        <v>53</v>
      </c>
      <c r="W11" s="23">
        <f>IF($T11="","",ROUND(($T11-35000)/1000,0))</f>
        <v>-12</v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2018-12-01T11:35:30Z</dcterms:modified>
</cp:coreProperties>
</file>