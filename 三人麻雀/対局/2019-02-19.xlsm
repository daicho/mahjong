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D952E843-F8DC-43DF-9639-0010397ED9B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D14" i="19"/>
  <c r="C14" i="19"/>
  <c r="D13" i="19"/>
  <c r="C13" i="19"/>
  <c r="D12" i="19"/>
  <c r="C12" i="19"/>
  <c r="D10" i="19"/>
  <c r="D11" i="19" s="1"/>
  <c r="C10" i="19"/>
  <c r="C11" i="19" s="1"/>
  <c r="D9" i="19"/>
  <c r="C9" i="19"/>
  <c r="D6" i="19"/>
  <c r="D7" i="19" s="1"/>
  <c r="D8" i="19" s="1"/>
  <c r="C6" i="19"/>
  <c r="C7" i="19" s="1"/>
  <c r="C8" i="19" s="1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 s="1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 s="1"/>
  <c r="D11" i="18"/>
  <c r="C11" i="18"/>
  <c r="D10" i="18"/>
  <c r="C10" i="18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C14" i="17"/>
  <c r="D13" i="17"/>
  <c r="C13" i="17"/>
  <c r="D12" i="17"/>
  <c r="D10" i="17"/>
  <c r="D11" i="17" s="1"/>
  <c r="C10" i="17"/>
  <c r="C11" i="17" s="1"/>
  <c r="C12" i="17" s="1"/>
  <c r="D9" i="17"/>
  <c r="C9" i="17"/>
  <c r="D8" i="17"/>
  <c r="D7" i="17"/>
  <c r="D6" i="17"/>
  <c r="C6" i="17"/>
  <c r="C7" i="17" s="1"/>
  <c r="C8" i="17" s="1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 s="1"/>
  <c r="T14" i="16"/>
  <c r="W14" i="16" s="1"/>
  <c r="O14" i="16"/>
  <c r="V14" i="16" s="1"/>
  <c r="J14" i="16"/>
  <c r="U14" i="16" s="1"/>
  <c r="D14" i="16"/>
  <c r="C14" i="16"/>
  <c r="B14" i="16"/>
  <c r="A14" i="16" s="1"/>
  <c r="T13" i="16"/>
  <c r="W13" i="16" s="1"/>
  <c r="O13" i="16"/>
  <c r="V13" i="16" s="1"/>
  <c r="J13" i="16"/>
  <c r="U13" i="16" s="1"/>
  <c r="D13" i="16"/>
  <c r="C13" i="16"/>
  <c r="B13" i="16"/>
  <c r="A13" i="16"/>
  <c r="D12" i="16"/>
  <c r="C12" i="16"/>
  <c r="D11" i="16"/>
  <c r="D10" i="16"/>
  <c r="C10" i="16"/>
  <c r="C11" i="16" s="1"/>
  <c r="D8" i="16"/>
  <c r="D9" i="16" s="1"/>
  <c r="C8" i="16"/>
  <c r="C9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9" l="1"/>
  <c r="V5" i="19"/>
  <c r="B7" i="19"/>
  <c r="V6" i="19"/>
  <c r="O7" i="19"/>
  <c r="T5" i="19"/>
  <c r="A6" i="19"/>
  <c r="J6" i="19"/>
  <c r="V5" i="18"/>
  <c r="B7" i="18"/>
  <c r="A7" i="18" s="1"/>
  <c r="V6" i="18"/>
  <c r="O7" i="18"/>
  <c r="T5" i="18"/>
  <c r="A6" i="18"/>
  <c r="J6" i="18"/>
  <c r="A5" i="17"/>
  <c r="V5" i="17"/>
  <c r="V6" i="17"/>
  <c r="O7" i="17"/>
  <c r="B7" i="17"/>
  <c r="T5" i="17"/>
  <c r="A6" i="17"/>
  <c r="J6" i="17"/>
  <c r="A5" i="16"/>
  <c r="V5" i="16"/>
  <c r="B7" i="16"/>
  <c r="O7" i="16"/>
  <c r="V6" i="16"/>
  <c r="T5" i="16"/>
  <c r="A6" i="16"/>
  <c r="A7" i="16" s="1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A7" i="19" l="1"/>
  <c r="W5" i="19"/>
  <c r="T6" i="19"/>
  <c r="B8" i="19"/>
  <c r="A8" i="19" s="1"/>
  <c r="O8" i="19"/>
  <c r="V7" i="19"/>
  <c r="U6" i="19"/>
  <c r="J7" i="19"/>
  <c r="T6" i="18"/>
  <c r="W5" i="18"/>
  <c r="O8" i="18"/>
  <c r="V7" i="18"/>
  <c r="U6" i="18"/>
  <c r="J7" i="18"/>
  <c r="B8" i="18"/>
  <c r="A8" i="18" s="1"/>
  <c r="O8" i="17"/>
  <c r="V7" i="17"/>
  <c r="B8" i="17"/>
  <c r="A8" i="17" s="1"/>
  <c r="J7" i="17"/>
  <c r="U6" i="17"/>
  <c r="A7" i="17"/>
  <c r="T6" i="17"/>
  <c r="W5" i="17"/>
  <c r="U6" i="16"/>
  <c r="J7" i="16"/>
  <c r="O8" i="16"/>
  <c r="V7" i="16"/>
  <c r="W5" i="16"/>
  <c r="T6" i="16"/>
  <c r="B8" i="16"/>
  <c r="W3" i="1"/>
  <c r="V3" i="1"/>
  <c r="U3" i="1"/>
  <c r="W6" i="19" l="1"/>
  <c r="T7" i="19"/>
  <c r="U7" i="19"/>
  <c r="J8" i="19"/>
  <c r="B9" i="19"/>
  <c r="V8" i="19"/>
  <c r="O9" i="19"/>
  <c r="W6" i="18"/>
  <c r="T7" i="18"/>
  <c r="B9" i="18"/>
  <c r="A9" i="18" s="1"/>
  <c r="V8" i="18"/>
  <c r="O9" i="18"/>
  <c r="U7" i="18"/>
  <c r="J8" i="18"/>
  <c r="U7" i="17"/>
  <c r="J8" i="17"/>
  <c r="V8" i="17"/>
  <c r="O9" i="17"/>
  <c r="W6" i="17"/>
  <c r="T7" i="17"/>
  <c r="B9" i="17"/>
  <c r="B9" i="16"/>
  <c r="W6" i="16"/>
  <c r="T7" i="16"/>
  <c r="U7" i="16"/>
  <c r="J8" i="16"/>
  <c r="A8" i="16"/>
  <c r="A9" i="16" s="1"/>
  <c r="O9" i="16"/>
  <c r="V8" i="16"/>
  <c r="B5" i="1"/>
  <c r="A5" i="1" s="1"/>
  <c r="D6" i="1"/>
  <c r="B6" i="1"/>
  <c r="A6" i="1" s="1"/>
  <c r="D5" i="1"/>
  <c r="B10" i="19" l="1"/>
  <c r="A9" i="19"/>
  <c r="A10" i="19" s="1"/>
  <c r="O10" i="19"/>
  <c r="V9" i="19"/>
  <c r="J9" i="19"/>
  <c r="U8" i="19"/>
  <c r="T8" i="19"/>
  <c r="W7" i="19"/>
  <c r="J9" i="18"/>
  <c r="U8" i="18"/>
  <c r="B10" i="18"/>
  <c r="A10" i="18" s="1"/>
  <c r="O10" i="18"/>
  <c r="V9" i="18"/>
  <c r="W7" i="18"/>
  <c r="T8" i="18"/>
  <c r="B10" i="17"/>
  <c r="A10" i="17" s="1"/>
  <c r="O10" i="17"/>
  <c r="V9" i="17"/>
  <c r="A9" i="17"/>
  <c r="T8" i="17"/>
  <c r="W7" i="17"/>
  <c r="U8" i="17"/>
  <c r="J9" i="17"/>
  <c r="U8" i="16"/>
  <c r="J9" i="16"/>
  <c r="B10" i="16"/>
  <c r="O10" i="16"/>
  <c r="V9" i="16"/>
  <c r="W7" i="16"/>
  <c r="T8" i="16"/>
  <c r="Y1" i="1"/>
  <c r="U9" i="19" l="1"/>
  <c r="J10" i="19"/>
  <c r="B11" i="19"/>
  <c r="A11" i="19" s="1"/>
  <c r="W8" i="19"/>
  <c r="T9" i="19"/>
  <c r="V10" i="19"/>
  <c r="O11" i="19"/>
  <c r="V10" i="18"/>
  <c r="O11" i="18"/>
  <c r="V11" i="18" s="1"/>
  <c r="U9" i="18"/>
  <c r="J10" i="18"/>
  <c r="W8" i="18"/>
  <c r="T9" i="18"/>
  <c r="B11" i="18"/>
  <c r="A11" i="18" s="1"/>
  <c r="V10" i="17"/>
  <c r="O11" i="17"/>
  <c r="W8" i="17"/>
  <c r="T9" i="17"/>
  <c r="U9" i="17"/>
  <c r="J10" i="17"/>
  <c r="B11" i="17"/>
  <c r="B11" i="16"/>
  <c r="A11" i="16" s="1"/>
  <c r="U9" i="16"/>
  <c r="J10" i="16"/>
  <c r="V10" i="16"/>
  <c r="O11" i="16"/>
  <c r="W8" i="16"/>
  <c r="T9" i="16"/>
  <c r="A10" i="16"/>
  <c r="BO1" i="1"/>
  <c r="AT1" i="1"/>
  <c r="O12" i="19" l="1"/>
  <c r="V11" i="19"/>
  <c r="B12" i="19"/>
  <c r="W9" i="19"/>
  <c r="T10" i="19"/>
  <c r="U10" i="19"/>
  <c r="J11" i="19"/>
  <c r="U10" i="18"/>
  <c r="J11" i="18"/>
  <c r="U11" i="18" s="1"/>
  <c r="W9" i="18"/>
  <c r="T10" i="18"/>
  <c r="B12" i="17"/>
  <c r="A11" i="17"/>
  <c r="W9" i="17"/>
  <c r="T10" i="17"/>
  <c r="U10" i="17"/>
  <c r="J11" i="17"/>
  <c r="O12" i="17"/>
  <c r="V11" i="17"/>
  <c r="O12" i="16"/>
  <c r="V12" i="16" s="1"/>
  <c r="V11" i="16"/>
  <c r="B12" i="16"/>
  <c r="A12" i="16" s="1"/>
  <c r="W9" i="16"/>
  <c r="T10" i="16"/>
  <c r="U10" i="16"/>
  <c r="J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B13" i="19" l="1"/>
  <c r="U11" i="19"/>
  <c r="J12" i="19"/>
  <c r="A12" i="19"/>
  <c r="A13" i="19" s="1"/>
  <c r="W10" i="19"/>
  <c r="T11" i="19"/>
  <c r="V12" i="19"/>
  <c r="O13" i="19"/>
  <c r="W10" i="18"/>
  <c r="T11" i="18"/>
  <c r="W11" i="18" s="1"/>
  <c r="A12" i="17"/>
  <c r="O13" i="17"/>
  <c r="V12" i="17"/>
  <c r="U11" i="17"/>
  <c r="J12" i="17"/>
  <c r="W10" i="17"/>
  <c r="T11" i="17"/>
  <c r="B13" i="17"/>
  <c r="W10" i="16"/>
  <c r="T11" i="16"/>
  <c r="U11" i="16"/>
  <c r="J12" i="16"/>
  <c r="U12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U12" i="19" l="1"/>
  <c r="J13" i="19"/>
  <c r="O14" i="19"/>
  <c r="V14" i="19" s="1"/>
  <c r="V13" i="19"/>
  <c r="W11" i="19"/>
  <c r="T12" i="19"/>
  <c r="B14" i="19"/>
  <c r="A14" i="19" s="1"/>
  <c r="B14" i="17"/>
  <c r="A14" i="17"/>
  <c r="O14" i="17"/>
  <c r="V14" i="17" s="1"/>
  <c r="V13" i="17"/>
  <c r="A13" i="17"/>
  <c r="U12" i="17"/>
  <c r="J13" i="17"/>
  <c r="W11" i="17"/>
  <c r="T12" i="17"/>
  <c r="W11" i="16"/>
  <c r="T12" i="16"/>
  <c r="W12" i="16" s="1"/>
  <c r="W2" i="1"/>
  <c r="V2" i="1"/>
  <c r="U2" i="1"/>
  <c r="W12" i="19" l="1"/>
  <c r="T13" i="19"/>
  <c r="U13" i="19"/>
  <c r="J14" i="19"/>
  <c r="U14" i="19" s="1"/>
  <c r="U13" i="17"/>
  <c r="J14" i="17"/>
  <c r="U14" i="17" s="1"/>
  <c r="W12" i="17"/>
  <c r="T13" i="17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W13" i="19" l="1"/>
  <c r="T14" i="19"/>
  <c r="W14" i="19" s="1"/>
  <c r="W13" i="17"/>
  <c r="T14" i="17"/>
  <c r="W14" i="17" s="1"/>
  <c r="B8" i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<sst xmlns="http://schemas.openxmlformats.org/spreadsheetml/2006/main" count="1003" uniqueCount="156">
  <si>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</si>
  <si>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</si>
  <si>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</si>
  <si>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</si>
  <si>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</si>
  <si>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</si>
  <si>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</si>
  <si>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</si>
  <si>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</si>
  <si>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</si>
  <si>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</si>
  <si>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</si>
  <si>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</si>
  <si>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</si>
  <si>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</si>
  <si>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</si>
  <si>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</si>
  <si>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</si>
  <si>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</si>
  <si>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</si>
  <si>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</si>
  <si>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</si>
  <si>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</si>
  <si>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</si>
  <si>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</si>
  <si>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</si>
  <si>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</si>
  <si>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</si>
  <si>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</si>
  <si>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</si>
  <si>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</si>
  <si>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</si>
  <si>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</si>
  <si>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</si>
  <si>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</si>
  <si>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</si>
  <si>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</si>
  <si>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</si>
  <si>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</si>
  <si>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</si>
  <si>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</si>
  <si>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</si>
  <si>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</si>
  <si>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</si>
  <si>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</si>
  <si>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</si>
  <si>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</si>
  <si>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</si>
  <si>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</si>
  <si>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</si>
  <si>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</si>
  <si>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</si>
  <si>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</si>
  <si>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</si>
  <si>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</si>
  <si>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</si>
  <si>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</si>
  <si>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</si>
  <si>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</si>
  <si>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</si>
  <si>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</si>
  <si>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</si>
  <si>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</si>
  <si>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</si>
  <si>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</si>
  <si>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</si>
  <si>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</si>
  <si>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</si>
  <si>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</si>
  <si>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</si>
  <si>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</si>
  <si>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</si>
  <si>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</si>
  <si>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</si>
  <si>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</si>
  <si>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</si>
  <si>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</si>
  <si>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</si>
  <si>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</si>
  <si>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</si>
  <si>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</si>
  <si>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</si>
  <si>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</si>
  <si>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</si>
  <si>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</si>
  <si>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</si>
  <si>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</si>
  <si>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</si>
  <si>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</si>
  <si>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</si>
  <si>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</si>
  <si>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</si>
  <si>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</si>
  <si>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</si>
  <si>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</si>
  <si>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</si>
  <si>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</si>
  <si>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</si>
  <si>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</si>
  <si>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</si>
  <si>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</si>
  <si>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</si>
  <si>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</si>
  <si>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</si>
  <si>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</si>
  <si>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</si>
  <si>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</si>
  <si>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</si>
  <si>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</si>
  <si>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</si>
  <si>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</si>
  <si>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</si>
  <si>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</si>
  <si>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</si>
  <si>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</si>
  <si>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</si>
  <si>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</si>
  <si>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</si>
  <si>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</si>
  <si>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</si>
  <si>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</si>
  <si>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</si>
  <si>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</si>
  <si>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</si>
  <si>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</si>
  <si>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</si>
  <si>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</si>
  <si>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</si>
  <si>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</si>
  <si>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</si>
  <si>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</si>
  <si>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</si>
  <si>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</si>
  <si>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</si>
  <si>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</si>
  <si>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</si>
  <si>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</si>
  <si>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</si>
  <si>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</si>
  <si>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ただ</t>
  </si>
  <si>
    <t>ただ</t>
    <phoneticPr fontId="1"/>
  </si>
  <si>
    <t>ロン</t>
  </si>
  <si>
    <t>放銃</t>
  </si>
  <si>
    <t>*</t>
  </si>
  <si>
    <t>01</t>
  </si>
  <si>
    <t>T</t>
  </si>
  <si>
    <t>N</t>
  </si>
  <si>
    <t>流局</t>
    <phoneticPr fontId="1"/>
  </si>
  <si>
    <t>ツモ支払</t>
  </si>
  <si>
    <t>ツモ</t>
  </si>
  <si>
    <t>たかの</t>
  </si>
  <si>
    <t>たかの</t>
    <phoneticPr fontId="1"/>
  </si>
  <si>
    <t>れんたろう</t>
  </si>
  <si>
    <t>れんたろう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</si>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</sst>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142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8</v>
      </c>
      <c r="V4" s="61">
        <f t="shared" ref="V4:V30" si="1">IF($O4="","",ROUND(($O4-$O$3)/1000,1))</f>
        <v>-8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5</v>
      </c>
      <c r="AD4" s="36" t="s">
        <v>143</v>
      </c>
      <c r="AE4" s="47" t="s">
        <v>144</v>
      </c>
      <c r="AF4" s="48" t="s">
        <v>86</v>
      </c>
      <c r="AG4" s="48" t="s">
        <v>84</v>
      </c>
      <c r="AH4" s="48" t="s">
        <v>82</v>
      </c>
      <c r="AI4" s="48" t="s">
        <v>81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5">IF(COUNTA($F5,$K5,$P5)&gt;0,J4+SUM(G5:I5),"")</f>
        <v>43000</v>
      </c>
      <c r="K5" s="8" t="s">
        <v>141</v>
      </c>
      <c r="L5" s="9">
        <v>8000</v>
      </c>
      <c r="M5" s="9"/>
      <c r="N5" s="55">
        <v>0</v>
      </c>
      <c r="O5" s="21">
        <f t="shared" ref="O5:O30" si="6">IF(COUNTA($F5,$K5,$P5)&gt;0,O4+SUM(L5:N5),"")</f>
        <v>35000</v>
      </c>
      <c r="P5" s="8" t="s">
        <v>142</v>
      </c>
      <c r="Q5" s="9">
        <v>-8000</v>
      </c>
      <c r="R5" s="9"/>
      <c r="S5" s="55">
        <v>0</v>
      </c>
      <c r="T5" s="21">
        <f t="shared" ref="T5:T30" si="7">IF(COUNTA($F5,$K5,$P5)&gt;0,T4+SUM(Q5:S5),"")</f>
        <v>27000</v>
      </c>
      <c r="U5" s="60">
        <f t="shared" si="0"/>
        <v>8</v>
      </c>
      <c r="V5" s="61">
        <f t="shared" si="1"/>
        <v>0</v>
      </c>
      <c r="W5" s="62">
        <f t="shared" si="2"/>
        <v>-8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144</v>
      </c>
      <c r="BA5" s="48" t="s">
        <v>82</v>
      </c>
      <c r="BB5" s="48" t="s">
        <v>82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43000</v>
      </c>
      <c r="K6" s="8" t="s">
        <v>141</v>
      </c>
      <c r="L6" s="9">
        <v>8000</v>
      </c>
      <c r="M6" s="9"/>
      <c r="N6" s="55">
        <v>0</v>
      </c>
      <c r="O6" s="21">
        <f t="shared" si="6"/>
        <v>43000</v>
      </c>
      <c r="P6" s="8" t="s">
        <v>142</v>
      </c>
      <c r="Q6" s="9">
        <v>-8000</v>
      </c>
      <c r="R6" s="9"/>
      <c r="S6" s="55">
        <v>0</v>
      </c>
      <c r="T6" s="21">
        <f t="shared" si="7"/>
        <v>19000</v>
      </c>
      <c r="U6" s="60">
        <f t="shared" si="0"/>
        <v>8</v>
      </c>
      <c r="V6" s="61">
        <f t="shared" si="1"/>
        <v>8</v>
      </c>
      <c r="W6" s="62">
        <f t="shared" si="2"/>
        <v>-16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144</v>
      </c>
      <c r="BA6" s="48" t="s">
        <v>80</v>
      </c>
      <c r="BB6" s="48" t="s">
        <v>80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/>
      <c r="G7" s="9"/>
      <c r="H7" s="9"/>
      <c r="I7" s="55"/>
      <c r="J7" s="21">
        <f t="shared" si="5"/>
        <v>43000</v>
      </c>
      <c r="K7" s="8" t="s">
        <v>141</v>
      </c>
      <c r="L7" s="9">
        <v>12000</v>
      </c>
      <c r="M7" s="9">
        <v>1000</v>
      </c>
      <c r="N7" s="55">
        <v>0</v>
      </c>
      <c r="O7" s="21">
        <f t="shared" si="6"/>
        <v>56000</v>
      </c>
      <c r="P7" s="8" t="s">
        <v>142</v>
      </c>
      <c r="Q7" s="9">
        <v>-12000</v>
      </c>
      <c r="R7" s="9">
        <v>-1000</v>
      </c>
      <c r="S7" s="55">
        <v>0</v>
      </c>
      <c r="T7" s="21">
        <f t="shared" si="7"/>
        <v>6000</v>
      </c>
      <c r="U7" s="60">
        <f t="shared" si="0"/>
        <v>8</v>
      </c>
      <c r="V7" s="61">
        <f t="shared" si="1"/>
        <v>21</v>
      </c>
      <c r="W7" s="62">
        <f t="shared" si="2"/>
        <v>-29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40</v>
      </c>
      <c r="AZ7" s="47" t="s">
        <v>144</v>
      </c>
      <c r="BA7" s="48" t="s">
        <v>86</v>
      </c>
      <c r="BB7" s="48" t="s">
        <v>80</v>
      </c>
      <c r="BC7" s="48" t="s">
        <v>82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147</v>
      </c>
      <c r="G8" s="9">
        <v>1500</v>
      </c>
      <c r="H8" s="9">
        <v>-1000</v>
      </c>
      <c r="I8" s="55"/>
      <c r="J8" s="21">
        <f t="shared" si="5"/>
        <v>43500</v>
      </c>
      <c r="K8" s="8" t="s">
        <v>147</v>
      </c>
      <c r="L8" s="9">
        <v>1500</v>
      </c>
      <c r="M8" s="9"/>
      <c r="N8" s="55"/>
      <c r="O8" s="21">
        <f t="shared" si="6"/>
        <v>57500</v>
      </c>
      <c r="P8" s="8" t="s">
        <v>147</v>
      </c>
      <c r="Q8" s="9">
        <v>-3000</v>
      </c>
      <c r="R8" s="9"/>
      <c r="S8" s="55"/>
      <c r="T8" s="21">
        <f t="shared" si="7"/>
        <v>3000</v>
      </c>
      <c r="U8" s="60">
        <f t="shared" si="0"/>
        <v>8.5</v>
      </c>
      <c r="V8" s="61">
        <f t="shared" si="1"/>
        <v>22.5</v>
      </c>
      <c r="W8" s="62">
        <f t="shared" si="2"/>
        <v>-32</v>
      </c>
      <c r="Y8" s="8" t="s">
        <v>145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146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2</v>
      </c>
      <c r="D9" s="18">
        <f t="shared" si="4"/>
        <v>1</v>
      </c>
      <c r="E9" s="4" t="s">
        <v>139</v>
      </c>
      <c r="F9" s="8" t="s">
        <v>148</v>
      </c>
      <c r="G9" s="9">
        <v>-2400</v>
      </c>
      <c r="H9" s="9">
        <v>-1000</v>
      </c>
      <c r="I9" s="55">
        <v>-1000</v>
      </c>
      <c r="J9" s="21">
        <f t="shared" si="5"/>
        <v>39100</v>
      </c>
      <c r="K9" s="8" t="s">
        <v>148</v>
      </c>
      <c r="L9" s="9">
        <v>-4000</v>
      </c>
      <c r="M9" s="9"/>
      <c r="N9" s="55">
        <v>-1000</v>
      </c>
      <c r="O9" s="21">
        <f t="shared" si="6"/>
        <v>52500</v>
      </c>
      <c r="P9" s="8" t="s">
        <v>149</v>
      </c>
      <c r="Q9" s="9">
        <v>6400</v>
      </c>
      <c r="R9" s="9">
        <v>2000</v>
      </c>
      <c r="S9" s="55">
        <v>2000</v>
      </c>
      <c r="T9" s="21">
        <f t="shared" si="7"/>
        <v>13400</v>
      </c>
      <c r="U9" s="60">
        <f t="shared" si="0"/>
        <v>4.0999999999999996</v>
      </c>
      <c r="V9" s="61">
        <f t="shared" si="1"/>
        <v>17.5</v>
      </c>
      <c r="W9" s="62">
        <f t="shared" si="2"/>
        <v>-21.6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25</v>
      </c>
      <c r="BU9" s="47" t="s">
        <v>102</v>
      </c>
      <c r="BV9" s="48" t="s">
        <v>82</v>
      </c>
      <c r="BW9" s="48" t="s">
        <v>82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148</v>
      </c>
      <c r="G10" s="9">
        <v>-3000</v>
      </c>
      <c r="H10" s="9"/>
      <c r="I10" s="55">
        <v>0</v>
      </c>
      <c r="J10" s="21">
        <f t="shared" si="5"/>
        <v>36100</v>
      </c>
      <c r="K10" s="8" t="s">
        <v>148</v>
      </c>
      <c r="L10" s="9">
        <v>-3000</v>
      </c>
      <c r="M10" s="9"/>
      <c r="N10" s="55">
        <v>0</v>
      </c>
      <c r="O10" s="21">
        <f t="shared" si="6"/>
        <v>49500</v>
      </c>
      <c r="P10" s="8" t="s">
        <v>149</v>
      </c>
      <c r="Q10" s="9">
        <v>6000</v>
      </c>
      <c r="R10" s="9"/>
      <c r="S10" s="55">
        <v>0</v>
      </c>
      <c r="T10" s="21">
        <f t="shared" si="7"/>
        <v>19400</v>
      </c>
      <c r="U10" s="60">
        <f t="shared" si="0"/>
        <v>1.1000000000000001</v>
      </c>
      <c r="V10" s="61">
        <f t="shared" si="1"/>
        <v>14.5</v>
      </c>
      <c r="W10" s="62">
        <f t="shared" si="2"/>
        <v>-15.6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30</v>
      </c>
      <c r="BU10" s="47" t="s">
        <v>144</v>
      </c>
      <c r="BV10" s="48" t="s">
        <v>83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137</v>
      </c>
      <c r="F11" s="8" t="s">
        <v>141</v>
      </c>
      <c r="G11" s="9">
        <v>8000</v>
      </c>
      <c r="H11" s="9"/>
      <c r="I11" s="55">
        <v>1000</v>
      </c>
      <c r="J11" s="21">
        <f t="shared" si="5"/>
        <v>45100</v>
      </c>
      <c r="K11" s="8"/>
      <c r="L11" s="9"/>
      <c r="M11" s="9"/>
      <c r="N11" s="55"/>
      <c r="O11" s="21">
        <f t="shared" si="6"/>
        <v>49500</v>
      </c>
      <c r="P11" s="8" t="s">
        <v>142</v>
      </c>
      <c r="Q11" s="9">
        <v>-8000</v>
      </c>
      <c r="R11" s="9"/>
      <c r="S11" s="55">
        <v>-1000</v>
      </c>
      <c r="T11" s="21">
        <f t="shared" si="7"/>
        <v>10400</v>
      </c>
      <c r="U11" s="60">
        <f t="shared" si="0"/>
        <v>10.1</v>
      </c>
      <c r="V11" s="61">
        <f t="shared" si="1"/>
        <v>14.5</v>
      </c>
      <c r="W11" s="62">
        <f t="shared" si="2"/>
        <v>-24.6</v>
      </c>
      <c r="Y11" s="8"/>
      <c r="Z11" s="41"/>
      <c r="AA11" s="32">
        <v>1</v>
      </c>
      <c r="AB11" s="32"/>
      <c r="AC11" s="32">
        <v>4</v>
      </c>
      <c r="AD11" s="36">
        <v>30</v>
      </c>
      <c r="AE11" s="47" t="s">
        <v>144</v>
      </c>
      <c r="AF11" s="48" t="s">
        <v>84</v>
      </c>
      <c r="AG11" s="48" t="s">
        <v>85</v>
      </c>
      <c r="AH11" s="48" t="s">
        <v>82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148</v>
      </c>
      <c r="G12" s="9">
        <v>-10000</v>
      </c>
      <c r="H12" s="9"/>
      <c r="I12" s="55">
        <v>0</v>
      </c>
      <c r="J12" s="21">
        <f t="shared" si="5"/>
        <v>35100</v>
      </c>
      <c r="K12" s="8" t="s">
        <v>148</v>
      </c>
      <c r="L12" s="9">
        <v>-6000</v>
      </c>
      <c r="M12" s="9"/>
      <c r="N12" s="55">
        <v>0</v>
      </c>
      <c r="O12" s="21">
        <f t="shared" si="6"/>
        <v>43500</v>
      </c>
      <c r="P12" s="8" t="s">
        <v>149</v>
      </c>
      <c r="Q12" s="9">
        <v>16000</v>
      </c>
      <c r="R12" s="9"/>
      <c r="S12" s="55">
        <v>0</v>
      </c>
      <c r="T12" s="21">
        <f t="shared" si="7"/>
        <v>26400</v>
      </c>
      <c r="U12" s="60">
        <f t="shared" si="0"/>
        <v>0.1</v>
      </c>
      <c r="V12" s="61">
        <f t="shared" si="1"/>
        <v>8.5</v>
      </c>
      <c r="W12" s="62">
        <f t="shared" si="2"/>
        <v>-8.6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9</v>
      </c>
      <c r="BT12" s="36" t="s">
        <v>143</v>
      </c>
      <c r="BU12" s="47" t="s">
        <v>144</v>
      </c>
      <c r="BV12" s="48" t="s">
        <v>83</v>
      </c>
      <c r="BW12" s="48" t="s">
        <v>87</v>
      </c>
      <c r="BX12" s="48" t="s">
        <v>87</v>
      </c>
      <c r="BY12" s="48" t="s">
        <v>80</v>
      </c>
      <c r="BZ12" s="48" t="s">
        <v>105</v>
      </c>
      <c r="CA12" s="48" t="s">
        <v>82</v>
      </c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722B4-6E7E-415E-97C0-CD3617B1C2F9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151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148</v>
      </c>
      <c r="G4" s="9">
        <v>-800</v>
      </c>
      <c r="H4" s="9"/>
      <c r="I4" s="55">
        <v>0</v>
      </c>
      <c r="J4" s="21">
        <f>IF(COUNTA($F4,$K4,$P4)&gt;0,J3+SUM(G4:I4),"")</f>
        <v>34200</v>
      </c>
      <c r="K4" s="8" t="s">
        <v>149</v>
      </c>
      <c r="L4" s="9">
        <v>1600</v>
      </c>
      <c r="M4" s="9"/>
      <c r="N4" s="55">
        <v>0</v>
      </c>
      <c r="O4" s="21">
        <f>IF(COUNTA($F4,$K4,$P4)&gt;0,O3+SUM(L4:N4),"")</f>
        <v>36600</v>
      </c>
      <c r="P4" s="8" t="s">
        <v>148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0">
        <f t="shared" ref="U4:U30" si="0">IF($J4="","",ROUND(($J4-$J$3)/1000,1))</f>
        <v>-0.8</v>
      </c>
      <c r="V4" s="61">
        <f t="shared" ref="V4:V30" si="1">IF($O4="","",ROUND(($O4-$O$3)/1000,1))</f>
        <v>1.6</v>
      </c>
      <c r="W4" s="62">
        <f t="shared" ref="W4:W30" si="2">IF($T4="","",ROUND(($T4-$T$3)/1000,1))</f>
        <v>-0.8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1</v>
      </c>
      <c r="AY4" s="36">
        <v>30</v>
      </c>
      <c r="AZ4" s="47" t="s">
        <v>87</v>
      </c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150</v>
      </c>
      <c r="F5" s="8" t="s">
        <v>141</v>
      </c>
      <c r="G5" s="9">
        <v>8000</v>
      </c>
      <c r="H5" s="9"/>
      <c r="I5" s="55">
        <v>1000</v>
      </c>
      <c r="J5" s="21">
        <f t="shared" ref="J5:J30" si="5">IF(COUNTA($F5,$K5,$P5)&gt;0,J4+SUM(G5:I5),"")</f>
        <v>43200</v>
      </c>
      <c r="K5" s="8" t="s">
        <v>142</v>
      </c>
      <c r="L5" s="9">
        <v>-8000</v>
      </c>
      <c r="M5" s="9"/>
      <c r="N5" s="55">
        <v>-1000</v>
      </c>
      <c r="O5" s="21">
        <f t="shared" ref="O5:O30" si="6">IF(COUNTA($F5,$K5,$P5)&gt;0,O4+SUM(L5:N5),"")</f>
        <v>27600</v>
      </c>
      <c r="P5" s="8"/>
      <c r="Q5" s="9"/>
      <c r="R5" s="9"/>
      <c r="S5" s="55"/>
      <c r="T5" s="21">
        <f t="shared" ref="T5:T30" si="7">IF(COUNTA($F5,$K5,$P5)&gt;0,T4+SUM(Q5:S5),"")</f>
        <v>34200</v>
      </c>
      <c r="U5" s="60">
        <f t="shared" si="0"/>
        <v>8.1999999999999993</v>
      </c>
      <c r="V5" s="61">
        <f t="shared" si="1"/>
        <v>-7.4</v>
      </c>
      <c r="W5" s="62">
        <f t="shared" si="2"/>
        <v>-0.8</v>
      </c>
      <c r="Y5" s="8"/>
      <c r="Z5" s="41"/>
      <c r="AA5" s="32"/>
      <c r="AB5" s="32">
        <v>1</v>
      </c>
      <c r="AC5" s="32">
        <v>4</v>
      </c>
      <c r="AD5" s="36">
        <v>30</v>
      </c>
      <c r="AE5" s="47" t="s">
        <v>87</v>
      </c>
      <c r="AF5" s="48" t="s">
        <v>80</v>
      </c>
      <c r="AG5" s="48" t="s">
        <v>80</v>
      </c>
      <c r="AH5" s="48" t="s">
        <v>80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152</v>
      </c>
      <c r="F6" s="8" t="s">
        <v>148</v>
      </c>
      <c r="G6" s="9">
        <v>-9000</v>
      </c>
      <c r="H6" s="9"/>
      <c r="I6" s="55">
        <v>0</v>
      </c>
      <c r="J6" s="21">
        <f t="shared" si="5"/>
        <v>34200</v>
      </c>
      <c r="K6" s="8" t="s">
        <v>148</v>
      </c>
      <c r="L6" s="9">
        <v>-9000</v>
      </c>
      <c r="M6" s="9"/>
      <c r="N6" s="55">
        <v>0</v>
      </c>
      <c r="O6" s="21">
        <f t="shared" si="6"/>
        <v>18600</v>
      </c>
      <c r="P6" s="8" t="s">
        <v>149</v>
      </c>
      <c r="Q6" s="9">
        <v>18000</v>
      </c>
      <c r="R6" s="9"/>
      <c r="S6" s="55">
        <v>0</v>
      </c>
      <c r="T6" s="21">
        <f t="shared" si="7"/>
        <v>52200</v>
      </c>
      <c r="U6" s="60">
        <f t="shared" si="0"/>
        <v>-0.8</v>
      </c>
      <c r="V6" s="61">
        <f t="shared" si="1"/>
        <v>-16.399999999999999</v>
      </c>
      <c r="W6" s="62">
        <f t="shared" si="2"/>
        <v>17.2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143</v>
      </c>
      <c r="BU6" s="47" t="s">
        <v>144</v>
      </c>
      <c r="BV6" s="48" t="s">
        <v>83</v>
      </c>
      <c r="BW6" s="48" t="s">
        <v>81</v>
      </c>
      <c r="BX6" s="48" t="s">
        <v>81</v>
      </c>
      <c r="BY6" s="48" t="s">
        <v>102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152</v>
      </c>
      <c r="F7" s="8" t="s">
        <v>154</v>
      </c>
      <c r="G7" s="9">
        <v>1500</v>
      </c>
      <c r="H7" s="9"/>
      <c r="I7" s="55"/>
      <c r="J7" s="21">
        <f t="shared" si="5"/>
        <v>35700</v>
      </c>
      <c r="K7" s="8" t="s">
        <v>154</v>
      </c>
      <c r="L7" s="9">
        <v>1500</v>
      </c>
      <c r="M7" s="9">
        <v>-1000</v>
      </c>
      <c r="N7" s="55"/>
      <c r="O7" s="21">
        <f t="shared" si="6"/>
        <v>19100</v>
      </c>
      <c r="P7" s="8" t="s">
        <v>154</v>
      </c>
      <c r="Q7" s="9">
        <v>-3000</v>
      </c>
      <c r="R7" s="9"/>
      <c r="S7" s="55"/>
      <c r="T7" s="21">
        <f t="shared" si="7"/>
        <v>49200</v>
      </c>
      <c r="U7" s="60">
        <f t="shared" si="0"/>
        <v>0.7</v>
      </c>
      <c r="V7" s="61">
        <f t="shared" si="1"/>
        <v>-15.9</v>
      </c>
      <c r="W7" s="62">
        <f t="shared" si="2"/>
        <v>14.2</v>
      </c>
      <c r="Y7" s="8" t="s">
        <v>145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145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2</v>
      </c>
      <c r="D8" s="18">
        <f t="shared" si="4"/>
        <v>1</v>
      </c>
      <c r="E8" s="4" t="s">
        <v>135</v>
      </c>
      <c r="F8" s="8"/>
      <c r="G8" s="9"/>
      <c r="H8" s="9"/>
      <c r="I8" s="55"/>
      <c r="J8" s="21">
        <f t="shared" si="5"/>
        <v>35700</v>
      </c>
      <c r="K8" s="8" t="s">
        <v>141</v>
      </c>
      <c r="L8" s="9">
        <v>2000</v>
      </c>
      <c r="M8" s="9">
        <v>1000</v>
      </c>
      <c r="N8" s="55">
        <v>2000</v>
      </c>
      <c r="O8" s="21">
        <f t="shared" si="6"/>
        <v>24100</v>
      </c>
      <c r="P8" s="8" t="s">
        <v>142</v>
      </c>
      <c r="Q8" s="9">
        <v>-2000</v>
      </c>
      <c r="R8" s="9"/>
      <c r="S8" s="55">
        <v>-2000</v>
      </c>
      <c r="T8" s="21">
        <f t="shared" si="7"/>
        <v>45200</v>
      </c>
      <c r="U8" s="60">
        <f t="shared" si="0"/>
        <v>0.7</v>
      </c>
      <c r="V8" s="61">
        <f t="shared" si="1"/>
        <v>-10.9</v>
      </c>
      <c r="W8" s="62">
        <f t="shared" si="2"/>
        <v>10.199999999999999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2</v>
      </c>
      <c r="AY8" s="36">
        <v>30</v>
      </c>
      <c r="AZ8" s="47" t="s">
        <v>87</v>
      </c>
      <c r="BA8" s="48" t="s">
        <v>87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150</v>
      </c>
      <c r="F9" s="8" t="s">
        <v>142</v>
      </c>
      <c r="G9" s="9">
        <v>-12000</v>
      </c>
      <c r="H9" s="9"/>
      <c r="I9" s="55">
        <v>0</v>
      </c>
      <c r="J9" s="21">
        <f t="shared" si="5"/>
        <v>23700</v>
      </c>
      <c r="K9" s="8" t="s">
        <v>141</v>
      </c>
      <c r="L9" s="9">
        <v>12000</v>
      </c>
      <c r="M9" s="9"/>
      <c r="N9" s="55">
        <v>0</v>
      </c>
      <c r="O9" s="21">
        <f t="shared" si="6"/>
        <v>36100</v>
      </c>
      <c r="P9" s="8"/>
      <c r="Q9" s="9"/>
      <c r="R9" s="9"/>
      <c r="S9" s="55"/>
      <c r="T9" s="21">
        <f t="shared" si="7"/>
        <v>45200</v>
      </c>
      <c r="U9" s="60">
        <f t="shared" si="0"/>
        <v>-11.3</v>
      </c>
      <c r="V9" s="61">
        <f t="shared" si="1"/>
        <v>1.1000000000000001</v>
      </c>
      <c r="W9" s="62">
        <f t="shared" si="2"/>
        <v>10.199999999999999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144</v>
      </c>
      <c r="BA9" s="48" t="s">
        <v>155</v>
      </c>
      <c r="BB9" s="48" t="s">
        <v>81</v>
      </c>
      <c r="BC9" s="48" t="s">
        <v>81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1</v>
      </c>
      <c r="D10" s="18">
        <f t="shared" si="4"/>
        <v>0</v>
      </c>
      <c r="E10" s="4" t="s">
        <v>150</v>
      </c>
      <c r="F10" s="8" t="s">
        <v>154</v>
      </c>
      <c r="G10" s="9">
        <v>-1500</v>
      </c>
      <c r="H10" s="9"/>
      <c r="I10" s="55"/>
      <c r="J10" s="21">
        <f t="shared" si="5"/>
        <v>22200</v>
      </c>
      <c r="K10" s="8" t="s">
        <v>154</v>
      </c>
      <c r="L10" s="9">
        <v>3000</v>
      </c>
      <c r="M10" s="9">
        <v>-1000</v>
      </c>
      <c r="N10" s="55"/>
      <c r="O10" s="21">
        <f t="shared" si="6"/>
        <v>38100</v>
      </c>
      <c r="P10" s="8" t="s">
        <v>154</v>
      </c>
      <c r="Q10" s="9">
        <v>-1500</v>
      </c>
      <c r="R10" s="9"/>
      <c r="S10" s="55"/>
      <c r="T10" s="21">
        <f t="shared" si="7"/>
        <v>43700</v>
      </c>
      <c r="U10" s="60">
        <f t="shared" si="0"/>
        <v>-12.8</v>
      </c>
      <c r="V10" s="61">
        <f t="shared" si="1"/>
        <v>3.1</v>
      </c>
      <c r="W10" s="62">
        <f t="shared" si="2"/>
        <v>8.6999999999999993</v>
      </c>
      <c r="Y10" s="8" t="s">
        <v>146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145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2</v>
      </c>
      <c r="D11" s="18">
        <f t="shared" si="4"/>
        <v>1</v>
      </c>
      <c r="E11" s="4" t="s">
        <v>150</v>
      </c>
      <c r="F11" s="8" t="s">
        <v>148</v>
      </c>
      <c r="G11" s="9">
        <v>-3000</v>
      </c>
      <c r="H11" s="9"/>
      <c r="I11" s="55">
        <v>-1000</v>
      </c>
      <c r="J11" s="21">
        <f t="shared" si="5"/>
        <v>18200</v>
      </c>
      <c r="K11" s="8" t="s">
        <v>149</v>
      </c>
      <c r="L11" s="9">
        <v>6000</v>
      </c>
      <c r="M11" s="9">
        <v>1000</v>
      </c>
      <c r="N11" s="55">
        <v>2000</v>
      </c>
      <c r="O11" s="21">
        <f t="shared" si="6"/>
        <v>47100</v>
      </c>
      <c r="P11" s="8" t="s">
        <v>148</v>
      </c>
      <c r="Q11" s="9">
        <v>-3000</v>
      </c>
      <c r="R11" s="9"/>
      <c r="S11" s="55">
        <v>-1000</v>
      </c>
      <c r="T11" s="21">
        <f t="shared" si="7"/>
        <v>39700</v>
      </c>
      <c r="U11" s="60">
        <f t="shared" si="0"/>
        <v>-16.8</v>
      </c>
      <c r="V11" s="61">
        <f t="shared" si="1"/>
        <v>12.1</v>
      </c>
      <c r="W11" s="62">
        <f t="shared" si="2"/>
        <v>4.7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3</v>
      </c>
      <c r="AY11" s="36">
        <v>30</v>
      </c>
      <c r="AZ11" s="47" t="s">
        <v>92</v>
      </c>
      <c r="BA11" s="48" t="s">
        <v>83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3</v>
      </c>
      <c r="D12" s="18">
        <f t="shared" si="4"/>
        <v>0</v>
      </c>
      <c r="E12" s="4" t="s">
        <v>150</v>
      </c>
      <c r="F12" s="8" t="s">
        <v>149</v>
      </c>
      <c r="G12" s="9">
        <v>12000</v>
      </c>
      <c r="H12" s="9">
        <v>2000</v>
      </c>
      <c r="I12" s="55">
        <v>3000</v>
      </c>
      <c r="J12" s="21">
        <f t="shared" si="5"/>
        <v>35200</v>
      </c>
      <c r="K12" s="8" t="s">
        <v>148</v>
      </c>
      <c r="L12" s="9">
        <v>-7500</v>
      </c>
      <c r="M12" s="9">
        <v>-1000</v>
      </c>
      <c r="N12" s="55">
        <v>-1500</v>
      </c>
      <c r="O12" s="21">
        <f t="shared" si="6"/>
        <v>37100</v>
      </c>
      <c r="P12" s="8" t="s">
        <v>148</v>
      </c>
      <c r="Q12" s="9">
        <v>-4500</v>
      </c>
      <c r="R12" s="9">
        <v>-1000</v>
      </c>
      <c r="S12" s="55">
        <v>-1500</v>
      </c>
      <c r="T12" s="21">
        <f t="shared" si="7"/>
        <v>32700</v>
      </c>
      <c r="U12" s="60">
        <f t="shared" si="0"/>
        <v>0.2</v>
      </c>
      <c r="V12" s="61">
        <f t="shared" si="1"/>
        <v>2.1</v>
      </c>
      <c r="W12" s="62">
        <f t="shared" si="2"/>
        <v>-2.2999999999999998</v>
      </c>
      <c r="Y12" s="8"/>
      <c r="Z12" s="41"/>
      <c r="AA12" s="32">
        <v>1</v>
      </c>
      <c r="AB12" s="32"/>
      <c r="AC12" s="32">
        <v>7</v>
      </c>
      <c r="AD12" s="36" t="s">
        <v>143</v>
      </c>
      <c r="AE12" s="47" t="s">
        <v>144</v>
      </c>
      <c r="AF12" s="48" t="s">
        <v>83</v>
      </c>
      <c r="AG12" s="48" t="s">
        <v>155</v>
      </c>
      <c r="AH12" s="48" t="s">
        <v>87</v>
      </c>
      <c r="AI12" s="48" t="s">
        <v>82</v>
      </c>
      <c r="AJ12" s="48" t="s">
        <v>80</v>
      </c>
      <c r="AK12" s="48" t="s">
        <v>81</v>
      </c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152</v>
      </c>
      <c r="F13" s="8" t="s">
        <v>141</v>
      </c>
      <c r="G13" s="9">
        <v>12000</v>
      </c>
      <c r="H13" s="9"/>
      <c r="I13" s="55">
        <v>0</v>
      </c>
      <c r="J13" s="21">
        <f t="shared" si="5"/>
        <v>47200</v>
      </c>
      <c r="K13" s="8"/>
      <c r="L13" s="9"/>
      <c r="M13" s="9"/>
      <c r="N13" s="55"/>
      <c r="O13" s="21">
        <f t="shared" si="6"/>
        <v>37100</v>
      </c>
      <c r="P13" s="8" t="s">
        <v>142</v>
      </c>
      <c r="Q13" s="9">
        <v>-12000</v>
      </c>
      <c r="R13" s="9"/>
      <c r="S13" s="55">
        <v>0</v>
      </c>
      <c r="T13" s="21">
        <f t="shared" si="7"/>
        <v>20700</v>
      </c>
      <c r="U13" s="60">
        <f t="shared" si="0"/>
        <v>12.2</v>
      </c>
      <c r="V13" s="61">
        <f t="shared" si="1"/>
        <v>2.1</v>
      </c>
      <c r="W13" s="62">
        <f t="shared" si="2"/>
        <v>-14.3</v>
      </c>
      <c r="Y13" s="8"/>
      <c r="Z13" s="41"/>
      <c r="AA13" s="32">
        <v>1</v>
      </c>
      <c r="AB13" s="32"/>
      <c r="AC13" s="32">
        <v>7</v>
      </c>
      <c r="AD13" s="36" t="s">
        <v>143</v>
      </c>
      <c r="AE13" s="47" t="s">
        <v>144</v>
      </c>
      <c r="AF13" s="48" t="s">
        <v>84</v>
      </c>
      <c r="AG13" s="48" t="s">
        <v>80</v>
      </c>
      <c r="AH13" s="48" t="s">
        <v>81</v>
      </c>
      <c r="AI13" s="48" t="s">
        <v>81</v>
      </c>
      <c r="AJ13" s="48" t="s">
        <v>82</v>
      </c>
      <c r="AK13" s="48" t="s">
        <v>82</v>
      </c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">
        <v>135</v>
      </c>
      <c r="F14" s="8"/>
      <c r="G14" s="9"/>
      <c r="H14" s="9"/>
      <c r="I14" s="55"/>
      <c r="J14" s="21">
        <f t="shared" si="5"/>
        <v>47200</v>
      </c>
      <c r="K14" s="8" t="s">
        <v>141</v>
      </c>
      <c r="L14" s="9">
        <v>2600</v>
      </c>
      <c r="M14" s="9"/>
      <c r="N14" s="55">
        <v>0</v>
      </c>
      <c r="O14" s="21">
        <f t="shared" si="6"/>
        <v>39700</v>
      </c>
      <c r="P14" s="8" t="s">
        <v>142</v>
      </c>
      <c r="Q14" s="9">
        <v>-2600</v>
      </c>
      <c r="R14" s="9"/>
      <c r="S14" s="55">
        <v>0</v>
      </c>
      <c r="T14" s="21">
        <f t="shared" si="7"/>
        <v>18100</v>
      </c>
      <c r="U14" s="60">
        <f t="shared" si="0"/>
        <v>12.2</v>
      </c>
      <c r="V14" s="61">
        <f t="shared" si="1"/>
        <v>4.7</v>
      </c>
      <c r="W14" s="62">
        <f t="shared" si="2"/>
        <v>-16.899999999999999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>
        <v>2</v>
      </c>
      <c r="AY14" s="36">
        <v>40</v>
      </c>
      <c r="AZ14" s="47" t="s">
        <v>144</v>
      </c>
      <c r="BA14" s="48" t="s">
        <v>82</v>
      </c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D3F8C2D6-03FD-452E-B46A-65AAFE354A55}">
      <formula1>$U$2:$W$2</formula1>
    </dataValidation>
    <dataValidation type="list" showInputMessage="1" showErrorMessage="1" sqref="K4:K30 P4:P30 F4:F30" xr:uid="{75DD124E-ED03-4CF3-8590-8D957EC24EF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C9692-0098-4F02-A8BF-59CC99E7925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151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148</v>
      </c>
      <c r="G4" s="9">
        <v>-2400</v>
      </c>
      <c r="H4" s="9"/>
      <c r="I4" s="55">
        <v>0</v>
      </c>
      <c r="J4" s="21">
        <f>IF(COUNTA($F4,$K4,$P4)&gt;0,J3+SUM(G4:I4),"")</f>
        <v>32600</v>
      </c>
      <c r="K4" s="8" t="s">
        <v>149</v>
      </c>
      <c r="L4" s="9">
        <v>4800</v>
      </c>
      <c r="M4" s="9">
        <v>1000</v>
      </c>
      <c r="N4" s="55">
        <v>0</v>
      </c>
      <c r="O4" s="21">
        <f>IF(COUNTA($F4,$K4,$P4)&gt;0,O3+SUM(L4:N4),"")</f>
        <v>40800</v>
      </c>
      <c r="P4" s="8" t="s">
        <v>148</v>
      </c>
      <c r="Q4" s="9">
        <v>-2400</v>
      </c>
      <c r="R4" s="9">
        <v>-1000</v>
      </c>
      <c r="S4" s="55">
        <v>0</v>
      </c>
      <c r="T4" s="21">
        <f>IF(COUNTA($F4,$K4,$P4)&gt;0,T3+SUM(Q4:S4),"")</f>
        <v>31600</v>
      </c>
      <c r="U4" s="60">
        <f t="shared" ref="U4:U30" si="0">IF($J4="","",ROUND(($J4-$J$3)/1000,1))</f>
        <v>-2.4</v>
      </c>
      <c r="V4" s="61">
        <f t="shared" ref="V4:V30" si="1">IF($O4="","",ROUND(($O4-$O$3)/1000,1))</f>
        <v>5.8</v>
      </c>
      <c r="W4" s="62">
        <f t="shared" ref="W4:W30" si="2">IF($T4="","",ROUND(($T4-$T$3)/1000,1))</f>
        <v>-3.4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3</v>
      </c>
      <c r="AY4" s="36">
        <v>25</v>
      </c>
      <c r="AZ4" s="47" t="s">
        <v>102</v>
      </c>
      <c r="BA4" s="48" t="s">
        <v>83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150</v>
      </c>
      <c r="F5" s="8" t="s">
        <v>154</v>
      </c>
      <c r="G5" s="9">
        <v>0</v>
      </c>
      <c r="H5" s="9"/>
      <c r="I5" s="55"/>
      <c r="J5" s="21">
        <f t="shared" ref="J5:J30" si="5">IF(COUNTA($F5,$K5,$P5)&gt;0,J4+SUM(G5:I5),"")</f>
        <v>32600</v>
      </c>
      <c r="K5" s="8" t="s">
        <v>154</v>
      </c>
      <c r="L5" s="9">
        <v>0</v>
      </c>
      <c r="M5" s="9"/>
      <c r="N5" s="55"/>
      <c r="O5" s="21">
        <f t="shared" ref="O5:O30" si="6">IF(COUNTA($F5,$K5,$P5)&gt;0,O4+SUM(L5:N5),"")</f>
        <v>40800</v>
      </c>
      <c r="P5" s="8" t="s">
        <v>154</v>
      </c>
      <c r="Q5" s="9">
        <v>0</v>
      </c>
      <c r="R5" s="9">
        <v>-1000</v>
      </c>
      <c r="S5" s="55"/>
      <c r="T5" s="21">
        <f t="shared" ref="T5:T30" si="7">IF(COUNTA($F5,$K5,$P5)&gt;0,T4+SUM(Q5:S5),"")</f>
        <v>30600</v>
      </c>
      <c r="U5" s="60">
        <f t="shared" si="0"/>
        <v>-2.4</v>
      </c>
      <c r="V5" s="61">
        <f t="shared" si="1"/>
        <v>5.8</v>
      </c>
      <c r="W5" s="62">
        <f t="shared" si="2"/>
        <v>-4.4000000000000004</v>
      </c>
      <c r="Y5" s="8" t="s">
        <v>145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145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145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150</v>
      </c>
      <c r="F6" s="8"/>
      <c r="G6" s="9"/>
      <c r="H6" s="9"/>
      <c r="I6" s="55"/>
      <c r="J6" s="21">
        <f t="shared" si="5"/>
        <v>32600</v>
      </c>
      <c r="K6" s="8" t="s">
        <v>142</v>
      </c>
      <c r="L6" s="9">
        <v>-2000</v>
      </c>
      <c r="M6" s="9">
        <v>-1000</v>
      </c>
      <c r="N6" s="55">
        <v>-2000</v>
      </c>
      <c r="O6" s="21">
        <f t="shared" si="6"/>
        <v>35800</v>
      </c>
      <c r="P6" s="8" t="s">
        <v>141</v>
      </c>
      <c r="Q6" s="9">
        <v>2000</v>
      </c>
      <c r="R6" s="9">
        <v>2000</v>
      </c>
      <c r="S6" s="55">
        <v>2000</v>
      </c>
      <c r="T6" s="21">
        <f t="shared" si="7"/>
        <v>36600</v>
      </c>
      <c r="U6" s="60">
        <f t="shared" si="0"/>
        <v>-2.4</v>
      </c>
      <c r="V6" s="61">
        <f t="shared" si="1"/>
        <v>0.8</v>
      </c>
      <c r="W6" s="62">
        <f t="shared" si="2"/>
        <v>1.6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2</v>
      </c>
      <c r="BT6" s="36">
        <v>30</v>
      </c>
      <c r="BU6" s="47" t="s">
        <v>87</v>
      </c>
      <c r="BV6" s="48" t="s">
        <v>82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152</v>
      </c>
      <c r="F7" s="8" t="s">
        <v>154</v>
      </c>
      <c r="G7" s="9">
        <v>1500</v>
      </c>
      <c r="H7" s="9"/>
      <c r="I7" s="55"/>
      <c r="J7" s="21">
        <f t="shared" si="5"/>
        <v>34100</v>
      </c>
      <c r="K7" s="8" t="s">
        <v>154</v>
      </c>
      <c r="L7" s="9">
        <v>1500</v>
      </c>
      <c r="M7" s="9"/>
      <c r="N7" s="55"/>
      <c r="O7" s="21">
        <f t="shared" si="6"/>
        <v>37300</v>
      </c>
      <c r="P7" s="8" t="s">
        <v>154</v>
      </c>
      <c r="Q7" s="9">
        <v>-3000</v>
      </c>
      <c r="R7" s="9"/>
      <c r="S7" s="55"/>
      <c r="T7" s="21">
        <f t="shared" si="7"/>
        <v>33600</v>
      </c>
      <c r="U7" s="60">
        <f t="shared" si="0"/>
        <v>-0.9</v>
      </c>
      <c r="V7" s="61">
        <f t="shared" si="1"/>
        <v>2.2999999999999998</v>
      </c>
      <c r="W7" s="62">
        <f t="shared" si="2"/>
        <v>-1.4</v>
      </c>
      <c r="Y7" s="8" t="s">
        <v>145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145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135</v>
      </c>
      <c r="F8" s="8" t="s">
        <v>148</v>
      </c>
      <c r="G8" s="9">
        <v>-5000</v>
      </c>
      <c r="H8" s="9"/>
      <c r="I8" s="55">
        <v>-500</v>
      </c>
      <c r="J8" s="21">
        <f t="shared" si="5"/>
        <v>28600</v>
      </c>
      <c r="K8" s="8" t="s">
        <v>148</v>
      </c>
      <c r="L8" s="9">
        <v>-3000</v>
      </c>
      <c r="M8" s="9"/>
      <c r="N8" s="55">
        <v>-500</v>
      </c>
      <c r="O8" s="21">
        <f t="shared" si="6"/>
        <v>33800</v>
      </c>
      <c r="P8" s="8" t="s">
        <v>149</v>
      </c>
      <c r="Q8" s="9">
        <v>8000</v>
      </c>
      <c r="R8" s="9"/>
      <c r="S8" s="55">
        <v>1000</v>
      </c>
      <c r="T8" s="21">
        <f t="shared" si="7"/>
        <v>42600</v>
      </c>
      <c r="U8" s="60">
        <f t="shared" si="0"/>
        <v>-6.4</v>
      </c>
      <c r="V8" s="61">
        <f t="shared" si="1"/>
        <v>-1.2</v>
      </c>
      <c r="W8" s="62">
        <f t="shared" si="2"/>
        <v>7.6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143</v>
      </c>
      <c r="BU8" s="47" t="s">
        <v>144</v>
      </c>
      <c r="BV8" s="48" t="s">
        <v>83</v>
      </c>
      <c r="BW8" s="48" t="s">
        <v>155</v>
      </c>
      <c r="BX8" s="48" t="s">
        <v>84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150</v>
      </c>
      <c r="F9" s="8" t="s">
        <v>149</v>
      </c>
      <c r="G9" s="9">
        <v>4000</v>
      </c>
      <c r="H9" s="9"/>
      <c r="I9" s="55">
        <v>0</v>
      </c>
      <c r="J9" s="21">
        <f t="shared" si="5"/>
        <v>32600</v>
      </c>
      <c r="K9" s="8" t="s">
        <v>148</v>
      </c>
      <c r="L9" s="9">
        <v>-2500</v>
      </c>
      <c r="M9" s="9"/>
      <c r="N9" s="55">
        <v>0</v>
      </c>
      <c r="O9" s="21">
        <f t="shared" si="6"/>
        <v>31300</v>
      </c>
      <c r="P9" s="8" t="s">
        <v>148</v>
      </c>
      <c r="Q9" s="9">
        <v>-1500</v>
      </c>
      <c r="R9" s="9"/>
      <c r="S9" s="55">
        <v>0</v>
      </c>
      <c r="T9" s="21">
        <f t="shared" si="7"/>
        <v>41100</v>
      </c>
      <c r="U9" s="60">
        <f t="shared" si="0"/>
        <v>-2.4</v>
      </c>
      <c r="V9" s="61">
        <f t="shared" si="1"/>
        <v>-3.7</v>
      </c>
      <c r="W9" s="62">
        <f t="shared" si="2"/>
        <v>6.1</v>
      </c>
      <c r="Y9" s="8"/>
      <c r="Z9" s="41"/>
      <c r="AA9" s="32">
        <v>1</v>
      </c>
      <c r="AB9" s="32"/>
      <c r="AC9" s="32">
        <v>3</v>
      </c>
      <c r="AD9" s="36">
        <v>30</v>
      </c>
      <c r="AE9" s="47" t="s">
        <v>144</v>
      </c>
      <c r="AF9" s="48" t="s">
        <v>83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152</v>
      </c>
      <c r="F10" s="8" t="s">
        <v>149</v>
      </c>
      <c r="G10" s="9">
        <v>8000</v>
      </c>
      <c r="H10" s="9"/>
      <c r="I10" s="55">
        <v>0</v>
      </c>
      <c r="J10" s="21">
        <f t="shared" si="5"/>
        <v>40600</v>
      </c>
      <c r="K10" s="8" t="s">
        <v>148</v>
      </c>
      <c r="L10" s="9">
        <v>-3000</v>
      </c>
      <c r="M10" s="9"/>
      <c r="N10" s="55">
        <v>0</v>
      </c>
      <c r="O10" s="21">
        <f t="shared" si="6"/>
        <v>28300</v>
      </c>
      <c r="P10" s="8" t="s">
        <v>148</v>
      </c>
      <c r="Q10" s="9">
        <v>-5000</v>
      </c>
      <c r="R10" s="9"/>
      <c r="S10" s="55">
        <v>0</v>
      </c>
      <c r="T10" s="21">
        <f t="shared" si="7"/>
        <v>36100</v>
      </c>
      <c r="U10" s="60">
        <f t="shared" si="0"/>
        <v>5.6</v>
      </c>
      <c r="V10" s="61">
        <f t="shared" si="1"/>
        <v>-6.7</v>
      </c>
      <c r="W10" s="62">
        <f t="shared" si="2"/>
        <v>1.1000000000000001</v>
      </c>
      <c r="Y10" s="8"/>
      <c r="Z10" s="41"/>
      <c r="AA10" s="32"/>
      <c r="AB10" s="32">
        <v>1</v>
      </c>
      <c r="AC10" s="32">
        <v>4</v>
      </c>
      <c r="AD10" s="36">
        <v>30</v>
      </c>
      <c r="AE10" s="47" t="s">
        <v>87</v>
      </c>
      <c r="AF10" s="48" t="s">
        <v>87</v>
      </c>
      <c r="AG10" s="48" t="s">
        <v>82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141</v>
      </c>
      <c r="G11" s="9">
        <v>3900</v>
      </c>
      <c r="H11" s="9"/>
      <c r="I11" s="55">
        <v>0</v>
      </c>
      <c r="J11" s="21">
        <f t="shared" si="5"/>
        <v>44500</v>
      </c>
      <c r="K11" s="8" t="s">
        <v>142</v>
      </c>
      <c r="L11" s="9">
        <v>-3900</v>
      </c>
      <c r="M11" s="9"/>
      <c r="N11" s="55">
        <v>0</v>
      </c>
      <c r="O11" s="21">
        <f t="shared" si="6"/>
        <v>24400</v>
      </c>
      <c r="P11" s="8"/>
      <c r="Q11" s="9"/>
      <c r="R11" s="9"/>
      <c r="S11" s="55"/>
      <c r="T11" s="21">
        <f t="shared" si="7"/>
        <v>36100</v>
      </c>
      <c r="U11" s="60">
        <f t="shared" si="0"/>
        <v>9.5</v>
      </c>
      <c r="V11" s="61">
        <f t="shared" si="1"/>
        <v>-10.6</v>
      </c>
      <c r="W11" s="62">
        <f t="shared" si="2"/>
        <v>1.1000000000000001</v>
      </c>
      <c r="Y11" s="8"/>
      <c r="Z11" s="41"/>
      <c r="AA11" s="32"/>
      <c r="AB11" s="32"/>
      <c r="AC11" s="32">
        <v>2</v>
      </c>
      <c r="AD11" s="36">
        <v>40</v>
      </c>
      <c r="AE11" s="47" t="s">
        <v>87</v>
      </c>
      <c r="AF11" s="48" t="s">
        <v>82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09516140-45D6-4169-9A22-1110BBD20941}">
      <formula1>"ロン,ツモ,放銃,ツモ支払,流局,チョンボ"</formula1>
    </dataValidation>
    <dataValidation type="list" allowBlank="1" showInputMessage="1" showErrorMessage="1" sqref="E4:E30" xr:uid="{D07A1222-B0E6-4A5C-A6D3-11CF7E89B02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0EED5-CD55-414F-A07C-E07AF72A63C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151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148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149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148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-6</v>
      </c>
      <c r="V4" s="61">
        <f t="shared" ref="V4:V30" si="1">IF($O4="","",ROUND(($O4-$O$3)/1000,1))</f>
        <v>12</v>
      </c>
      <c r="W4" s="62">
        <f t="shared" ref="W4:W30" si="2">IF($T4="","",ROUND(($T4-$T$3)/1000,1))</f>
        <v>-6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143</v>
      </c>
      <c r="AZ4" s="47" t="s">
        <v>144</v>
      </c>
      <c r="BA4" s="48" t="s">
        <v>83</v>
      </c>
      <c r="BB4" s="48" t="s">
        <v>80</v>
      </c>
      <c r="BC4" s="48" t="s">
        <v>80</v>
      </c>
      <c r="BD4" s="48" t="s">
        <v>82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150</v>
      </c>
      <c r="F5" s="8" t="s">
        <v>141</v>
      </c>
      <c r="G5" s="9">
        <v>12000</v>
      </c>
      <c r="H5" s="9">
        <v>1000</v>
      </c>
      <c r="I5" s="55">
        <v>1000</v>
      </c>
      <c r="J5" s="21">
        <f t="shared" ref="J5:J30" si="5">IF(COUNTA($F5,$K5,$P5)&gt;0,J4+SUM(G5:I5),"")</f>
        <v>43000</v>
      </c>
      <c r="K5" s="8"/>
      <c r="L5" s="9"/>
      <c r="M5" s="9">
        <v>-1000</v>
      </c>
      <c r="N5" s="55"/>
      <c r="O5" s="21">
        <f t="shared" ref="O5:O30" si="6">IF(COUNTA($F5,$K5,$P5)&gt;0,O4+SUM(L5:N5),"")</f>
        <v>46000</v>
      </c>
      <c r="P5" s="8" t="s">
        <v>142</v>
      </c>
      <c r="Q5" s="9">
        <v>-12000</v>
      </c>
      <c r="R5" s="9"/>
      <c r="S5" s="55">
        <v>-1000</v>
      </c>
      <c r="T5" s="21">
        <f t="shared" ref="T5:T30" si="7">IF(COUNTA($F5,$K5,$P5)&gt;0,T4+SUM(Q5:S5),"")</f>
        <v>16000</v>
      </c>
      <c r="U5" s="60">
        <f t="shared" si="0"/>
        <v>8</v>
      </c>
      <c r="V5" s="61">
        <f t="shared" si="1"/>
        <v>11</v>
      </c>
      <c r="W5" s="62">
        <f t="shared" si="2"/>
        <v>-19</v>
      </c>
      <c r="Y5" s="8"/>
      <c r="Z5" s="41"/>
      <c r="AA5" s="32"/>
      <c r="AB5" s="32">
        <v>1</v>
      </c>
      <c r="AC5" s="32">
        <v>6</v>
      </c>
      <c r="AD5" s="36" t="s">
        <v>143</v>
      </c>
      <c r="AE5" s="47" t="s">
        <v>105</v>
      </c>
      <c r="AF5" s="48" t="s">
        <v>82</v>
      </c>
      <c r="AG5" s="48" t="s">
        <v>82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152</v>
      </c>
      <c r="F6" s="8" t="s">
        <v>154</v>
      </c>
      <c r="G6" s="9">
        <v>0</v>
      </c>
      <c r="H6" s="9"/>
      <c r="I6" s="55"/>
      <c r="J6" s="21">
        <f t="shared" si="5"/>
        <v>43000</v>
      </c>
      <c r="K6" s="8" t="s">
        <v>154</v>
      </c>
      <c r="L6" s="9">
        <v>0</v>
      </c>
      <c r="M6" s="9"/>
      <c r="N6" s="55"/>
      <c r="O6" s="21">
        <f t="shared" si="6"/>
        <v>46000</v>
      </c>
      <c r="P6" s="8" t="s">
        <v>154</v>
      </c>
      <c r="Q6" s="9">
        <v>0</v>
      </c>
      <c r="R6" s="9">
        <v>-1000</v>
      </c>
      <c r="S6" s="55"/>
      <c r="T6" s="21">
        <f t="shared" si="7"/>
        <v>15000</v>
      </c>
      <c r="U6" s="60">
        <f t="shared" si="0"/>
        <v>8</v>
      </c>
      <c r="V6" s="61">
        <f t="shared" si="1"/>
        <v>11</v>
      </c>
      <c r="W6" s="62">
        <f t="shared" si="2"/>
        <v>-20</v>
      </c>
      <c r="Y6" s="8" t="s">
        <v>145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145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1</v>
      </c>
      <c r="E7" s="4" t="s">
        <v>152</v>
      </c>
      <c r="F7" s="8" t="s">
        <v>154</v>
      </c>
      <c r="G7" s="9">
        <v>1500</v>
      </c>
      <c r="H7" s="9">
        <v>-1000</v>
      </c>
      <c r="I7" s="55"/>
      <c r="J7" s="21">
        <f t="shared" si="5"/>
        <v>43500</v>
      </c>
      <c r="K7" s="8" t="s">
        <v>154</v>
      </c>
      <c r="L7" s="9">
        <v>-3000</v>
      </c>
      <c r="M7" s="9"/>
      <c r="N7" s="55"/>
      <c r="O7" s="21">
        <f t="shared" si="6"/>
        <v>43000</v>
      </c>
      <c r="P7" s="8" t="s">
        <v>154</v>
      </c>
      <c r="Q7" s="9">
        <v>1500</v>
      </c>
      <c r="R7" s="9"/>
      <c r="S7" s="55"/>
      <c r="T7" s="21">
        <f t="shared" si="7"/>
        <v>16500</v>
      </c>
      <c r="U7" s="60">
        <f t="shared" si="0"/>
        <v>8.5</v>
      </c>
      <c r="V7" s="61">
        <f t="shared" si="1"/>
        <v>8</v>
      </c>
      <c r="W7" s="62">
        <f t="shared" si="2"/>
        <v>-18.5</v>
      </c>
      <c r="Y7" s="8" t="s">
        <v>145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146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145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2</v>
      </c>
      <c r="D8" s="18">
        <f t="shared" si="4"/>
        <v>2</v>
      </c>
      <c r="E8" s="4" t="s">
        <v>152</v>
      </c>
      <c r="F8" s="8" t="s">
        <v>141</v>
      </c>
      <c r="G8" s="9">
        <v>3200</v>
      </c>
      <c r="H8" s="9">
        <v>2000</v>
      </c>
      <c r="I8" s="55">
        <v>2000</v>
      </c>
      <c r="J8" s="21">
        <f t="shared" si="5"/>
        <v>50700</v>
      </c>
      <c r="K8" s="8" t="s">
        <v>142</v>
      </c>
      <c r="L8" s="9">
        <v>-3200</v>
      </c>
      <c r="M8" s="9"/>
      <c r="N8" s="55">
        <v>-2000</v>
      </c>
      <c r="O8" s="21">
        <f t="shared" si="6"/>
        <v>37800</v>
      </c>
      <c r="P8" s="8"/>
      <c r="Q8" s="9"/>
      <c r="R8" s="9"/>
      <c r="S8" s="55"/>
      <c r="T8" s="21">
        <f t="shared" si="7"/>
        <v>16500</v>
      </c>
      <c r="U8" s="60">
        <f t="shared" si="0"/>
        <v>15.7</v>
      </c>
      <c r="V8" s="61">
        <f t="shared" si="1"/>
        <v>2.8</v>
      </c>
      <c r="W8" s="62">
        <f t="shared" si="2"/>
        <v>-18.5</v>
      </c>
      <c r="Y8" s="8"/>
      <c r="Z8" s="41"/>
      <c r="AA8" s="32"/>
      <c r="AB8" s="32"/>
      <c r="AC8" s="32">
        <v>3</v>
      </c>
      <c r="AD8" s="36">
        <v>25</v>
      </c>
      <c r="AE8" s="47" t="s">
        <v>102</v>
      </c>
      <c r="AF8" s="48" t="s">
        <v>82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141</v>
      </c>
      <c r="G9" s="9">
        <v>12000</v>
      </c>
      <c r="H9" s="9"/>
      <c r="I9" s="55">
        <v>0</v>
      </c>
      <c r="J9" s="21">
        <f t="shared" si="5"/>
        <v>62700</v>
      </c>
      <c r="K9" s="8" t="s">
        <v>142</v>
      </c>
      <c r="L9" s="9">
        <v>-12000</v>
      </c>
      <c r="M9" s="9"/>
      <c r="N9" s="55">
        <v>0</v>
      </c>
      <c r="O9" s="21">
        <f t="shared" si="6"/>
        <v>25800</v>
      </c>
      <c r="P9" s="8"/>
      <c r="Q9" s="9"/>
      <c r="R9" s="9"/>
      <c r="S9" s="55"/>
      <c r="T9" s="21">
        <f t="shared" si="7"/>
        <v>16500</v>
      </c>
      <c r="U9" s="60">
        <f t="shared" si="0"/>
        <v>27.7</v>
      </c>
      <c r="V9" s="61">
        <f t="shared" si="1"/>
        <v>-9.1999999999999993</v>
      </c>
      <c r="W9" s="62">
        <f t="shared" si="2"/>
        <v>-18.5</v>
      </c>
      <c r="Y9" s="8"/>
      <c r="Z9" s="41"/>
      <c r="AA9" s="32"/>
      <c r="AB9" s="32"/>
      <c r="AC9" s="32">
        <v>5</v>
      </c>
      <c r="AD9" s="36" t="s">
        <v>143</v>
      </c>
      <c r="AE9" s="47" t="s">
        <v>87</v>
      </c>
      <c r="AF9" s="48" t="s">
        <v>87</v>
      </c>
      <c r="AG9" s="48" t="s">
        <v>105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">
        <v>135</v>
      </c>
      <c r="F10" s="8" t="s">
        <v>154</v>
      </c>
      <c r="G10" s="9">
        <v>1500</v>
      </c>
      <c r="H10" s="9"/>
      <c r="I10" s="55"/>
      <c r="J10" s="21">
        <f t="shared" si="5"/>
        <v>64200</v>
      </c>
      <c r="K10" s="8" t="s">
        <v>154</v>
      </c>
      <c r="L10" s="9">
        <v>1500</v>
      </c>
      <c r="M10" s="9"/>
      <c r="N10" s="55"/>
      <c r="O10" s="21">
        <f t="shared" si="6"/>
        <v>27300</v>
      </c>
      <c r="P10" s="8" t="s">
        <v>154</v>
      </c>
      <c r="Q10" s="9">
        <v>-3000</v>
      </c>
      <c r="R10" s="9"/>
      <c r="S10" s="55"/>
      <c r="T10" s="21">
        <f t="shared" si="7"/>
        <v>13500</v>
      </c>
      <c r="U10" s="60">
        <f t="shared" si="0"/>
        <v>29.2</v>
      </c>
      <c r="V10" s="61">
        <f t="shared" si="1"/>
        <v>-7.7</v>
      </c>
      <c r="W10" s="62">
        <f t="shared" si="2"/>
        <v>-21.5</v>
      </c>
      <c r="Y10" s="8" t="s">
        <v>145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145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">
        <v>135</v>
      </c>
      <c r="F11" s="8" t="s">
        <v>142</v>
      </c>
      <c r="G11" s="9">
        <v>-2000</v>
      </c>
      <c r="H11" s="9"/>
      <c r="I11" s="55">
        <v>-2000</v>
      </c>
      <c r="J11" s="21">
        <f t="shared" si="5"/>
        <v>60200</v>
      </c>
      <c r="K11" s="8" t="s">
        <v>141</v>
      </c>
      <c r="L11" s="9">
        <v>2000</v>
      </c>
      <c r="M11" s="9"/>
      <c r="N11" s="55">
        <v>2000</v>
      </c>
      <c r="O11" s="21">
        <f t="shared" si="6"/>
        <v>31300</v>
      </c>
      <c r="P11" s="8"/>
      <c r="Q11" s="9"/>
      <c r="R11" s="9"/>
      <c r="S11" s="55"/>
      <c r="T11" s="21">
        <f t="shared" si="7"/>
        <v>13500</v>
      </c>
      <c r="U11" s="60">
        <f t="shared" si="0"/>
        <v>25.2</v>
      </c>
      <c r="V11" s="61">
        <f t="shared" si="1"/>
        <v>-3.7</v>
      </c>
      <c r="W11" s="62">
        <f t="shared" si="2"/>
        <v>-21.5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2</v>
      </c>
      <c r="AY11" s="36">
        <v>30</v>
      </c>
      <c r="AZ11" s="47" t="s">
        <v>87</v>
      </c>
      <c r="BA11" s="48" t="s">
        <v>87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">
        <v>150</v>
      </c>
      <c r="F12" s="8"/>
      <c r="G12" s="9"/>
      <c r="H12" s="9"/>
      <c r="I12" s="55"/>
      <c r="J12" s="21">
        <f t="shared" si="5"/>
        <v>60200</v>
      </c>
      <c r="K12" s="8" t="s">
        <v>142</v>
      </c>
      <c r="L12" s="9">
        <v>-2000</v>
      </c>
      <c r="M12" s="9"/>
      <c r="N12" s="55">
        <v>0</v>
      </c>
      <c r="O12" s="21">
        <f t="shared" si="6"/>
        <v>29300</v>
      </c>
      <c r="P12" s="8" t="s">
        <v>141</v>
      </c>
      <c r="Q12" s="9">
        <v>2000</v>
      </c>
      <c r="R12" s="9"/>
      <c r="S12" s="55">
        <v>0</v>
      </c>
      <c r="T12" s="21">
        <f t="shared" si="7"/>
        <v>15500</v>
      </c>
      <c r="U12" s="60">
        <f t="shared" si="0"/>
        <v>25.2</v>
      </c>
      <c r="V12" s="61">
        <f t="shared" si="1"/>
        <v>-5.7</v>
      </c>
      <c r="W12" s="62">
        <f t="shared" si="2"/>
        <v>-19.5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2</v>
      </c>
      <c r="BT12" s="36">
        <v>30</v>
      </c>
      <c r="BU12" s="47" t="s">
        <v>87</v>
      </c>
      <c r="BV12" s="48" t="s">
        <v>87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152</v>
      </c>
      <c r="F13" s="8" t="s">
        <v>149</v>
      </c>
      <c r="G13" s="9">
        <v>12000</v>
      </c>
      <c r="H13" s="9"/>
      <c r="I13" s="55">
        <v>0</v>
      </c>
      <c r="J13" s="21">
        <f t="shared" si="5"/>
        <v>72200</v>
      </c>
      <c r="K13" s="8" t="s">
        <v>148</v>
      </c>
      <c r="L13" s="9">
        <v>-4500</v>
      </c>
      <c r="M13" s="9"/>
      <c r="N13" s="55">
        <v>0</v>
      </c>
      <c r="O13" s="21">
        <f t="shared" si="6"/>
        <v>24800</v>
      </c>
      <c r="P13" s="8" t="s">
        <v>148</v>
      </c>
      <c r="Q13" s="9">
        <v>-7500</v>
      </c>
      <c r="R13" s="9"/>
      <c r="S13" s="55">
        <v>0</v>
      </c>
      <c r="T13" s="21">
        <f t="shared" si="7"/>
        <v>8000</v>
      </c>
      <c r="U13" s="60">
        <f t="shared" si="0"/>
        <v>37.200000000000003</v>
      </c>
      <c r="V13" s="61">
        <f t="shared" si="1"/>
        <v>-10.199999999999999</v>
      </c>
      <c r="W13" s="62">
        <f t="shared" si="2"/>
        <v>-27</v>
      </c>
      <c r="Y13" s="8"/>
      <c r="Z13" s="41"/>
      <c r="AA13" s="32"/>
      <c r="AB13" s="32">
        <v>1</v>
      </c>
      <c r="AC13" s="32">
        <v>6</v>
      </c>
      <c r="AD13" s="36" t="s">
        <v>143</v>
      </c>
      <c r="AE13" s="47" t="s">
        <v>87</v>
      </c>
      <c r="AF13" s="48" t="s">
        <v>87</v>
      </c>
      <c r="AG13" s="48" t="s">
        <v>82</v>
      </c>
      <c r="AH13" s="48" t="s">
        <v>80</v>
      </c>
      <c r="AI13" s="48" t="s">
        <v>80</v>
      </c>
      <c r="AJ13" s="48" t="s">
        <v>80</v>
      </c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">
        <v>135</v>
      </c>
      <c r="F14" s="8" t="s">
        <v>148</v>
      </c>
      <c r="G14" s="9">
        <v>-10000</v>
      </c>
      <c r="H14" s="9"/>
      <c r="I14" s="55">
        <v>0</v>
      </c>
      <c r="J14" s="21">
        <f t="shared" si="5"/>
        <v>62200</v>
      </c>
      <c r="K14" s="8" t="s">
        <v>149</v>
      </c>
      <c r="L14" s="9">
        <v>16000</v>
      </c>
      <c r="M14" s="9"/>
      <c r="N14" s="55">
        <v>0</v>
      </c>
      <c r="O14" s="21">
        <f t="shared" si="6"/>
        <v>40800</v>
      </c>
      <c r="P14" s="8" t="s">
        <v>148</v>
      </c>
      <c r="Q14" s="9">
        <v>-6000</v>
      </c>
      <c r="R14" s="9"/>
      <c r="S14" s="55">
        <v>0</v>
      </c>
      <c r="T14" s="21">
        <f t="shared" si="7"/>
        <v>2000</v>
      </c>
      <c r="U14" s="60">
        <f t="shared" si="0"/>
        <v>27.2</v>
      </c>
      <c r="V14" s="61">
        <f t="shared" si="1"/>
        <v>5.8</v>
      </c>
      <c r="W14" s="62">
        <f t="shared" si="2"/>
        <v>-33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>
        <v>9</v>
      </c>
      <c r="AY14" s="36" t="s">
        <v>143</v>
      </c>
      <c r="AZ14" s="47" t="s">
        <v>144</v>
      </c>
      <c r="BA14" s="48" t="s">
        <v>83</v>
      </c>
      <c r="BB14" s="48" t="s">
        <v>84</v>
      </c>
      <c r="BC14" s="48" t="s">
        <v>85</v>
      </c>
      <c r="BD14" s="48" t="s">
        <v>82</v>
      </c>
      <c r="BE14" s="48" t="s">
        <v>82</v>
      </c>
      <c r="BF14" s="48" t="s">
        <v>82</v>
      </c>
      <c r="BG14" s="48" t="s">
        <v>80</v>
      </c>
      <c r="BH14" s="48" t="s">
        <v>81</v>
      </c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69799668-0DAD-474A-B457-F6FA14B3E580}">
      <formula1>$U$2:$W$2</formula1>
    </dataValidation>
    <dataValidation type="list" showInputMessage="1" showErrorMessage="1" sqref="K4:K30 P4:P30 F4:F30" xr:uid="{D2AC255F-E6EB-405B-AB61-1AE3439B9A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2A247-2727-4A9D-BBFF-2F462192FAC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151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143</v>
      </c>
      <c r="BU4" s="47" t="s">
        <v>144</v>
      </c>
      <c r="BV4" s="48" t="s">
        <v>155</v>
      </c>
      <c r="BW4" s="48" t="s">
        <v>102</v>
      </c>
      <c r="BX4" s="48" t="s">
        <v>82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149</v>
      </c>
      <c r="G5" s="9">
        <v>4000</v>
      </c>
      <c r="H5" s="9"/>
      <c r="I5" s="55">
        <v>0</v>
      </c>
      <c r="J5" s="21">
        <f t="shared" ref="J5:J30" si="5">IF(COUNTA($F5,$K5,$P5)&gt;0,J4+SUM(G5:I5),"")</f>
        <v>31000</v>
      </c>
      <c r="K5" s="8" t="s">
        <v>148</v>
      </c>
      <c r="L5" s="9">
        <v>-1500</v>
      </c>
      <c r="M5" s="9"/>
      <c r="N5" s="55">
        <v>0</v>
      </c>
      <c r="O5" s="21">
        <f t="shared" ref="O5:O30" si="6">IF(COUNTA($F5,$K5,$P5)&gt;0,O4+SUM(L5:N5),"")</f>
        <v>33500</v>
      </c>
      <c r="P5" s="8" t="s">
        <v>148</v>
      </c>
      <c r="Q5" s="9">
        <v>-2500</v>
      </c>
      <c r="R5" s="9"/>
      <c r="S5" s="55">
        <v>0</v>
      </c>
      <c r="T5" s="21">
        <f t="shared" ref="T5:T30" si="7">IF(COUNTA($F5,$K5,$P5)&gt;0,T4+SUM(Q5:S5),"")</f>
        <v>40500</v>
      </c>
      <c r="U5" s="60">
        <f t="shared" si="0"/>
        <v>-4</v>
      </c>
      <c r="V5" s="61">
        <f t="shared" si="1"/>
        <v>-1.5</v>
      </c>
      <c r="W5" s="62">
        <f t="shared" si="2"/>
        <v>5.5</v>
      </c>
      <c r="Y5" s="8"/>
      <c r="Z5" s="41"/>
      <c r="AA5" s="32">
        <v>1</v>
      </c>
      <c r="AB5" s="32"/>
      <c r="AC5" s="32">
        <v>3</v>
      </c>
      <c r="AD5" s="36">
        <v>30</v>
      </c>
      <c r="AE5" s="47" t="s">
        <v>144</v>
      </c>
      <c r="AF5" s="48" t="s">
        <v>83</v>
      </c>
      <c r="AG5" s="48" t="s">
        <v>155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148</v>
      </c>
      <c r="G6" s="9">
        <v>-5000</v>
      </c>
      <c r="H6" s="9"/>
      <c r="I6" s="55">
        <v>0</v>
      </c>
      <c r="J6" s="21">
        <f t="shared" si="5"/>
        <v>26000</v>
      </c>
      <c r="K6" s="8" t="s">
        <v>149</v>
      </c>
      <c r="L6" s="9">
        <v>8000</v>
      </c>
      <c r="M6" s="9"/>
      <c r="N6" s="55">
        <v>0</v>
      </c>
      <c r="O6" s="21">
        <f t="shared" si="6"/>
        <v>41500</v>
      </c>
      <c r="P6" s="8" t="s">
        <v>148</v>
      </c>
      <c r="Q6" s="9">
        <v>-3000</v>
      </c>
      <c r="R6" s="9"/>
      <c r="S6" s="55">
        <v>0</v>
      </c>
      <c r="T6" s="21">
        <f t="shared" si="7"/>
        <v>37500</v>
      </c>
      <c r="U6" s="60">
        <f t="shared" si="0"/>
        <v>-9</v>
      </c>
      <c r="V6" s="61">
        <f t="shared" si="1"/>
        <v>6.5</v>
      </c>
      <c r="W6" s="62">
        <f t="shared" si="2"/>
        <v>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143</v>
      </c>
      <c r="AZ6" s="47" t="s">
        <v>144</v>
      </c>
      <c r="BA6" s="48" t="s">
        <v>83</v>
      </c>
      <c r="BB6" s="48" t="s">
        <v>155</v>
      </c>
      <c r="BC6" s="48" t="s">
        <v>84</v>
      </c>
      <c r="BD6" s="48" t="s">
        <v>85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150</v>
      </c>
      <c r="F7" s="8" t="s">
        <v>141</v>
      </c>
      <c r="G7" s="9">
        <v>5200</v>
      </c>
      <c r="H7" s="9"/>
      <c r="I7" s="55">
        <v>0</v>
      </c>
      <c r="J7" s="21">
        <f t="shared" si="5"/>
        <v>31200</v>
      </c>
      <c r="K7" s="8"/>
      <c r="L7" s="9"/>
      <c r="M7" s="9"/>
      <c r="N7" s="55"/>
      <c r="O7" s="21">
        <f t="shared" si="6"/>
        <v>41500</v>
      </c>
      <c r="P7" s="8" t="s">
        <v>142</v>
      </c>
      <c r="Q7" s="9">
        <v>-5200</v>
      </c>
      <c r="R7" s="9"/>
      <c r="S7" s="55">
        <v>0</v>
      </c>
      <c r="T7" s="21">
        <f t="shared" si="7"/>
        <v>32300</v>
      </c>
      <c r="U7" s="60">
        <f t="shared" si="0"/>
        <v>-3.8</v>
      </c>
      <c r="V7" s="61">
        <f t="shared" si="1"/>
        <v>6.5</v>
      </c>
      <c r="W7" s="62">
        <f t="shared" si="2"/>
        <v>-2.7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144</v>
      </c>
      <c r="AF7" s="48" t="s">
        <v>155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152</v>
      </c>
      <c r="F8" s="8" t="s">
        <v>154</v>
      </c>
      <c r="G8" s="9">
        <v>-3000</v>
      </c>
      <c r="H8" s="9"/>
      <c r="I8" s="55"/>
      <c r="J8" s="21">
        <f t="shared" si="5"/>
        <v>28200</v>
      </c>
      <c r="K8" s="8" t="s">
        <v>154</v>
      </c>
      <c r="L8" s="9">
        <v>1500</v>
      </c>
      <c r="M8" s="9">
        <v>-1000</v>
      </c>
      <c r="N8" s="55"/>
      <c r="O8" s="21">
        <f t="shared" si="6"/>
        <v>42000</v>
      </c>
      <c r="P8" s="8" t="s">
        <v>154</v>
      </c>
      <c r="Q8" s="9">
        <v>1500</v>
      </c>
      <c r="R8" s="9"/>
      <c r="S8" s="55"/>
      <c r="T8" s="21">
        <f t="shared" si="7"/>
        <v>33800</v>
      </c>
      <c r="U8" s="60">
        <f t="shared" si="0"/>
        <v>-6.8</v>
      </c>
      <c r="V8" s="61">
        <f t="shared" si="1"/>
        <v>7</v>
      </c>
      <c r="W8" s="62">
        <f t="shared" si="2"/>
        <v>-1.2</v>
      </c>
      <c r="Y8" s="8" t="s">
        <v>146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145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1</v>
      </c>
      <c r="D9" s="18">
        <f t="shared" si="4"/>
        <v>1</v>
      </c>
      <c r="E9" s="4" t="s">
        <v>152</v>
      </c>
      <c r="F9" s="8" t="s">
        <v>148</v>
      </c>
      <c r="G9" s="9">
        <v>-3000</v>
      </c>
      <c r="H9" s="9"/>
      <c r="I9" s="55">
        <v>-500</v>
      </c>
      <c r="J9" s="21">
        <f t="shared" si="5"/>
        <v>24700</v>
      </c>
      <c r="K9" s="8" t="s">
        <v>149</v>
      </c>
      <c r="L9" s="9">
        <v>8000</v>
      </c>
      <c r="M9" s="9">
        <v>1000</v>
      </c>
      <c r="N9" s="55">
        <v>1000</v>
      </c>
      <c r="O9" s="21">
        <f t="shared" si="6"/>
        <v>52000</v>
      </c>
      <c r="P9" s="8" t="s">
        <v>148</v>
      </c>
      <c r="Q9" s="9">
        <v>-5000</v>
      </c>
      <c r="R9" s="9"/>
      <c r="S9" s="55">
        <v>-500</v>
      </c>
      <c r="T9" s="21">
        <f t="shared" si="7"/>
        <v>28300</v>
      </c>
      <c r="U9" s="60">
        <f t="shared" si="0"/>
        <v>-10.3</v>
      </c>
      <c r="V9" s="61">
        <f t="shared" si="1"/>
        <v>17</v>
      </c>
      <c r="W9" s="62">
        <f t="shared" si="2"/>
        <v>-6.7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30</v>
      </c>
      <c r="AZ9" s="47" t="s">
        <v>87</v>
      </c>
      <c r="BA9" s="48" t="s">
        <v>87</v>
      </c>
      <c r="BB9" s="48" t="s">
        <v>82</v>
      </c>
      <c r="BC9" s="48" t="s">
        <v>83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148</v>
      </c>
      <c r="G10" s="9">
        <v>-1300</v>
      </c>
      <c r="H10" s="9">
        <v>-1000</v>
      </c>
      <c r="I10" s="55">
        <v>0</v>
      </c>
      <c r="J10" s="21">
        <f t="shared" si="5"/>
        <v>22400</v>
      </c>
      <c r="K10" s="8" t="s">
        <v>149</v>
      </c>
      <c r="L10" s="9">
        <v>2100</v>
      </c>
      <c r="M10" s="9">
        <v>1000</v>
      </c>
      <c r="N10" s="55">
        <v>0</v>
      </c>
      <c r="O10" s="21">
        <f t="shared" si="6"/>
        <v>55100</v>
      </c>
      <c r="P10" s="8" t="s">
        <v>148</v>
      </c>
      <c r="Q10" s="9">
        <v>-800</v>
      </c>
      <c r="R10" s="9"/>
      <c r="S10" s="55">
        <v>0</v>
      </c>
      <c r="T10" s="21">
        <f t="shared" si="7"/>
        <v>27500</v>
      </c>
      <c r="U10" s="60">
        <f t="shared" si="0"/>
        <v>-12.6</v>
      </c>
      <c r="V10" s="61">
        <f t="shared" si="1"/>
        <v>20.100000000000001</v>
      </c>
      <c r="W10" s="62">
        <f t="shared" si="2"/>
        <v>-7.5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80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939AA592-D0AD-4489-AB22-13BA3BFF61A4}">
      <formula1>"ロン,ツモ,放銃,ツモ支払,流局,チョンボ"</formula1>
    </dataValidation>
    <dataValidation type="list" allowBlank="1" showInputMessage="1" showErrorMessage="1" sqref="E4:E30" xr:uid="{045BC257-6077-4F2B-A3D3-9A69B6A58B6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2019-02-19T17:41:35Z</dcterms:modified>
</cp:coreProperties>
</file>