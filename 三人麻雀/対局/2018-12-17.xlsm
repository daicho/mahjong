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EE9A992B-EC29-4230-84AB-772E9D8A92F6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D10" i="16"/>
  <c r="C10" i="16"/>
  <c r="C11" i="16" s="1"/>
  <c r="D9" i="16"/>
  <c r="D8" i="16"/>
  <c r="C8" i="16"/>
  <c r="C9" i="16" s="1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V6" i="16"/>
  <c r="O7" i="16"/>
  <c r="T5" i="16"/>
  <c r="A6" i="16"/>
  <c r="J6" i="16"/>
  <c r="A7" i="16" l="1"/>
  <c r="U6" i="16"/>
  <c r="J7" i="16"/>
  <c r="O8" i="16"/>
  <c r="V7" i="16"/>
  <c r="W5" i="16"/>
  <c r="T6" i="16"/>
  <c r="B8" i="16"/>
  <c r="A8" i="16"/>
  <c r="B9" i="16" l="1"/>
  <c r="A9" i="16" s="1"/>
  <c r="V8" i="16"/>
  <c r="O9" i="16"/>
  <c r="W6" i="16"/>
  <c r="T7" i="16"/>
  <c r="U7" i="16"/>
  <c r="J8" i="16"/>
  <c r="U8" i="16" l="1"/>
  <c r="J9" i="16"/>
  <c r="O10" i="16"/>
  <c r="V10" i="16" s="1"/>
  <c r="V9" i="16"/>
  <c r="W7" i="16"/>
  <c r="T8" i="16"/>
  <c r="B10" i="16"/>
  <c r="A10" i="16" s="1"/>
  <c r="W8" i="16" l="1"/>
  <c r="T9" i="16"/>
  <c r="U9" i="16"/>
  <c r="J10" i="16"/>
  <c r="U10" i="16" s="1"/>
  <c r="B11" i="16"/>
  <c r="A11" i="16" s="1"/>
  <c r="T10" i="16" l="1"/>
  <c r="W10" i="16" s="1"/>
  <c r="W9" i="16"/>
  <c r="B5" i="1" l="1"/>
  <c r="A5" i="1" s="1"/>
  <c r="D6" i="1"/>
  <c r="C6" i="1"/>
  <c r="D5" i="1"/>
  <c r="C5" i="1"/>
  <c r="B6" i="1" l="1"/>
  <c r="A6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8" i="1" l="1"/>
  <c r="U5" i="1"/>
  <c r="V5" i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J9" i="1"/>
  <c r="T8" i="1"/>
  <c r="V8" i="1"/>
  <c r="O9" i="1"/>
  <c r="W6" i="1"/>
  <c r="B13" i="1"/>
  <c r="A13" i="1" s="1"/>
  <c r="U9" i="1" l="1"/>
  <c r="W7" i="1"/>
  <c r="J10" i="1"/>
  <c r="J11" i="1"/>
  <c r="V9" i="1"/>
  <c r="O10" i="1"/>
  <c r="W8" i="1"/>
  <c r="T9" i="1"/>
  <c r="B14" i="1"/>
  <c r="A14" i="1" s="1"/>
  <c r="U10" i="1" l="1"/>
  <c r="V10" i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<sst xmlns="http://schemas.openxmlformats.org/spreadsheetml/2006/main" count="1490" uniqueCount="177">
  <si>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</si>
  <si>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</si>
  <si>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</si>
  <si>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</si>
  <si>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</si>
  <si>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</si>
  <si>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</si>
  <si>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</si>
  <si>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</si>
  <si>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</si>
  <si>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</si>
  <si>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</si>
  <si>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</si>
  <si>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</si>
  <si>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</si>
  <si>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</si>
  <si>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</si>
  <si>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</si>
  <si>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</si>
  <si>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</si>
  <si>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</si>
  <si>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</si>
  <si>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</si>
  <si>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</si>
  <si>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</si>
  <si>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</si>
  <si>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</si>
  <si>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</si>
  <si>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</si>
  <si>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</si>
  <si>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</si>
  <si>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</si>
  <si>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</si>
  <si>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</si>
  <si>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</si>
  <si>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</si>
  <si>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</si>
  <si>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</si>
  <si>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</si>
  <si>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</si>
  <si>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</si>
  <si>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</si>
  <si>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</si>
  <si>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</si>
  <si>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</si>
  <si>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</si>
  <si>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</si>
  <si>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</si>
  <si>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</si>
  <si>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</si>
  <si>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</si>
  <si>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</si>
  <si>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</si>
  <si>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</si>
  <si>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</si>
  <si>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</si>
  <si>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</si>
  <si>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</si>
  <si>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</si>
  <si>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</si>
  <si>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</si>
  <si>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</si>
  <si>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</si>
  <si>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</si>
  <si>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</si>
  <si>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</si>
  <si>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</si>
  <si>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</si>
  <si>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</si>
  <si>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</si>
  <si>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</si>
  <si>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</si>
  <si>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</si>
  <si>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</si>
  <si>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</si>
  <si>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</si>
  <si>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</si>
  <si>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</si>
  <si>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</si>
  <si>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</si>
  <si>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</si>
  <si>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</si>
  <si>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</si>
  <si>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</si>
  <si>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</si>
  <si>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</si>
  <si>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</si>
  <si>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</si>
  <si>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</si>
  <si>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</si>
  <si>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</si>
  <si>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</si>
  <si>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</si>
  <si>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</si>
  <si>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</si>
  <si>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</si>
  <si>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</si>
  <si>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</si>
  <si>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</si>
  <si>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</si>
  <si>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</si>
  <si>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</si>
  <si>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</si>
  <si>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</si>
  <si>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</si>
  <si>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</si>
  <si>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</si>
  <si>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</si>
  <si>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</si>
  <si>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</si>
  <si>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</si>
  <si>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</si>
  <si>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</si>
  <si>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</si>
  <si>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</si>
  <si>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</si>
  <si>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</si>
  <si>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</si>
  <si>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</si>
  <si>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</si>
  <si>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</si>
  <si>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</si>
  <si>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</si>
  <si>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</si>
  <si>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</si>
  <si>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</si>
  <si>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</si>
  <si>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</si>
  <si>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</si>
  <si>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</si>
  <si>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</si>
  <si>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</si>
  <si>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</si>
  <si>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</si>
  <si>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</si>
  <si>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</si>
  <si>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</si>
  <si>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</si>
  <si>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</si>
  <si>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</si>
  <si>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</si>
  <si>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</si>
  <si>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</si>
  <si>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</si>
  <si>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</si>
  <si>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N</t>
  </si>
  <si>
    <t>T</t>
  </si>
  <si>
    <t>流局</t>
    <phoneticPr fontId="1"/>
  </si>
  <si>
    <t>東</t>
    <rPh sb="0" eb="1">
      <t>ヒガシ</t>
    </rPh>
    <phoneticPr fontId="1"/>
  </si>
  <si>
    <t>放銃</t>
  </si>
  <si>
    <t>ロン</t>
  </si>
  <si>
    <t>01</t>
    <phoneticPr fontId="1"/>
  </si>
  <si>
    <t>16</t>
    <phoneticPr fontId="1"/>
  </si>
  <si>
    <t>05</t>
    <phoneticPr fontId="1"/>
  </si>
  <si>
    <t>*</t>
  </si>
  <si>
    <t>10</t>
    <phoneticPr fontId="1"/>
  </si>
  <si>
    <t>28</t>
    <phoneticPr fontId="1"/>
  </si>
  <si>
    <t>22</t>
    <phoneticPr fontId="1"/>
  </si>
  <si>
    <t>30</t>
    <phoneticPr fontId="1"/>
  </si>
  <si>
    <t>ツモ</t>
  </si>
  <si>
    <t>ツモ支払</t>
  </si>
  <si>
    <t>06</t>
    <phoneticPr fontId="1"/>
  </si>
  <si>
    <t>03</t>
    <phoneticPr fontId="1"/>
  </si>
  <si>
    <t>25</t>
    <phoneticPr fontId="1"/>
  </si>
  <si>
    <t>02</t>
    <phoneticPr fontId="1"/>
  </si>
  <si>
    <t>08</t>
    <phoneticPr fontId="1"/>
  </si>
  <si>
    <t>07</t>
    <phoneticPr fontId="1"/>
  </si>
  <si>
    <t>10</t>
    <phoneticPr fontId="1"/>
  </si>
  <si>
    <t>06</t>
    <phoneticPr fontId="1"/>
  </si>
  <si>
    <t>08</t>
    <phoneticPr fontId="1"/>
  </si>
  <si>
    <t>07</t>
    <phoneticPr fontId="1"/>
  </si>
  <si>
    <t>20</t>
    <phoneticPr fontId="1"/>
  </si>
  <si>
    <t>22</t>
    <phoneticPr fontId="1"/>
  </si>
  <si>
    <t>05</t>
    <phoneticPr fontId="1"/>
  </si>
  <si>
    <t>11</t>
    <phoneticPr fontId="1"/>
  </si>
  <si>
    <t>04</t>
    <phoneticPr fontId="1"/>
  </si>
  <si>
    <t>28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</si>
</sst>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35" t="str">
        <f>$F$1</f>
        <v>だいち</v>
      </c>
      <c r="V2" s="36" t="str">
        <f>$K$1</f>
        <v>りくと</v>
      </c>
      <c r="W2" s="16" t="str">
        <f>$P$1</f>
        <v>れんたろう</v>
      </c>
      <c r="Y2" s="38" t="s">
        <v>24</v>
      </c>
      <c r="Z2" s="48" t="s">
        <v>27</v>
      </c>
      <c r="AA2" s="39" t="s">
        <v>25</v>
      </c>
      <c r="AB2" s="39" t="s">
        <v>133</v>
      </c>
      <c r="AC2" s="39" t="s">
        <v>19</v>
      </c>
      <c r="AD2" s="4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38" t="s">
        <v>24</v>
      </c>
      <c r="AU2" s="48" t="s">
        <v>27</v>
      </c>
      <c r="AV2" s="39" t="s">
        <v>25</v>
      </c>
      <c r="AW2" s="39" t="s">
        <v>134</v>
      </c>
      <c r="AX2" s="39" t="s">
        <v>19</v>
      </c>
      <c r="AY2" s="4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38" t="s">
        <v>24</v>
      </c>
      <c r="BP2" s="48" t="s">
        <v>27</v>
      </c>
      <c r="BQ2" s="39" t="s">
        <v>25</v>
      </c>
      <c r="BR2" s="39" t="s">
        <v>134</v>
      </c>
      <c r="BS2" s="39" t="s">
        <v>19</v>
      </c>
      <c r="BT2" s="4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148</v>
      </c>
      <c r="B4" s="27">
        <v>1</v>
      </c>
      <c r="C4" s="27">
        <v>0</v>
      </c>
      <c r="D4" s="27">
        <v>0</v>
      </c>
      <c r="E4" s="4" t="s">
        <v>139</v>
      </c>
      <c r="F4" s="8" t="s">
        <v>147</v>
      </c>
      <c r="G4" s="9">
        <v>-1500</v>
      </c>
      <c r="H4" s="9"/>
      <c r="I4" s="64"/>
      <c r="J4" s="30">
        <f>IF(COUNTA($F4,$K4,$P4)&gt;0,J3+SUM(G4:I4),"")</f>
        <v>33500</v>
      </c>
      <c r="K4" s="8" t="s">
        <v>147</v>
      </c>
      <c r="L4" s="9">
        <v>3000</v>
      </c>
      <c r="M4" s="9"/>
      <c r="N4" s="64"/>
      <c r="O4" s="30">
        <f>IF(COUNTA($F4,$K4,$P4)&gt;0,O3+SUM(L4:N4),"")</f>
        <v>38000</v>
      </c>
      <c r="P4" s="8" t="s">
        <v>147</v>
      </c>
      <c r="Q4" s="9">
        <v>-1500</v>
      </c>
      <c r="R4" s="9"/>
      <c r="S4" s="64"/>
      <c r="T4" s="30">
        <f>IF(COUNTA($F4,$K4,$P4)&gt;0,T3+SUM(Q4:S4),"")</f>
        <v>33500</v>
      </c>
      <c r="U4" s="20">
        <f>IF($J4="","",ROUND(($J4-$J$3)/1000,0))</f>
        <v>-2</v>
      </c>
      <c r="V4" s="21">
        <f t="shared" ref="V4:V30" si="0">IF($O4="","",ROUND(($O4-$O$3)/1000,0))</f>
        <v>3</v>
      </c>
      <c r="W4" s="22">
        <f t="shared" ref="W4:W30" si="1">IF($T4="","",ROUND(($T4-$T$3)/1000,0))</f>
        <v>-2</v>
      </c>
      <c r="Y4" s="8" t="s">
        <v>145</v>
      </c>
      <c r="Z4" s="50"/>
      <c r="AA4" s="41"/>
      <c r="AB4" s="41">
        <v>1</v>
      </c>
      <c r="AC4" s="41"/>
      <c r="AD4" s="45"/>
      <c r="AE4" s="56" t="s">
        <v>11</v>
      </c>
      <c r="AF4" s="57" t="s">
        <v>11</v>
      </c>
      <c r="AG4" s="57" t="s">
        <v>11</v>
      </c>
      <c r="AH4" s="57" t="s">
        <v>11</v>
      </c>
      <c r="AI4" s="57" t="s">
        <v>11</v>
      </c>
      <c r="AJ4" s="57" t="s">
        <v>11</v>
      </c>
      <c r="AK4" s="57" t="s">
        <v>11</v>
      </c>
      <c r="AL4" s="57" t="s">
        <v>11</v>
      </c>
      <c r="AM4" s="57" t="s">
        <v>11</v>
      </c>
      <c r="AN4" s="57" t="s">
        <v>11</v>
      </c>
      <c r="AO4" s="57" t="s">
        <v>11</v>
      </c>
      <c r="AP4" s="57" t="s">
        <v>11</v>
      </c>
      <c r="AQ4" s="57" t="s">
        <v>11</v>
      </c>
      <c r="AR4" s="57" t="s">
        <v>11</v>
      </c>
      <c r="AS4" s="58" t="s">
        <v>11</v>
      </c>
      <c r="AT4" s="8" t="s">
        <v>146</v>
      </c>
      <c r="AU4" s="50"/>
      <c r="AV4" s="41"/>
      <c r="AW4" s="41">
        <v>1</v>
      </c>
      <c r="AX4" s="41"/>
      <c r="AY4" s="45"/>
      <c r="AZ4" s="56" t="s">
        <v>11</v>
      </c>
      <c r="BA4" s="57" t="s">
        <v>11</v>
      </c>
      <c r="BB4" s="57" t="s">
        <v>11</v>
      </c>
      <c r="BC4" s="57" t="s">
        <v>11</v>
      </c>
      <c r="BD4" s="57" t="s">
        <v>11</v>
      </c>
      <c r="BE4" s="57" t="s">
        <v>11</v>
      </c>
      <c r="BF4" s="57" t="s">
        <v>11</v>
      </c>
      <c r="BG4" s="57" t="s">
        <v>11</v>
      </c>
      <c r="BH4" s="57" t="s">
        <v>11</v>
      </c>
      <c r="BI4" s="57" t="s">
        <v>11</v>
      </c>
      <c r="BJ4" s="57" t="s">
        <v>11</v>
      </c>
      <c r="BK4" s="57" t="s">
        <v>11</v>
      </c>
      <c r="BL4" s="57" t="s">
        <v>11</v>
      </c>
      <c r="BM4" s="57" t="s">
        <v>11</v>
      </c>
      <c r="BN4" s="58" t="s">
        <v>11</v>
      </c>
      <c r="BO4" s="8" t="s">
        <v>145</v>
      </c>
      <c r="BP4" s="50"/>
      <c r="BQ4" s="41"/>
      <c r="BR4" s="41"/>
      <c r="BS4" s="41"/>
      <c r="BT4" s="45"/>
      <c r="BU4" s="56" t="s">
        <v>11</v>
      </c>
      <c r="BV4" s="57" t="s">
        <v>11</v>
      </c>
      <c r="BW4" s="57" t="s">
        <v>11</v>
      </c>
      <c r="BX4" s="57" t="s">
        <v>11</v>
      </c>
      <c r="BY4" s="57" t="s">
        <v>11</v>
      </c>
      <c r="BZ4" s="57" t="s">
        <v>11</v>
      </c>
      <c r="CA4" s="57" t="s">
        <v>11</v>
      </c>
      <c r="CB4" s="57" t="s">
        <v>11</v>
      </c>
      <c r="CC4" s="57" t="s">
        <v>11</v>
      </c>
      <c r="CD4" s="57" t="s">
        <v>11</v>
      </c>
      <c r="CE4" s="57" t="s">
        <v>11</v>
      </c>
      <c r="CF4" s="57" t="s">
        <v>11</v>
      </c>
      <c r="CG4" s="57" t="s">
        <v>11</v>
      </c>
      <c r="CH4" s="57" t="s">
        <v>11</v>
      </c>
      <c r="CI4" s="58" t="s">
        <v>11</v>
      </c>
    </row>
    <row r="5" spans="1:87" x14ac:dyDescent="0.4">
      <c r="A5" s="13" t="str">
        <f t="shared" ref="A5:A6" si="2">IF($E5="","",IF(AND(B4=3,B5=1),_xlfn.SWITCH(A4,"東","南","南","西","西","北","北","東"),A4))</f>
        <v>東</v>
      </c>
      <c r="B5" s="27">
        <f>IF($E5="","",IF($E4=$E5,B4,IF(B4=3,1,B4+1)))</f>
        <v>2</v>
      </c>
      <c r="C5" s="27">
        <f t="shared" ref="C5:C6" si="3">IF($E5="","",IF(F4="チョンボ",C4,IF($E4=$E5,C4+1,0)))</f>
        <v>0</v>
      </c>
      <c r="D5" s="27">
        <f t="shared" ref="D5:D30" si="4">IF($E5="","",IF(OR($F4="流局",$F4="チョンボ"),D4+($H4+$M4+$R4)/-1000,0))</f>
        <v>0</v>
      </c>
      <c r="E5" s="4" t="s">
        <v>141</v>
      </c>
      <c r="F5" s="8" t="s">
        <v>149</v>
      </c>
      <c r="G5" s="9">
        <v>-8000</v>
      </c>
      <c r="H5" s="9"/>
      <c r="I5" s="64">
        <v>0</v>
      </c>
      <c r="J5" s="30">
        <f t="shared" ref="J5:J30" si="5">IF(COUNTA($F5,$K5,$P5)&gt;0,J4+SUM(G5:I5),"")</f>
        <v>25500</v>
      </c>
      <c r="K5" s="8"/>
      <c r="L5" s="9"/>
      <c r="M5" s="9"/>
      <c r="N5" s="64"/>
      <c r="O5" s="30">
        <f t="shared" ref="O5:O30" si="6">IF(COUNTA($F5,$K5,$P5)&gt;0,O4+SUM(L5:N5),"")</f>
        <v>38000</v>
      </c>
      <c r="P5" s="8" t="s">
        <v>150</v>
      </c>
      <c r="Q5" s="9">
        <v>8000</v>
      </c>
      <c r="R5" s="9">
        <v>0</v>
      </c>
      <c r="S5" s="64">
        <v>0</v>
      </c>
      <c r="T5" s="30">
        <f t="shared" ref="T5:T30" si="7">IF(COUNTA($F5,$K5,$P5)&gt;0,T4+SUM(Q5:S5),"")</f>
        <v>41500</v>
      </c>
      <c r="U5" s="20">
        <f t="shared" ref="U5:U30" si="8">IF($J5="","",ROUND(($J5-$J$3)/1000,0))</f>
        <v>-10</v>
      </c>
      <c r="V5" s="21">
        <f t="shared" si="0"/>
        <v>3</v>
      </c>
      <c r="W5" s="22">
        <f t="shared" si="1"/>
        <v>7</v>
      </c>
      <c r="Y5" s="8"/>
      <c r="Z5" s="50"/>
      <c r="AA5" s="41"/>
      <c r="AB5" s="41"/>
      <c r="AC5" s="41"/>
      <c r="AD5" s="45"/>
      <c r="AE5" s="56" t="s">
        <v>11</v>
      </c>
      <c r="AF5" s="57" t="s">
        <v>11</v>
      </c>
      <c r="AG5" s="57" t="s">
        <v>11</v>
      </c>
      <c r="AH5" s="57" t="s">
        <v>11</v>
      </c>
      <c r="AI5" s="57" t="s">
        <v>11</v>
      </c>
      <c r="AJ5" s="57" t="s">
        <v>11</v>
      </c>
      <c r="AK5" s="57" t="s">
        <v>11</v>
      </c>
      <c r="AL5" s="57" t="s">
        <v>11</v>
      </c>
      <c r="AM5" s="57" t="s">
        <v>11</v>
      </c>
      <c r="AN5" s="57" t="s">
        <v>11</v>
      </c>
      <c r="AO5" s="57" t="s">
        <v>11</v>
      </c>
      <c r="AP5" s="57" t="s">
        <v>11</v>
      </c>
      <c r="AQ5" s="57" t="s">
        <v>11</v>
      </c>
      <c r="AR5" s="57" t="s">
        <v>11</v>
      </c>
      <c r="AS5" s="58" t="s">
        <v>11</v>
      </c>
      <c r="AT5" s="8"/>
      <c r="AU5" s="50"/>
      <c r="AV5" s="41"/>
      <c r="AW5" s="41">
        <v>1</v>
      </c>
      <c r="AX5" s="41"/>
      <c r="AY5" s="45"/>
      <c r="AZ5" s="56" t="s">
        <v>11</v>
      </c>
      <c r="BA5" s="57" t="s">
        <v>11</v>
      </c>
      <c r="BB5" s="57" t="s">
        <v>11</v>
      </c>
      <c r="BC5" s="57" t="s">
        <v>11</v>
      </c>
      <c r="BD5" s="57" t="s">
        <v>11</v>
      </c>
      <c r="BE5" s="57" t="s">
        <v>11</v>
      </c>
      <c r="BF5" s="57" t="s">
        <v>11</v>
      </c>
      <c r="BG5" s="57" t="s">
        <v>11</v>
      </c>
      <c r="BH5" s="57" t="s">
        <v>11</v>
      </c>
      <c r="BI5" s="57" t="s">
        <v>11</v>
      </c>
      <c r="BJ5" s="57" t="s">
        <v>11</v>
      </c>
      <c r="BK5" s="57" t="s">
        <v>11</v>
      </c>
      <c r="BL5" s="57" t="s">
        <v>11</v>
      </c>
      <c r="BM5" s="57" t="s">
        <v>11</v>
      </c>
      <c r="BN5" s="58" t="s">
        <v>11</v>
      </c>
      <c r="BO5" s="8"/>
      <c r="BP5" s="50"/>
      <c r="BQ5" s="41">
        <v>1</v>
      </c>
      <c r="BR5" s="41"/>
      <c r="BS5" s="41">
        <v>4</v>
      </c>
      <c r="BT5" s="45">
        <v>40</v>
      </c>
      <c r="BU5" s="56" t="s">
        <v>151</v>
      </c>
      <c r="BV5" s="57" t="s">
        <v>152</v>
      </c>
      <c r="BW5" s="57" t="s">
        <v>153</v>
      </c>
      <c r="BX5" s="57" t="s">
        <v>11</v>
      </c>
      <c r="BY5" s="57" t="s">
        <v>11</v>
      </c>
      <c r="BZ5" s="57" t="s">
        <v>11</v>
      </c>
      <c r="CA5" s="57" t="s">
        <v>11</v>
      </c>
      <c r="CB5" s="57" t="s">
        <v>11</v>
      </c>
      <c r="CC5" s="57" t="s">
        <v>11</v>
      </c>
      <c r="CD5" s="57" t="s">
        <v>11</v>
      </c>
      <c r="CE5" s="57" t="s">
        <v>11</v>
      </c>
      <c r="CF5" s="57" t="s">
        <v>11</v>
      </c>
      <c r="CG5" s="57" t="s">
        <v>11</v>
      </c>
      <c r="CH5" s="57" t="s">
        <v>11</v>
      </c>
      <c r="CI5" s="58" t="s">
        <v>11</v>
      </c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3</v>
      </c>
      <c r="C6" s="27">
        <f t="shared" si="3"/>
        <v>0</v>
      </c>
      <c r="D6" s="27">
        <f t="shared" si="4"/>
        <v>0</v>
      </c>
      <c r="E6" s="4" t="s">
        <v>143</v>
      </c>
      <c r="F6" s="8" t="s">
        <v>149</v>
      </c>
      <c r="G6" s="9">
        <v>-18000</v>
      </c>
      <c r="H6" s="9">
        <v>-1000</v>
      </c>
      <c r="I6" s="64">
        <v>0</v>
      </c>
      <c r="J6" s="30">
        <f t="shared" si="5"/>
        <v>6500</v>
      </c>
      <c r="K6" s="8"/>
      <c r="L6" s="9"/>
      <c r="M6" s="9"/>
      <c r="N6" s="64"/>
      <c r="O6" s="30">
        <f t="shared" si="6"/>
        <v>38000</v>
      </c>
      <c r="P6" s="8" t="s">
        <v>150</v>
      </c>
      <c r="Q6" s="9">
        <v>18000</v>
      </c>
      <c r="R6" s="9">
        <v>1000</v>
      </c>
      <c r="S6" s="64">
        <v>0</v>
      </c>
      <c r="T6" s="30">
        <f t="shared" si="7"/>
        <v>60500</v>
      </c>
      <c r="U6" s="20">
        <f t="shared" si="8"/>
        <v>-29</v>
      </c>
      <c r="V6" s="21">
        <f t="shared" si="0"/>
        <v>3</v>
      </c>
      <c r="W6" s="22">
        <f t="shared" si="1"/>
        <v>26</v>
      </c>
      <c r="Y6" s="8"/>
      <c r="Z6" s="50"/>
      <c r="AA6" s="41">
        <v>1</v>
      </c>
      <c r="AB6" s="41"/>
      <c r="AC6" s="41"/>
      <c r="AD6" s="45"/>
      <c r="AE6" s="56" t="s">
        <v>11</v>
      </c>
      <c r="AF6" s="57" t="s">
        <v>11</v>
      </c>
      <c r="AG6" s="57" t="s">
        <v>11</v>
      </c>
      <c r="AH6" s="57" t="s">
        <v>11</v>
      </c>
      <c r="AI6" s="57" t="s">
        <v>11</v>
      </c>
      <c r="AJ6" s="57" t="s">
        <v>11</v>
      </c>
      <c r="AK6" s="57" t="s">
        <v>11</v>
      </c>
      <c r="AL6" s="57" t="s">
        <v>11</v>
      </c>
      <c r="AM6" s="57" t="s">
        <v>11</v>
      </c>
      <c r="AN6" s="57" t="s">
        <v>11</v>
      </c>
      <c r="AO6" s="57" t="s">
        <v>11</v>
      </c>
      <c r="AP6" s="57" t="s">
        <v>11</v>
      </c>
      <c r="AQ6" s="57" t="s">
        <v>11</v>
      </c>
      <c r="AR6" s="57" t="s">
        <v>11</v>
      </c>
      <c r="AS6" s="58" t="s">
        <v>11</v>
      </c>
      <c r="AT6" s="8"/>
      <c r="AU6" s="50"/>
      <c r="AV6" s="41"/>
      <c r="AW6" s="41"/>
      <c r="AX6" s="41"/>
      <c r="AY6" s="45"/>
      <c r="AZ6" s="56" t="s">
        <v>11</v>
      </c>
      <c r="BA6" s="57" t="s">
        <v>11</v>
      </c>
      <c r="BB6" s="57" t="s">
        <v>11</v>
      </c>
      <c r="BC6" s="57" t="s">
        <v>11</v>
      </c>
      <c r="BD6" s="57" t="s">
        <v>11</v>
      </c>
      <c r="BE6" s="57" t="s">
        <v>11</v>
      </c>
      <c r="BF6" s="57" t="s">
        <v>11</v>
      </c>
      <c r="BG6" s="57" t="s">
        <v>11</v>
      </c>
      <c r="BH6" s="57" t="s">
        <v>11</v>
      </c>
      <c r="BI6" s="57" t="s">
        <v>11</v>
      </c>
      <c r="BJ6" s="57" t="s">
        <v>11</v>
      </c>
      <c r="BK6" s="57" t="s">
        <v>11</v>
      </c>
      <c r="BL6" s="57" t="s">
        <v>11</v>
      </c>
      <c r="BM6" s="57" t="s">
        <v>11</v>
      </c>
      <c r="BN6" s="58" t="s">
        <v>11</v>
      </c>
      <c r="BO6" s="8"/>
      <c r="BP6" s="50"/>
      <c r="BQ6" s="41"/>
      <c r="BR6" s="41">
        <v>1</v>
      </c>
      <c r="BS6" s="41">
        <v>7</v>
      </c>
      <c r="BT6" s="45" t="s">
        <v>154</v>
      </c>
      <c r="BU6" s="56" t="s">
        <v>155</v>
      </c>
      <c r="BV6" s="57" t="s">
        <v>155</v>
      </c>
      <c r="BW6" s="57" t="s">
        <v>153</v>
      </c>
      <c r="BX6" s="57" t="s">
        <v>157</v>
      </c>
      <c r="BY6" s="57" t="s">
        <v>156</v>
      </c>
      <c r="BZ6" s="57" t="s">
        <v>11</v>
      </c>
      <c r="CA6" s="57" t="s">
        <v>11</v>
      </c>
      <c r="CB6" s="57" t="s">
        <v>11</v>
      </c>
      <c r="CC6" s="57" t="s">
        <v>11</v>
      </c>
      <c r="CD6" s="57" t="s">
        <v>11</v>
      </c>
      <c r="CE6" s="57" t="s">
        <v>11</v>
      </c>
      <c r="CF6" s="57" t="s">
        <v>11</v>
      </c>
      <c r="CG6" s="57" t="s">
        <v>11</v>
      </c>
      <c r="CH6" s="57" t="s">
        <v>11</v>
      </c>
      <c r="CI6" s="58" t="s">
        <v>11</v>
      </c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27">
        <f t="shared" si="9"/>
        <v>3</v>
      </c>
      <c r="C7" s="27">
        <f t="shared" ref="C7:C30" si="11">IF($E7="","",IF(F6="チョンボ",C6,IF($E6=$E7,C6+1,0)))</f>
        <v>1</v>
      </c>
      <c r="D7" s="27">
        <f t="shared" si="4"/>
        <v>0</v>
      </c>
      <c r="E7" s="4" t="s">
        <v>143</v>
      </c>
      <c r="F7" s="8" t="s">
        <v>150</v>
      </c>
      <c r="G7" s="9">
        <v>8000</v>
      </c>
      <c r="H7" s="9">
        <v>1000</v>
      </c>
      <c r="I7" s="64">
        <v>1000</v>
      </c>
      <c r="J7" s="30">
        <f t="shared" si="5"/>
        <v>16500</v>
      </c>
      <c r="K7" s="8"/>
      <c r="L7" s="9"/>
      <c r="M7" s="9">
        <v>-1000</v>
      </c>
      <c r="N7" s="64"/>
      <c r="O7" s="30">
        <f t="shared" si="6"/>
        <v>37000</v>
      </c>
      <c r="P7" s="8" t="s">
        <v>149</v>
      </c>
      <c r="Q7" s="9">
        <v>-8000</v>
      </c>
      <c r="R7" s="9"/>
      <c r="S7" s="64">
        <v>-1000</v>
      </c>
      <c r="T7" s="30">
        <f t="shared" si="7"/>
        <v>51500</v>
      </c>
      <c r="U7" s="20">
        <f t="shared" si="8"/>
        <v>-19</v>
      </c>
      <c r="V7" s="21">
        <f t="shared" si="0"/>
        <v>2</v>
      </c>
      <c r="W7" s="22">
        <f t="shared" si="1"/>
        <v>17</v>
      </c>
      <c r="Y7" s="8"/>
      <c r="Z7" s="50"/>
      <c r="AA7" s="41"/>
      <c r="AB7" s="41">
        <v>1</v>
      </c>
      <c r="AC7" s="41">
        <v>5</v>
      </c>
      <c r="AD7" s="45" t="s">
        <v>154</v>
      </c>
      <c r="AE7" s="56" t="s">
        <v>158</v>
      </c>
      <c r="AF7" s="57" t="s">
        <v>11</v>
      </c>
      <c r="AG7" s="57" t="s">
        <v>11</v>
      </c>
      <c r="AH7" s="57" t="s">
        <v>11</v>
      </c>
      <c r="AI7" s="57" t="s">
        <v>11</v>
      </c>
      <c r="AJ7" s="57" t="s">
        <v>11</v>
      </c>
      <c r="AK7" s="57" t="s">
        <v>11</v>
      </c>
      <c r="AL7" s="57" t="s">
        <v>11</v>
      </c>
      <c r="AM7" s="57" t="s">
        <v>11</v>
      </c>
      <c r="AN7" s="57" t="s">
        <v>11</v>
      </c>
      <c r="AO7" s="57" t="s">
        <v>11</v>
      </c>
      <c r="AP7" s="57" t="s">
        <v>11</v>
      </c>
      <c r="AQ7" s="57" t="s">
        <v>11</v>
      </c>
      <c r="AR7" s="57" t="s">
        <v>11</v>
      </c>
      <c r="AS7" s="58" t="s">
        <v>11</v>
      </c>
      <c r="AT7" s="8"/>
      <c r="AU7" s="50"/>
      <c r="AV7" s="41">
        <v>1</v>
      </c>
      <c r="AW7" s="41"/>
      <c r="AX7" s="41"/>
      <c r="AY7" s="45"/>
      <c r="AZ7" s="56" t="s">
        <v>11</v>
      </c>
      <c r="BA7" s="57" t="s">
        <v>11</v>
      </c>
      <c r="BB7" s="57" t="s">
        <v>11</v>
      </c>
      <c r="BC7" s="57" t="s">
        <v>11</v>
      </c>
      <c r="BD7" s="57" t="s">
        <v>11</v>
      </c>
      <c r="BE7" s="57" t="s">
        <v>11</v>
      </c>
      <c r="BF7" s="57" t="s">
        <v>11</v>
      </c>
      <c r="BG7" s="57" t="s">
        <v>11</v>
      </c>
      <c r="BH7" s="57" t="s">
        <v>11</v>
      </c>
      <c r="BI7" s="57" t="s">
        <v>11</v>
      </c>
      <c r="BJ7" s="57" t="s">
        <v>11</v>
      </c>
      <c r="BK7" s="57" t="s">
        <v>11</v>
      </c>
      <c r="BL7" s="57" t="s">
        <v>11</v>
      </c>
      <c r="BM7" s="57" t="s">
        <v>11</v>
      </c>
      <c r="BN7" s="58" t="s">
        <v>11</v>
      </c>
      <c r="BO7" s="8"/>
      <c r="BP7" s="50"/>
      <c r="BQ7" s="41"/>
      <c r="BR7" s="41"/>
      <c r="BS7" s="41"/>
      <c r="BT7" s="45"/>
      <c r="BU7" s="56" t="s">
        <v>11</v>
      </c>
      <c r="BV7" s="57" t="s">
        <v>11</v>
      </c>
      <c r="BW7" s="57" t="s">
        <v>11</v>
      </c>
      <c r="BX7" s="57" t="s">
        <v>11</v>
      </c>
      <c r="BY7" s="57" t="s">
        <v>11</v>
      </c>
      <c r="BZ7" s="57" t="s">
        <v>11</v>
      </c>
      <c r="CA7" s="57" t="s">
        <v>11</v>
      </c>
      <c r="CB7" s="57" t="s">
        <v>11</v>
      </c>
      <c r="CC7" s="57" t="s">
        <v>11</v>
      </c>
      <c r="CD7" s="57" t="s">
        <v>11</v>
      </c>
      <c r="CE7" s="57" t="s">
        <v>11</v>
      </c>
      <c r="CF7" s="57" t="s">
        <v>11</v>
      </c>
      <c r="CG7" s="57" t="s">
        <v>11</v>
      </c>
      <c r="CH7" s="57" t="s">
        <v>11</v>
      </c>
      <c r="CI7" s="58" t="s">
        <v>11</v>
      </c>
    </row>
    <row r="8" spans="1:87" x14ac:dyDescent="0.4">
      <c r="A8" s="13" t="str">
        <f t="shared" si="10"/>
        <v>南</v>
      </c>
      <c r="B8" s="27">
        <f t="shared" si="9"/>
        <v>1</v>
      </c>
      <c r="C8" s="27">
        <f t="shared" si="11"/>
        <v>0</v>
      </c>
      <c r="D8" s="27">
        <f t="shared" si="4"/>
        <v>0</v>
      </c>
      <c r="E8" s="4" t="s">
        <v>139</v>
      </c>
      <c r="F8" s="8" t="s">
        <v>159</v>
      </c>
      <c r="G8" s="9">
        <v>3000</v>
      </c>
      <c r="H8" s="9">
        <v>1000</v>
      </c>
      <c r="I8" s="64">
        <v>0</v>
      </c>
      <c r="J8" s="30">
        <f t="shared" si="5"/>
        <v>20500</v>
      </c>
      <c r="K8" s="8" t="s">
        <v>160</v>
      </c>
      <c r="L8" s="9">
        <v>-1500</v>
      </c>
      <c r="M8" s="9">
        <v>-1000</v>
      </c>
      <c r="N8" s="64">
        <v>0</v>
      </c>
      <c r="O8" s="30">
        <f t="shared" si="6"/>
        <v>34500</v>
      </c>
      <c r="P8" s="8" t="s">
        <v>160</v>
      </c>
      <c r="Q8" s="9">
        <v>-1500</v>
      </c>
      <c r="R8" s="9"/>
      <c r="S8" s="64">
        <v>0</v>
      </c>
      <c r="T8" s="30">
        <f t="shared" si="7"/>
        <v>50000</v>
      </c>
      <c r="U8" s="20">
        <f t="shared" si="8"/>
        <v>-15</v>
      </c>
      <c r="V8" s="21">
        <f t="shared" si="0"/>
        <v>-1</v>
      </c>
      <c r="W8" s="22">
        <f t="shared" si="1"/>
        <v>15</v>
      </c>
      <c r="Y8" s="8"/>
      <c r="Z8" s="50"/>
      <c r="AA8" s="41">
        <v>1</v>
      </c>
      <c r="AB8" s="41"/>
      <c r="AC8" s="41">
        <v>2</v>
      </c>
      <c r="AD8" s="45">
        <v>30</v>
      </c>
      <c r="AE8" s="56" t="s">
        <v>151</v>
      </c>
      <c r="AF8" s="57" t="s">
        <v>161</v>
      </c>
      <c r="AG8" s="57" t="s">
        <v>11</v>
      </c>
      <c r="AH8" s="57" t="s">
        <v>11</v>
      </c>
      <c r="AI8" s="57" t="s">
        <v>11</v>
      </c>
      <c r="AJ8" s="57" t="s">
        <v>11</v>
      </c>
      <c r="AK8" s="57" t="s">
        <v>11</v>
      </c>
      <c r="AL8" s="57" t="s">
        <v>11</v>
      </c>
      <c r="AM8" s="57" t="s">
        <v>11</v>
      </c>
      <c r="AN8" s="57" t="s">
        <v>11</v>
      </c>
      <c r="AO8" s="57" t="s">
        <v>11</v>
      </c>
      <c r="AP8" s="57" t="s">
        <v>11</v>
      </c>
      <c r="AQ8" s="57" t="s">
        <v>11</v>
      </c>
      <c r="AR8" s="57" t="s">
        <v>11</v>
      </c>
      <c r="AS8" s="58" t="s">
        <v>11</v>
      </c>
      <c r="AT8" s="8"/>
      <c r="AU8" s="50"/>
      <c r="AV8" s="41">
        <v>1</v>
      </c>
      <c r="AW8" s="41"/>
      <c r="AX8" s="41"/>
      <c r="AY8" s="45"/>
      <c r="AZ8" s="56" t="s">
        <v>11</v>
      </c>
      <c r="BA8" s="57" t="s">
        <v>11</v>
      </c>
      <c r="BB8" s="57" t="s">
        <v>11</v>
      </c>
      <c r="BC8" s="57" t="s">
        <v>11</v>
      </c>
      <c r="BD8" s="57" t="s">
        <v>11</v>
      </c>
      <c r="BE8" s="57" t="s">
        <v>11</v>
      </c>
      <c r="BF8" s="57" t="s">
        <v>11</v>
      </c>
      <c r="BG8" s="57" t="s">
        <v>11</v>
      </c>
      <c r="BH8" s="57" t="s">
        <v>11</v>
      </c>
      <c r="BI8" s="57" t="s">
        <v>11</v>
      </c>
      <c r="BJ8" s="57" t="s">
        <v>11</v>
      </c>
      <c r="BK8" s="57" t="s">
        <v>11</v>
      </c>
      <c r="BL8" s="57" t="s">
        <v>11</v>
      </c>
      <c r="BM8" s="57" t="s">
        <v>11</v>
      </c>
      <c r="BN8" s="58" t="s">
        <v>11</v>
      </c>
      <c r="BO8" s="8"/>
      <c r="BP8" s="50"/>
      <c r="BQ8" s="41"/>
      <c r="BR8" s="41"/>
      <c r="BS8" s="41"/>
      <c r="BT8" s="45"/>
      <c r="BU8" s="56" t="s">
        <v>11</v>
      </c>
      <c r="BV8" s="57" t="s">
        <v>11</v>
      </c>
      <c r="BW8" s="57" t="s">
        <v>11</v>
      </c>
      <c r="BX8" s="57" t="s">
        <v>11</v>
      </c>
      <c r="BY8" s="57" t="s">
        <v>11</v>
      </c>
      <c r="BZ8" s="57" t="s">
        <v>11</v>
      </c>
      <c r="CA8" s="57" t="s">
        <v>11</v>
      </c>
      <c r="CB8" s="57" t="s">
        <v>11</v>
      </c>
      <c r="CC8" s="57" t="s">
        <v>11</v>
      </c>
      <c r="CD8" s="57" t="s">
        <v>11</v>
      </c>
      <c r="CE8" s="57" t="s">
        <v>11</v>
      </c>
      <c r="CF8" s="57" t="s">
        <v>11</v>
      </c>
      <c r="CG8" s="57" t="s">
        <v>11</v>
      </c>
      <c r="CH8" s="57" t="s">
        <v>11</v>
      </c>
      <c r="CI8" s="58" t="s">
        <v>11</v>
      </c>
    </row>
    <row r="9" spans="1:87" x14ac:dyDescent="0.4">
      <c r="A9" s="13" t="str">
        <f t="shared" si="10"/>
        <v>南</v>
      </c>
      <c r="B9" s="27">
        <f t="shared" si="9"/>
        <v>1</v>
      </c>
      <c r="C9" s="27">
        <f t="shared" si="11"/>
        <v>1</v>
      </c>
      <c r="D9" s="27">
        <f t="shared" si="4"/>
        <v>0</v>
      </c>
      <c r="E9" s="4" t="s">
        <v>139</v>
      </c>
      <c r="F9" s="8" t="s">
        <v>149</v>
      </c>
      <c r="G9" s="9">
        <v>-12000</v>
      </c>
      <c r="H9" s="9"/>
      <c r="I9" s="64">
        <v>-1000</v>
      </c>
      <c r="J9" s="30">
        <f t="shared" si="5"/>
        <v>7500</v>
      </c>
      <c r="K9" s="8"/>
      <c r="L9" s="9"/>
      <c r="M9" s="9"/>
      <c r="N9" s="64"/>
      <c r="O9" s="30">
        <f t="shared" si="6"/>
        <v>34500</v>
      </c>
      <c r="P9" s="8" t="s">
        <v>150</v>
      </c>
      <c r="Q9" s="9">
        <v>12000</v>
      </c>
      <c r="R9" s="9">
        <v>0</v>
      </c>
      <c r="S9" s="64">
        <v>1000</v>
      </c>
      <c r="T9" s="30">
        <f t="shared" si="7"/>
        <v>63000</v>
      </c>
      <c r="U9" s="20">
        <f t="shared" si="8"/>
        <v>-28</v>
      </c>
      <c r="V9" s="21">
        <f t="shared" si="0"/>
        <v>-1</v>
      </c>
      <c r="W9" s="22">
        <f t="shared" si="1"/>
        <v>28</v>
      </c>
      <c r="Y9" s="8"/>
      <c r="Z9" s="50"/>
      <c r="AA9" s="41"/>
      <c r="AB9" s="41"/>
      <c r="AC9" s="41"/>
      <c r="AD9" s="45"/>
      <c r="AE9" s="56" t="s">
        <v>11</v>
      </c>
      <c r="AF9" s="57" t="s">
        <v>11</v>
      </c>
      <c r="AG9" s="57" t="s">
        <v>11</v>
      </c>
      <c r="AH9" s="57" t="s">
        <v>11</v>
      </c>
      <c r="AI9" s="57" t="s">
        <v>11</v>
      </c>
      <c r="AJ9" s="57" t="s">
        <v>11</v>
      </c>
      <c r="AK9" s="57" t="s">
        <v>11</v>
      </c>
      <c r="AL9" s="57" t="s">
        <v>11</v>
      </c>
      <c r="AM9" s="57" t="s">
        <v>11</v>
      </c>
      <c r="AN9" s="57" t="s">
        <v>11</v>
      </c>
      <c r="AO9" s="57" t="s">
        <v>11</v>
      </c>
      <c r="AP9" s="57" t="s">
        <v>11</v>
      </c>
      <c r="AQ9" s="57" t="s">
        <v>11</v>
      </c>
      <c r="AR9" s="57" t="s">
        <v>11</v>
      </c>
      <c r="AS9" s="58" t="s">
        <v>11</v>
      </c>
      <c r="AT9" s="8"/>
      <c r="AU9" s="50"/>
      <c r="AV9" s="41"/>
      <c r="AW9" s="41"/>
      <c r="AX9" s="41"/>
      <c r="AY9" s="45"/>
      <c r="AZ9" s="56" t="s">
        <v>11</v>
      </c>
      <c r="BA9" s="57" t="s">
        <v>11</v>
      </c>
      <c r="BB9" s="57" t="s">
        <v>11</v>
      </c>
      <c r="BC9" s="57" t="s">
        <v>11</v>
      </c>
      <c r="BD9" s="57" t="s">
        <v>11</v>
      </c>
      <c r="BE9" s="57" t="s">
        <v>11</v>
      </c>
      <c r="BF9" s="57" t="s">
        <v>11</v>
      </c>
      <c r="BG9" s="57" t="s">
        <v>11</v>
      </c>
      <c r="BH9" s="57" t="s">
        <v>11</v>
      </c>
      <c r="BI9" s="57" t="s">
        <v>11</v>
      </c>
      <c r="BJ9" s="57" t="s">
        <v>11</v>
      </c>
      <c r="BK9" s="57" t="s">
        <v>11</v>
      </c>
      <c r="BL9" s="57" t="s">
        <v>11</v>
      </c>
      <c r="BM9" s="57" t="s">
        <v>11</v>
      </c>
      <c r="BN9" s="58" t="s">
        <v>11</v>
      </c>
      <c r="BO9" s="8"/>
      <c r="BP9" s="50"/>
      <c r="BQ9" s="41">
        <v>1</v>
      </c>
      <c r="BR9" s="41"/>
      <c r="BS9" s="41">
        <v>6</v>
      </c>
      <c r="BT9" s="45" t="s">
        <v>154</v>
      </c>
      <c r="BU9" s="56" t="s">
        <v>151</v>
      </c>
      <c r="BV9" s="57" t="s">
        <v>153</v>
      </c>
      <c r="BW9" s="57" t="s">
        <v>162</v>
      </c>
      <c r="BX9" s="57" t="s">
        <v>162</v>
      </c>
      <c r="BY9" s="57" t="s">
        <v>163</v>
      </c>
      <c r="BZ9" s="57" t="s">
        <v>11</v>
      </c>
      <c r="CA9" s="57" t="s">
        <v>11</v>
      </c>
      <c r="CB9" s="57" t="s">
        <v>11</v>
      </c>
      <c r="CC9" s="57" t="s">
        <v>11</v>
      </c>
      <c r="CD9" s="57" t="s">
        <v>11</v>
      </c>
      <c r="CE9" s="57" t="s">
        <v>11</v>
      </c>
      <c r="CF9" s="57" t="s">
        <v>11</v>
      </c>
      <c r="CG9" s="57" t="s">
        <v>11</v>
      </c>
      <c r="CH9" s="57" t="s">
        <v>11</v>
      </c>
      <c r="CI9" s="58" t="s">
        <v>11</v>
      </c>
    </row>
    <row r="10" spans="1:87" x14ac:dyDescent="0.4">
      <c r="A10" s="13" t="str">
        <f t="shared" si="10"/>
        <v>南</v>
      </c>
      <c r="B10" s="27">
        <f t="shared" si="9"/>
        <v>2</v>
      </c>
      <c r="C10" s="27">
        <f t="shared" si="11"/>
        <v>0</v>
      </c>
      <c r="D10" s="27">
        <f t="shared" si="4"/>
        <v>0</v>
      </c>
      <c r="E10" s="4" t="s">
        <v>141</v>
      </c>
      <c r="F10" s="8" t="s">
        <v>149</v>
      </c>
      <c r="G10" s="9">
        <v>-18000</v>
      </c>
      <c r="H10" s="9"/>
      <c r="I10" s="64">
        <v>0</v>
      </c>
      <c r="J10" s="30">
        <f t="shared" si="5"/>
        <v>-10500</v>
      </c>
      <c r="K10" s="8" t="s">
        <v>150</v>
      </c>
      <c r="L10" s="9">
        <v>18000</v>
      </c>
      <c r="M10" s="9">
        <v>0</v>
      </c>
      <c r="N10" s="64">
        <v>0</v>
      </c>
      <c r="O10" s="30">
        <f t="shared" si="6"/>
        <v>52500</v>
      </c>
      <c r="P10" s="8"/>
      <c r="Q10" s="9"/>
      <c r="R10" s="9"/>
      <c r="S10" s="64"/>
      <c r="T10" s="30">
        <f t="shared" si="7"/>
        <v>63000</v>
      </c>
      <c r="U10" s="20">
        <f t="shared" si="8"/>
        <v>-46</v>
      </c>
      <c r="V10" s="21">
        <f t="shared" si="0"/>
        <v>18</v>
      </c>
      <c r="W10" s="22">
        <f t="shared" si="1"/>
        <v>28</v>
      </c>
      <c r="Y10" s="8"/>
      <c r="Z10" s="50"/>
      <c r="AA10" s="41"/>
      <c r="AB10" s="41"/>
      <c r="AC10" s="41"/>
      <c r="AD10" s="45"/>
      <c r="AE10" s="56" t="s">
        <v>11</v>
      </c>
      <c r="AF10" s="57" t="s">
        <v>11</v>
      </c>
      <c r="AG10" s="57" t="s">
        <v>11</v>
      </c>
      <c r="AH10" s="57" t="s">
        <v>11</v>
      </c>
      <c r="AI10" s="57" t="s">
        <v>11</v>
      </c>
      <c r="AJ10" s="57" t="s">
        <v>11</v>
      </c>
      <c r="AK10" s="57" t="s">
        <v>11</v>
      </c>
      <c r="AL10" s="57" t="s">
        <v>11</v>
      </c>
      <c r="AM10" s="57" t="s">
        <v>11</v>
      </c>
      <c r="AN10" s="57" t="s">
        <v>11</v>
      </c>
      <c r="AO10" s="57" t="s">
        <v>11</v>
      </c>
      <c r="AP10" s="57" t="s">
        <v>11</v>
      </c>
      <c r="AQ10" s="57" t="s">
        <v>11</v>
      </c>
      <c r="AR10" s="57" t="s">
        <v>11</v>
      </c>
      <c r="AS10" s="58" t="s">
        <v>11</v>
      </c>
      <c r="AT10" s="8"/>
      <c r="AU10" s="50"/>
      <c r="AV10" s="41">
        <v>1</v>
      </c>
      <c r="AW10" s="41"/>
      <c r="AX10" s="41">
        <v>6</v>
      </c>
      <c r="AY10" s="45" t="s">
        <v>154</v>
      </c>
      <c r="AZ10" s="56" t="s">
        <v>151</v>
      </c>
      <c r="BA10" s="57" t="s">
        <v>164</v>
      </c>
      <c r="BB10" s="57" t="s">
        <v>153</v>
      </c>
      <c r="BC10" s="57" t="s">
        <v>165</v>
      </c>
      <c r="BD10" s="57" t="s">
        <v>166</v>
      </c>
      <c r="BE10" s="57" t="s">
        <v>162</v>
      </c>
      <c r="BF10" s="57" t="s">
        <v>11</v>
      </c>
      <c r="BG10" s="57" t="s">
        <v>11</v>
      </c>
      <c r="BH10" s="57" t="s">
        <v>11</v>
      </c>
      <c r="BI10" s="57" t="s">
        <v>11</v>
      </c>
      <c r="BJ10" s="57" t="s">
        <v>11</v>
      </c>
      <c r="BK10" s="57" t="s">
        <v>11</v>
      </c>
      <c r="BL10" s="57" t="s">
        <v>11</v>
      </c>
      <c r="BM10" s="57" t="s">
        <v>11</v>
      </c>
      <c r="BN10" s="58" t="s">
        <v>11</v>
      </c>
      <c r="BO10" s="8"/>
      <c r="BP10" s="50"/>
      <c r="BQ10" s="41"/>
      <c r="BR10" s="41"/>
      <c r="BS10" s="41"/>
      <c r="BT10" s="45"/>
      <c r="BU10" s="56" t="s">
        <v>11</v>
      </c>
      <c r="BV10" s="57" t="s">
        <v>11</v>
      </c>
      <c r="BW10" s="57" t="s">
        <v>11</v>
      </c>
      <c r="BX10" s="57" t="s">
        <v>11</v>
      </c>
      <c r="BY10" s="57" t="s">
        <v>11</v>
      </c>
      <c r="BZ10" s="57" t="s">
        <v>11</v>
      </c>
      <c r="CA10" s="57" t="s">
        <v>11</v>
      </c>
      <c r="CB10" s="57" t="s">
        <v>11</v>
      </c>
      <c r="CC10" s="57" t="s">
        <v>11</v>
      </c>
      <c r="CD10" s="57" t="s">
        <v>11</v>
      </c>
      <c r="CE10" s="57" t="s">
        <v>11</v>
      </c>
      <c r="CF10" s="57" t="s">
        <v>11</v>
      </c>
      <c r="CG10" s="57" t="s">
        <v>11</v>
      </c>
      <c r="CH10" s="57" t="s">
        <v>11</v>
      </c>
      <c r="CI10" s="58" t="s">
        <v>11</v>
      </c>
    </row>
    <row r="11" spans="1:87" x14ac:dyDescent="0.4">
      <c r="A11" s="13" t="str">
        <f t="shared" si="10"/>
        <v/>
      </c>
      <c r="B11" s="27" t="str">
        <f t="shared" si="9"/>
        <v/>
      </c>
      <c r="C11" s="27" t="str">
        <f t="shared" si="11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 t="s">
        <v>11</v>
      </c>
      <c r="AF11" s="57" t="s">
        <v>11</v>
      </c>
      <c r="AG11" s="57" t="s">
        <v>11</v>
      </c>
      <c r="AH11" s="57" t="s">
        <v>11</v>
      </c>
      <c r="AI11" s="57" t="s">
        <v>11</v>
      </c>
      <c r="AJ11" s="57" t="s">
        <v>11</v>
      </c>
      <c r="AK11" s="57" t="s">
        <v>11</v>
      </c>
      <c r="AL11" s="57" t="s">
        <v>11</v>
      </c>
      <c r="AM11" s="57" t="s">
        <v>11</v>
      </c>
      <c r="AN11" s="57" t="s">
        <v>11</v>
      </c>
      <c r="AO11" s="57" t="s">
        <v>11</v>
      </c>
      <c r="AP11" s="57" t="s">
        <v>11</v>
      </c>
      <c r="AQ11" s="57" t="s">
        <v>11</v>
      </c>
      <c r="AR11" s="57" t="s">
        <v>11</v>
      </c>
      <c r="AS11" s="58" t="s">
        <v>11</v>
      </c>
      <c r="AT11" s="8"/>
      <c r="AU11" s="50"/>
      <c r="AV11" s="41"/>
      <c r="AW11" s="41"/>
      <c r="AX11" s="41"/>
      <c r="AY11" s="45"/>
      <c r="AZ11" s="56" t="s">
        <v>11</v>
      </c>
      <c r="BA11" s="57" t="s">
        <v>11</v>
      </c>
      <c r="BB11" s="57" t="s">
        <v>11</v>
      </c>
      <c r="BC11" s="57" t="s">
        <v>11</v>
      </c>
      <c r="BD11" s="57" t="s">
        <v>11</v>
      </c>
      <c r="BE11" s="57" t="s">
        <v>11</v>
      </c>
      <c r="BF11" s="57" t="s">
        <v>11</v>
      </c>
      <c r="BG11" s="57" t="s">
        <v>11</v>
      </c>
      <c r="BH11" s="57" t="s">
        <v>11</v>
      </c>
      <c r="BI11" s="57" t="s">
        <v>11</v>
      </c>
      <c r="BJ11" s="57" t="s">
        <v>11</v>
      </c>
      <c r="BK11" s="57" t="s">
        <v>11</v>
      </c>
      <c r="BL11" s="57" t="s">
        <v>11</v>
      </c>
      <c r="BM11" s="57" t="s">
        <v>11</v>
      </c>
      <c r="BN11" s="58" t="s">
        <v>11</v>
      </c>
      <c r="BO11" s="8"/>
      <c r="BP11" s="50"/>
      <c r="BQ11" s="41"/>
      <c r="BR11" s="41"/>
      <c r="BS11" s="41"/>
      <c r="BT11" s="45"/>
      <c r="BU11" s="56" t="s">
        <v>11</v>
      </c>
      <c r="BV11" s="57" t="s">
        <v>11</v>
      </c>
      <c r="BW11" s="57" t="s">
        <v>11</v>
      </c>
      <c r="BX11" s="57" t="s">
        <v>11</v>
      </c>
      <c r="BY11" s="57" t="s">
        <v>11</v>
      </c>
      <c r="BZ11" s="57" t="s">
        <v>11</v>
      </c>
      <c r="CA11" s="57" t="s">
        <v>11</v>
      </c>
      <c r="CB11" s="57" t="s">
        <v>11</v>
      </c>
      <c r="CC11" s="57" t="s">
        <v>11</v>
      </c>
      <c r="CD11" s="57" t="s">
        <v>11</v>
      </c>
      <c r="CE11" s="57" t="s">
        <v>11</v>
      </c>
      <c r="CF11" s="57" t="s">
        <v>11</v>
      </c>
      <c r="CG11" s="57" t="s">
        <v>11</v>
      </c>
      <c r="CH11" s="57" t="s">
        <v>11</v>
      </c>
      <c r="CI11" s="58" t="s">
        <v>11</v>
      </c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 t="s">
        <v>11</v>
      </c>
      <c r="AF12" s="57" t="s">
        <v>11</v>
      </c>
      <c r="AG12" s="57" t="s">
        <v>11</v>
      </c>
      <c r="AH12" s="57" t="s">
        <v>11</v>
      </c>
      <c r="AI12" s="57" t="s">
        <v>11</v>
      </c>
      <c r="AJ12" s="57" t="s">
        <v>11</v>
      </c>
      <c r="AK12" s="57" t="s">
        <v>11</v>
      </c>
      <c r="AL12" s="57" t="s">
        <v>11</v>
      </c>
      <c r="AM12" s="57" t="s">
        <v>11</v>
      </c>
      <c r="AN12" s="57" t="s">
        <v>11</v>
      </c>
      <c r="AO12" s="57" t="s">
        <v>11</v>
      </c>
      <c r="AP12" s="57" t="s">
        <v>11</v>
      </c>
      <c r="AQ12" s="57" t="s">
        <v>11</v>
      </c>
      <c r="AR12" s="57" t="s">
        <v>11</v>
      </c>
      <c r="AS12" s="58" t="s">
        <v>11</v>
      </c>
      <c r="AT12" s="8"/>
      <c r="AU12" s="50"/>
      <c r="AV12" s="41"/>
      <c r="AW12" s="41"/>
      <c r="AX12" s="41"/>
      <c r="AY12" s="45"/>
      <c r="AZ12" s="56" t="s">
        <v>11</v>
      </c>
      <c r="BA12" s="57" t="s">
        <v>11</v>
      </c>
      <c r="BB12" s="57" t="s">
        <v>11</v>
      </c>
      <c r="BC12" s="57" t="s">
        <v>11</v>
      </c>
      <c r="BD12" s="57" t="s">
        <v>11</v>
      </c>
      <c r="BE12" s="57" t="s">
        <v>11</v>
      </c>
      <c r="BF12" s="57" t="s">
        <v>11</v>
      </c>
      <c r="BG12" s="57" t="s">
        <v>11</v>
      </c>
      <c r="BH12" s="57" t="s">
        <v>11</v>
      </c>
      <c r="BI12" s="57" t="s">
        <v>11</v>
      </c>
      <c r="BJ12" s="57" t="s">
        <v>11</v>
      </c>
      <c r="BK12" s="57" t="s">
        <v>11</v>
      </c>
      <c r="BL12" s="57" t="s">
        <v>11</v>
      </c>
      <c r="BM12" s="57" t="s">
        <v>11</v>
      </c>
      <c r="BN12" s="58" t="s">
        <v>11</v>
      </c>
      <c r="BO12" s="8"/>
      <c r="BP12" s="50"/>
      <c r="BQ12" s="41"/>
      <c r="BR12" s="41"/>
      <c r="BS12" s="41"/>
      <c r="BT12" s="45"/>
      <c r="BU12" s="56" t="s">
        <v>11</v>
      </c>
      <c r="BV12" s="57" t="s">
        <v>11</v>
      </c>
      <c r="BW12" s="57" t="s">
        <v>11</v>
      </c>
      <c r="BX12" s="57" t="s">
        <v>11</v>
      </c>
      <c r="BY12" s="57" t="s">
        <v>11</v>
      </c>
      <c r="BZ12" s="57" t="s">
        <v>11</v>
      </c>
      <c r="CA12" s="57" t="s">
        <v>11</v>
      </c>
      <c r="CB12" s="57" t="s">
        <v>11</v>
      </c>
      <c r="CC12" s="57" t="s">
        <v>11</v>
      </c>
      <c r="CD12" s="57" t="s">
        <v>11</v>
      </c>
      <c r="CE12" s="57" t="s">
        <v>11</v>
      </c>
      <c r="CF12" s="57" t="s">
        <v>11</v>
      </c>
      <c r="CG12" s="57" t="s">
        <v>11</v>
      </c>
      <c r="CH12" s="57" t="s">
        <v>11</v>
      </c>
      <c r="CI12" s="58" t="s">
        <v>11</v>
      </c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044ED-ACB1-47EC-B07B-2C3D3DF2D0DE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62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133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134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134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148</v>
      </c>
      <c r="B4" s="27">
        <v>1</v>
      </c>
      <c r="C4" s="27">
        <v>0</v>
      </c>
      <c r="D4" s="27">
        <v>0</v>
      </c>
      <c r="E4" s="4" t="s">
        <v>141</v>
      </c>
      <c r="F4" s="8" t="s">
        <v>149</v>
      </c>
      <c r="G4" s="9">
        <v>-8000</v>
      </c>
      <c r="H4" s="9"/>
      <c r="I4" s="64">
        <v>0</v>
      </c>
      <c r="J4" s="30">
        <f>IF(COUNTA($F4,$K4,$P4)&gt;0,J3+SUM(G4:I4),"")</f>
        <v>27000</v>
      </c>
      <c r="K4" s="8"/>
      <c r="L4" s="9"/>
      <c r="M4" s="9">
        <v>-1000</v>
      </c>
      <c r="N4" s="64"/>
      <c r="O4" s="30">
        <f>IF(COUNTA($F4,$K4,$P4)&gt;0,O3+SUM(L4:N4),"")</f>
        <v>34000</v>
      </c>
      <c r="P4" s="8" t="s">
        <v>150</v>
      </c>
      <c r="Q4" s="9">
        <v>8000</v>
      </c>
      <c r="R4" s="9">
        <v>1000</v>
      </c>
      <c r="S4" s="64">
        <v>0</v>
      </c>
      <c r="T4" s="30">
        <f>IF(COUNTA($F4,$K4,$P4)&gt;0,T3+SUM(Q4:S4),"")</f>
        <v>44000</v>
      </c>
      <c r="U4" s="20">
        <f>IF($J4="","",ROUND(($J4-$J$3)/1000,0))</f>
        <v>-8</v>
      </c>
      <c r="V4" s="21">
        <f t="shared" ref="V4:V30" si="0">IF($O4="","",ROUND(($O4-$O$3)/1000,0))</f>
        <v>-1</v>
      </c>
      <c r="W4" s="22">
        <f t="shared" ref="W4:W30" si="1">IF($T4="","",ROUND(($T4-$T$3)/1000,0))</f>
        <v>9</v>
      </c>
      <c r="Y4" s="8"/>
      <c r="Z4" s="50"/>
      <c r="AA4" s="41"/>
      <c r="AB4" s="41"/>
      <c r="AC4" s="41"/>
      <c r="AD4" s="45"/>
      <c r="AE4" s="56" t="s">
        <v>11</v>
      </c>
      <c r="AF4" s="57" t="s">
        <v>11</v>
      </c>
      <c r="AG4" s="57" t="s">
        <v>11</v>
      </c>
      <c r="AH4" s="57" t="s">
        <v>11</v>
      </c>
      <c r="AI4" s="57" t="s">
        <v>11</v>
      </c>
      <c r="AJ4" s="57" t="s">
        <v>11</v>
      </c>
      <c r="AK4" s="57" t="s">
        <v>11</v>
      </c>
      <c r="AL4" s="57" t="s">
        <v>11</v>
      </c>
      <c r="AM4" s="57" t="s">
        <v>11</v>
      </c>
      <c r="AN4" s="57" t="s">
        <v>11</v>
      </c>
      <c r="AO4" s="57" t="s">
        <v>11</v>
      </c>
      <c r="AP4" s="57" t="s">
        <v>11</v>
      </c>
      <c r="AQ4" s="57" t="s">
        <v>11</v>
      </c>
      <c r="AR4" s="57" t="s">
        <v>11</v>
      </c>
      <c r="AS4" s="58" t="s">
        <v>11</v>
      </c>
      <c r="AT4" s="8"/>
      <c r="AU4" s="50"/>
      <c r="AV4" s="41">
        <v>1</v>
      </c>
      <c r="AW4" s="41"/>
      <c r="AX4" s="41"/>
      <c r="AY4" s="45"/>
      <c r="AZ4" s="56" t="s">
        <v>11</v>
      </c>
      <c r="BA4" s="57" t="s">
        <v>11</v>
      </c>
      <c r="BB4" s="57" t="s">
        <v>11</v>
      </c>
      <c r="BC4" s="57" t="s">
        <v>11</v>
      </c>
      <c r="BD4" s="57" t="s">
        <v>11</v>
      </c>
      <c r="BE4" s="57" t="s">
        <v>11</v>
      </c>
      <c r="BF4" s="57" t="s">
        <v>11</v>
      </c>
      <c r="BG4" s="57" t="s">
        <v>11</v>
      </c>
      <c r="BH4" s="57" t="s">
        <v>11</v>
      </c>
      <c r="BI4" s="57" t="s">
        <v>11</v>
      </c>
      <c r="BJ4" s="57" t="s">
        <v>11</v>
      </c>
      <c r="BK4" s="57" t="s">
        <v>11</v>
      </c>
      <c r="BL4" s="57" t="s">
        <v>11</v>
      </c>
      <c r="BM4" s="57" t="s">
        <v>11</v>
      </c>
      <c r="BN4" s="58" t="s">
        <v>11</v>
      </c>
      <c r="BO4" s="8"/>
      <c r="BP4" s="50"/>
      <c r="BQ4" s="41">
        <v>1</v>
      </c>
      <c r="BR4" s="41"/>
      <c r="BS4" s="41">
        <v>5</v>
      </c>
      <c r="BT4" s="45" t="s">
        <v>154</v>
      </c>
      <c r="BU4" s="56" t="s">
        <v>79</v>
      </c>
      <c r="BV4" s="57" t="s">
        <v>167</v>
      </c>
      <c r="BW4" s="57" t="s">
        <v>129</v>
      </c>
      <c r="BX4" s="57" t="s">
        <v>129</v>
      </c>
      <c r="BY4" s="57" t="s">
        <v>129</v>
      </c>
      <c r="BZ4" s="57" t="s">
        <v>11</v>
      </c>
      <c r="CA4" s="57" t="s">
        <v>11</v>
      </c>
      <c r="CB4" s="57" t="s">
        <v>11</v>
      </c>
      <c r="CC4" s="57" t="s">
        <v>11</v>
      </c>
      <c r="CD4" s="57" t="s">
        <v>11</v>
      </c>
      <c r="CE4" s="57" t="s">
        <v>11</v>
      </c>
      <c r="CF4" s="57" t="s">
        <v>11</v>
      </c>
      <c r="CG4" s="57" t="s">
        <v>11</v>
      </c>
      <c r="CH4" s="57" t="s">
        <v>11</v>
      </c>
      <c r="CI4" s="58" t="s">
        <v>11</v>
      </c>
    </row>
    <row r="5" spans="1:87" x14ac:dyDescent="0.4">
      <c r="A5" s="13" t="str">
        <f t="shared" ref="A5:A30" si="2">IF($E5="","",IF(AND(B4=3,B5=1),_xlfn.SWITCH(A4,"東","南","南","西","西","北","北","東"),A4))</f>
        <v>東</v>
      </c>
      <c r="B5" s="27">
        <f>IF($E5="","",IF($E4=$E5,B4,IF(B4=3,1,B4+1)))</f>
        <v>2</v>
      </c>
      <c r="C5" s="27">
        <f t="shared" ref="C5:C30" si="3">IF($E5="","",IF(F4="チョンボ",C4,IF($E4=$E5,C4+1,0)))</f>
        <v>0</v>
      </c>
      <c r="D5" s="27">
        <f t="shared" ref="D5:D30" si="4">IF($E5="","",IF(OR($F4="流局",$F4="チョンボ"),D4+($H4+$M4+$R4)/-1000,0))</f>
        <v>0</v>
      </c>
      <c r="E5" s="4" t="s">
        <v>143</v>
      </c>
      <c r="F5" s="8" t="s">
        <v>160</v>
      </c>
      <c r="G5" s="9">
        <v>-6000</v>
      </c>
      <c r="H5" s="9"/>
      <c r="I5" s="64">
        <v>0</v>
      </c>
      <c r="J5" s="30">
        <f t="shared" ref="J5:J30" si="5">IF(COUNTA($F5,$K5,$P5)&gt;0,J4+SUM(G5:I5),"")</f>
        <v>21000</v>
      </c>
      <c r="K5" s="8" t="s">
        <v>160</v>
      </c>
      <c r="L5" s="9">
        <v>-6000</v>
      </c>
      <c r="M5" s="9"/>
      <c r="N5" s="64">
        <v>0</v>
      </c>
      <c r="O5" s="30">
        <f t="shared" ref="O5:O30" si="6">IF(COUNTA($F5,$K5,$P5)&gt;0,O4+SUM(L5:N5),"")</f>
        <v>28000</v>
      </c>
      <c r="P5" s="8" t="s">
        <v>159</v>
      </c>
      <c r="Q5" s="9">
        <v>12000</v>
      </c>
      <c r="R5" s="9">
        <v>0</v>
      </c>
      <c r="S5" s="64">
        <v>0</v>
      </c>
      <c r="T5" s="30">
        <f t="shared" ref="T5:T30" si="7">IF(COUNTA($F5,$K5,$P5)&gt;0,T4+SUM(Q5:S5),"")</f>
        <v>56000</v>
      </c>
      <c r="U5" s="20">
        <f t="shared" ref="U5:U30" si="8">IF($J5="","",ROUND(($J5-$J$3)/1000,0))</f>
        <v>-14</v>
      </c>
      <c r="V5" s="21">
        <f t="shared" si="0"/>
        <v>-7</v>
      </c>
      <c r="W5" s="22">
        <f t="shared" si="1"/>
        <v>21</v>
      </c>
      <c r="Y5" s="8"/>
      <c r="Z5" s="50"/>
      <c r="AA5" s="41"/>
      <c r="AB5" s="41"/>
      <c r="AC5" s="41"/>
      <c r="AD5" s="45"/>
      <c r="AE5" s="56" t="s">
        <v>11</v>
      </c>
      <c r="AF5" s="57" t="s">
        <v>11</v>
      </c>
      <c r="AG5" s="57" t="s">
        <v>11</v>
      </c>
      <c r="AH5" s="57" t="s">
        <v>11</v>
      </c>
      <c r="AI5" s="57" t="s">
        <v>11</v>
      </c>
      <c r="AJ5" s="57" t="s">
        <v>11</v>
      </c>
      <c r="AK5" s="57" t="s">
        <v>11</v>
      </c>
      <c r="AL5" s="57" t="s">
        <v>11</v>
      </c>
      <c r="AM5" s="57" t="s">
        <v>11</v>
      </c>
      <c r="AN5" s="57" t="s">
        <v>11</v>
      </c>
      <c r="AO5" s="57" t="s">
        <v>11</v>
      </c>
      <c r="AP5" s="57" t="s">
        <v>11</v>
      </c>
      <c r="AQ5" s="57" t="s">
        <v>11</v>
      </c>
      <c r="AR5" s="57" t="s">
        <v>11</v>
      </c>
      <c r="AS5" s="58" t="s">
        <v>11</v>
      </c>
      <c r="AT5" s="8"/>
      <c r="AU5" s="50"/>
      <c r="AV5" s="41"/>
      <c r="AW5" s="41"/>
      <c r="AX5" s="41"/>
      <c r="AY5" s="45"/>
      <c r="AZ5" s="56" t="s">
        <v>11</v>
      </c>
      <c r="BA5" s="57" t="s">
        <v>11</v>
      </c>
      <c r="BB5" s="57" t="s">
        <v>11</v>
      </c>
      <c r="BC5" s="57" t="s">
        <v>11</v>
      </c>
      <c r="BD5" s="57" t="s">
        <v>11</v>
      </c>
      <c r="BE5" s="57" t="s">
        <v>11</v>
      </c>
      <c r="BF5" s="57" t="s">
        <v>11</v>
      </c>
      <c r="BG5" s="57" t="s">
        <v>11</v>
      </c>
      <c r="BH5" s="57" t="s">
        <v>11</v>
      </c>
      <c r="BI5" s="57" t="s">
        <v>11</v>
      </c>
      <c r="BJ5" s="57" t="s">
        <v>11</v>
      </c>
      <c r="BK5" s="57" t="s">
        <v>11</v>
      </c>
      <c r="BL5" s="57" t="s">
        <v>11</v>
      </c>
      <c r="BM5" s="57" t="s">
        <v>11</v>
      </c>
      <c r="BN5" s="58" t="s">
        <v>11</v>
      </c>
      <c r="BO5" s="8"/>
      <c r="BP5" s="50"/>
      <c r="BQ5" s="41"/>
      <c r="BR5" s="41"/>
      <c r="BS5" s="41">
        <v>4</v>
      </c>
      <c r="BT5" s="45">
        <v>30</v>
      </c>
      <c r="BU5" s="56" t="s">
        <v>168</v>
      </c>
      <c r="BV5" s="57" t="s">
        <v>169</v>
      </c>
      <c r="BW5" s="57" t="s">
        <v>129</v>
      </c>
      <c r="BX5" s="57" t="s">
        <v>129</v>
      </c>
      <c r="BY5" s="57" t="s">
        <v>11</v>
      </c>
      <c r="BZ5" s="57" t="s">
        <v>11</v>
      </c>
      <c r="CA5" s="57" t="s">
        <v>11</v>
      </c>
      <c r="CB5" s="57" t="s">
        <v>11</v>
      </c>
      <c r="CC5" s="57" t="s">
        <v>11</v>
      </c>
      <c r="CD5" s="57" t="s">
        <v>11</v>
      </c>
      <c r="CE5" s="57" t="s">
        <v>11</v>
      </c>
      <c r="CF5" s="57" t="s">
        <v>11</v>
      </c>
      <c r="CG5" s="57" t="s">
        <v>11</v>
      </c>
      <c r="CH5" s="57" t="s">
        <v>11</v>
      </c>
      <c r="CI5" s="58" t="s">
        <v>11</v>
      </c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2</v>
      </c>
      <c r="C6" s="27">
        <f t="shared" si="3"/>
        <v>1</v>
      </c>
      <c r="D6" s="27">
        <f t="shared" si="4"/>
        <v>0</v>
      </c>
      <c r="E6" s="4" t="s">
        <v>143</v>
      </c>
      <c r="F6" s="8" t="s">
        <v>150</v>
      </c>
      <c r="G6" s="9">
        <v>8000</v>
      </c>
      <c r="H6" s="9">
        <v>0</v>
      </c>
      <c r="I6" s="64">
        <v>1000</v>
      </c>
      <c r="J6" s="30">
        <f t="shared" si="5"/>
        <v>30000</v>
      </c>
      <c r="K6" s="8"/>
      <c r="L6" s="9"/>
      <c r="M6" s="9"/>
      <c r="N6" s="64"/>
      <c r="O6" s="30">
        <f t="shared" si="6"/>
        <v>28000</v>
      </c>
      <c r="P6" s="8" t="s">
        <v>149</v>
      </c>
      <c r="Q6" s="9">
        <v>-8000</v>
      </c>
      <c r="R6" s="9"/>
      <c r="S6" s="64">
        <v>-1000</v>
      </c>
      <c r="T6" s="30">
        <f t="shared" si="7"/>
        <v>47000</v>
      </c>
      <c r="U6" s="20">
        <f t="shared" si="8"/>
        <v>-5</v>
      </c>
      <c r="V6" s="21">
        <f t="shared" si="0"/>
        <v>-7</v>
      </c>
      <c r="W6" s="22">
        <f t="shared" si="1"/>
        <v>12</v>
      </c>
      <c r="Y6" s="8"/>
      <c r="Z6" s="50"/>
      <c r="AA6" s="41">
        <v>1</v>
      </c>
      <c r="AB6" s="41"/>
      <c r="AC6" s="41">
        <v>4</v>
      </c>
      <c r="AD6" s="45">
        <v>30</v>
      </c>
      <c r="AE6" s="56" t="s">
        <v>79</v>
      </c>
      <c r="AF6" s="57" t="s">
        <v>80</v>
      </c>
      <c r="AG6" s="57" t="s">
        <v>170</v>
      </c>
      <c r="AH6" s="57" t="s">
        <v>129</v>
      </c>
      <c r="AI6" s="57" t="s">
        <v>11</v>
      </c>
      <c r="AJ6" s="57" t="s">
        <v>11</v>
      </c>
      <c r="AK6" s="57" t="s">
        <v>11</v>
      </c>
      <c r="AL6" s="57" t="s">
        <v>11</v>
      </c>
      <c r="AM6" s="57" t="s">
        <v>11</v>
      </c>
      <c r="AN6" s="57" t="s">
        <v>11</v>
      </c>
      <c r="AO6" s="57" t="s">
        <v>11</v>
      </c>
      <c r="AP6" s="57" t="s">
        <v>11</v>
      </c>
      <c r="AQ6" s="57" t="s">
        <v>11</v>
      </c>
      <c r="AR6" s="57" t="s">
        <v>11</v>
      </c>
      <c r="AS6" s="58" t="s">
        <v>11</v>
      </c>
      <c r="AT6" s="8"/>
      <c r="AU6" s="50"/>
      <c r="AV6" s="41"/>
      <c r="AW6" s="41">
        <v>1</v>
      </c>
      <c r="AX6" s="41"/>
      <c r="AY6" s="45"/>
      <c r="AZ6" s="56" t="s">
        <v>11</v>
      </c>
      <c r="BA6" s="57" t="s">
        <v>11</v>
      </c>
      <c r="BB6" s="57" t="s">
        <v>11</v>
      </c>
      <c r="BC6" s="57" t="s">
        <v>11</v>
      </c>
      <c r="BD6" s="57" t="s">
        <v>11</v>
      </c>
      <c r="BE6" s="57" t="s">
        <v>11</v>
      </c>
      <c r="BF6" s="57" t="s">
        <v>11</v>
      </c>
      <c r="BG6" s="57" t="s">
        <v>11</v>
      </c>
      <c r="BH6" s="57" t="s">
        <v>11</v>
      </c>
      <c r="BI6" s="57" t="s">
        <v>11</v>
      </c>
      <c r="BJ6" s="57" t="s">
        <v>11</v>
      </c>
      <c r="BK6" s="57" t="s">
        <v>11</v>
      </c>
      <c r="BL6" s="57" t="s">
        <v>11</v>
      </c>
      <c r="BM6" s="57" t="s">
        <v>11</v>
      </c>
      <c r="BN6" s="58" t="s">
        <v>11</v>
      </c>
      <c r="BO6" s="8"/>
      <c r="BP6" s="50"/>
      <c r="BQ6" s="41"/>
      <c r="BR6" s="41"/>
      <c r="BS6" s="41"/>
      <c r="BT6" s="45"/>
      <c r="BU6" s="56" t="s">
        <v>11</v>
      </c>
      <c r="BV6" s="57" t="s">
        <v>11</v>
      </c>
      <c r="BW6" s="57" t="s">
        <v>11</v>
      </c>
      <c r="BX6" s="57" t="s">
        <v>11</v>
      </c>
      <c r="BY6" s="57" t="s">
        <v>11</v>
      </c>
      <c r="BZ6" s="57" t="s">
        <v>11</v>
      </c>
      <c r="CA6" s="57" t="s">
        <v>11</v>
      </c>
      <c r="CB6" s="57" t="s">
        <v>11</v>
      </c>
      <c r="CC6" s="57" t="s">
        <v>11</v>
      </c>
      <c r="CD6" s="57" t="s">
        <v>11</v>
      </c>
      <c r="CE6" s="57" t="s">
        <v>11</v>
      </c>
      <c r="CF6" s="57" t="s">
        <v>11</v>
      </c>
      <c r="CG6" s="57" t="s">
        <v>11</v>
      </c>
      <c r="CH6" s="57" t="s">
        <v>11</v>
      </c>
      <c r="CI6" s="58" t="s">
        <v>11</v>
      </c>
    </row>
    <row r="7" spans="1:87" x14ac:dyDescent="0.4">
      <c r="A7" s="13" t="str">
        <f t="shared" si="2"/>
        <v>東</v>
      </c>
      <c r="B7" s="27">
        <f t="shared" si="9"/>
        <v>3</v>
      </c>
      <c r="C7" s="27">
        <f t="shared" si="3"/>
        <v>0</v>
      </c>
      <c r="D7" s="27">
        <f t="shared" si="4"/>
        <v>0</v>
      </c>
      <c r="E7" s="4" t="s">
        <v>139</v>
      </c>
      <c r="F7" s="8" t="s">
        <v>159</v>
      </c>
      <c r="G7" s="9">
        <v>6000</v>
      </c>
      <c r="H7" s="9">
        <v>0</v>
      </c>
      <c r="I7" s="64">
        <v>0</v>
      </c>
      <c r="J7" s="30">
        <f t="shared" si="5"/>
        <v>36000</v>
      </c>
      <c r="K7" s="8" t="s">
        <v>160</v>
      </c>
      <c r="L7" s="9">
        <v>-3000</v>
      </c>
      <c r="M7" s="9"/>
      <c r="N7" s="64">
        <v>0</v>
      </c>
      <c r="O7" s="30">
        <f t="shared" si="6"/>
        <v>25000</v>
      </c>
      <c r="P7" s="8" t="s">
        <v>160</v>
      </c>
      <c r="Q7" s="9">
        <v>-3000</v>
      </c>
      <c r="R7" s="9"/>
      <c r="S7" s="64">
        <v>0</v>
      </c>
      <c r="T7" s="30">
        <f t="shared" si="7"/>
        <v>44000</v>
      </c>
      <c r="U7" s="20">
        <f t="shared" si="8"/>
        <v>1</v>
      </c>
      <c r="V7" s="21">
        <f t="shared" si="0"/>
        <v>-10</v>
      </c>
      <c r="W7" s="22">
        <f t="shared" si="1"/>
        <v>9</v>
      </c>
      <c r="Y7" s="8"/>
      <c r="Z7" s="50"/>
      <c r="AA7" s="41">
        <v>1</v>
      </c>
      <c r="AB7" s="41"/>
      <c r="AC7" s="41">
        <v>3</v>
      </c>
      <c r="AD7" s="45">
        <v>30</v>
      </c>
      <c r="AE7" s="56" t="s">
        <v>79</v>
      </c>
      <c r="AF7" s="57" t="s">
        <v>168</v>
      </c>
      <c r="AG7" s="57" t="s">
        <v>167</v>
      </c>
      <c r="AH7" s="57" t="s">
        <v>11</v>
      </c>
      <c r="AI7" s="57" t="s">
        <v>11</v>
      </c>
      <c r="AJ7" s="57" t="s">
        <v>11</v>
      </c>
      <c r="AK7" s="57" t="s">
        <v>11</v>
      </c>
      <c r="AL7" s="57" t="s">
        <v>11</v>
      </c>
      <c r="AM7" s="57" t="s">
        <v>11</v>
      </c>
      <c r="AN7" s="57" t="s">
        <v>11</v>
      </c>
      <c r="AO7" s="57" t="s">
        <v>11</v>
      </c>
      <c r="AP7" s="57" t="s">
        <v>11</v>
      </c>
      <c r="AQ7" s="57" t="s">
        <v>11</v>
      </c>
      <c r="AR7" s="57" t="s">
        <v>11</v>
      </c>
      <c r="AS7" s="58" t="s">
        <v>11</v>
      </c>
      <c r="AT7" s="8"/>
      <c r="AU7" s="50"/>
      <c r="AV7" s="41"/>
      <c r="AW7" s="41"/>
      <c r="AX7" s="41"/>
      <c r="AY7" s="45"/>
      <c r="AZ7" s="56" t="s">
        <v>11</v>
      </c>
      <c r="BA7" s="57" t="s">
        <v>11</v>
      </c>
      <c r="BB7" s="57" t="s">
        <v>11</v>
      </c>
      <c r="BC7" s="57" t="s">
        <v>11</v>
      </c>
      <c r="BD7" s="57" t="s">
        <v>11</v>
      </c>
      <c r="BE7" s="57" t="s">
        <v>11</v>
      </c>
      <c r="BF7" s="57" t="s">
        <v>11</v>
      </c>
      <c r="BG7" s="57" t="s">
        <v>11</v>
      </c>
      <c r="BH7" s="57" t="s">
        <v>11</v>
      </c>
      <c r="BI7" s="57" t="s">
        <v>11</v>
      </c>
      <c r="BJ7" s="57" t="s">
        <v>11</v>
      </c>
      <c r="BK7" s="57" t="s">
        <v>11</v>
      </c>
      <c r="BL7" s="57" t="s">
        <v>11</v>
      </c>
      <c r="BM7" s="57" t="s">
        <v>11</v>
      </c>
      <c r="BN7" s="58" t="s">
        <v>11</v>
      </c>
      <c r="BO7" s="8"/>
      <c r="BP7" s="50"/>
      <c r="BQ7" s="41"/>
      <c r="BR7" s="41"/>
      <c r="BS7" s="41"/>
      <c r="BT7" s="45"/>
      <c r="BU7" s="56" t="s">
        <v>11</v>
      </c>
      <c r="BV7" s="57" t="s">
        <v>11</v>
      </c>
      <c r="BW7" s="57" t="s">
        <v>11</v>
      </c>
      <c r="BX7" s="57" t="s">
        <v>11</v>
      </c>
      <c r="BY7" s="57" t="s">
        <v>11</v>
      </c>
      <c r="BZ7" s="57" t="s">
        <v>11</v>
      </c>
      <c r="CA7" s="57" t="s">
        <v>11</v>
      </c>
      <c r="CB7" s="57" t="s">
        <v>11</v>
      </c>
      <c r="CC7" s="57" t="s">
        <v>11</v>
      </c>
      <c r="CD7" s="57" t="s">
        <v>11</v>
      </c>
      <c r="CE7" s="57" t="s">
        <v>11</v>
      </c>
      <c r="CF7" s="57" t="s">
        <v>11</v>
      </c>
      <c r="CG7" s="57" t="s">
        <v>11</v>
      </c>
      <c r="CH7" s="57" t="s">
        <v>11</v>
      </c>
      <c r="CI7" s="58" t="s">
        <v>11</v>
      </c>
    </row>
    <row r="8" spans="1:87" x14ac:dyDescent="0.4">
      <c r="A8" s="13" t="str">
        <f t="shared" si="2"/>
        <v>東</v>
      </c>
      <c r="B8" s="27">
        <f t="shared" si="9"/>
        <v>3</v>
      </c>
      <c r="C8" s="27">
        <f t="shared" si="3"/>
        <v>1</v>
      </c>
      <c r="D8" s="27">
        <f t="shared" si="4"/>
        <v>0</v>
      </c>
      <c r="E8" s="4" t="s">
        <v>139</v>
      </c>
      <c r="F8" s="8" t="s">
        <v>150</v>
      </c>
      <c r="G8" s="9">
        <v>2900</v>
      </c>
      <c r="H8" s="9">
        <v>1000</v>
      </c>
      <c r="I8" s="64">
        <v>1000</v>
      </c>
      <c r="J8" s="30">
        <f t="shared" si="5"/>
        <v>40900</v>
      </c>
      <c r="K8" s="8"/>
      <c r="L8" s="9"/>
      <c r="M8" s="9">
        <v>-1000</v>
      </c>
      <c r="N8" s="64"/>
      <c r="O8" s="30">
        <f t="shared" si="6"/>
        <v>24000</v>
      </c>
      <c r="P8" s="8" t="s">
        <v>149</v>
      </c>
      <c r="Q8" s="9">
        <v>-2900</v>
      </c>
      <c r="R8" s="9"/>
      <c r="S8" s="64">
        <v>-1000</v>
      </c>
      <c r="T8" s="30">
        <f t="shared" si="7"/>
        <v>40100</v>
      </c>
      <c r="U8" s="20">
        <f t="shared" si="8"/>
        <v>6</v>
      </c>
      <c r="V8" s="21">
        <f t="shared" si="0"/>
        <v>-11</v>
      </c>
      <c r="W8" s="22">
        <f t="shared" si="1"/>
        <v>5</v>
      </c>
      <c r="Y8" s="8"/>
      <c r="Z8" s="50"/>
      <c r="AA8" s="41"/>
      <c r="AB8" s="41">
        <v>1</v>
      </c>
      <c r="AC8" s="41">
        <v>2</v>
      </c>
      <c r="AD8" s="45">
        <v>30</v>
      </c>
      <c r="AE8" s="56" t="s">
        <v>129</v>
      </c>
      <c r="AF8" s="57" t="s">
        <v>167</v>
      </c>
      <c r="AG8" s="57" t="s">
        <v>11</v>
      </c>
      <c r="AH8" s="57" t="s">
        <v>11</v>
      </c>
      <c r="AI8" s="57" t="s">
        <v>11</v>
      </c>
      <c r="AJ8" s="57" t="s">
        <v>11</v>
      </c>
      <c r="AK8" s="57" t="s">
        <v>11</v>
      </c>
      <c r="AL8" s="57" t="s">
        <v>11</v>
      </c>
      <c r="AM8" s="57" t="s">
        <v>11</v>
      </c>
      <c r="AN8" s="57" t="s">
        <v>11</v>
      </c>
      <c r="AO8" s="57" t="s">
        <v>11</v>
      </c>
      <c r="AP8" s="57" t="s">
        <v>11</v>
      </c>
      <c r="AQ8" s="57" t="s">
        <v>11</v>
      </c>
      <c r="AR8" s="57" t="s">
        <v>11</v>
      </c>
      <c r="AS8" s="58" t="s">
        <v>11</v>
      </c>
      <c r="AT8" s="8"/>
      <c r="AU8" s="50"/>
      <c r="AV8" s="41">
        <v>1</v>
      </c>
      <c r="AW8" s="41"/>
      <c r="AX8" s="41"/>
      <c r="AY8" s="45"/>
      <c r="AZ8" s="56" t="s">
        <v>11</v>
      </c>
      <c r="BA8" s="57" t="s">
        <v>11</v>
      </c>
      <c r="BB8" s="57" t="s">
        <v>11</v>
      </c>
      <c r="BC8" s="57" t="s">
        <v>11</v>
      </c>
      <c r="BD8" s="57" t="s">
        <v>11</v>
      </c>
      <c r="BE8" s="57" t="s">
        <v>11</v>
      </c>
      <c r="BF8" s="57" t="s">
        <v>11</v>
      </c>
      <c r="BG8" s="57" t="s">
        <v>11</v>
      </c>
      <c r="BH8" s="57" t="s">
        <v>11</v>
      </c>
      <c r="BI8" s="57" t="s">
        <v>11</v>
      </c>
      <c r="BJ8" s="57" t="s">
        <v>11</v>
      </c>
      <c r="BK8" s="57" t="s">
        <v>11</v>
      </c>
      <c r="BL8" s="57" t="s">
        <v>11</v>
      </c>
      <c r="BM8" s="57" t="s">
        <v>11</v>
      </c>
      <c r="BN8" s="58" t="s">
        <v>11</v>
      </c>
      <c r="BO8" s="8"/>
      <c r="BP8" s="50"/>
      <c r="BQ8" s="41"/>
      <c r="BR8" s="41">
        <v>1</v>
      </c>
      <c r="BS8" s="41"/>
      <c r="BT8" s="45"/>
      <c r="BU8" s="56" t="s">
        <v>11</v>
      </c>
      <c r="BV8" s="57" t="s">
        <v>11</v>
      </c>
      <c r="BW8" s="57" t="s">
        <v>11</v>
      </c>
      <c r="BX8" s="57" t="s">
        <v>11</v>
      </c>
      <c r="BY8" s="57" t="s">
        <v>11</v>
      </c>
      <c r="BZ8" s="57" t="s">
        <v>11</v>
      </c>
      <c r="CA8" s="57" t="s">
        <v>11</v>
      </c>
      <c r="CB8" s="57" t="s">
        <v>11</v>
      </c>
      <c r="CC8" s="57" t="s">
        <v>11</v>
      </c>
      <c r="CD8" s="57" t="s">
        <v>11</v>
      </c>
      <c r="CE8" s="57" t="s">
        <v>11</v>
      </c>
      <c r="CF8" s="57" t="s">
        <v>11</v>
      </c>
      <c r="CG8" s="57" t="s">
        <v>11</v>
      </c>
      <c r="CH8" s="57" t="s">
        <v>11</v>
      </c>
      <c r="CI8" s="58" t="s">
        <v>11</v>
      </c>
    </row>
    <row r="9" spans="1:87" x14ac:dyDescent="0.4">
      <c r="A9" s="13" t="str">
        <f t="shared" si="2"/>
        <v>東</v>
      </c>
      <c r="B9" s="27">
        <f t="shared" si="9"/>
        <v>3</v>
      </c>
      <c r="C9" s="27">
        <f t="shared" si="3"/>
        <v>2</v>
      </c>
      <c r="D9" s="27">
        <f t="shared" si="4"/>
        <v>0</v>
      </c>
      <c r="E9" s="4" t="s">
        <v>139</v>
      </c>
      <c r="F9" s="8" t="s">
        <v>149</v>
      </c>
      <c r="G9" s="9">
        <v>-1000</v>
      </c>
      <c r="H9" s="9"/>
      <c r="I9" s="64">
        <v>-2000</v>
      </c>
      <c r="J9" s="30">
        <f t="shared" si="5"/>
        <v>37900</v>
      </c>
      <c r="K9" s="8"/>
      <c r="L9" s="9"/>
      <c r="M9" s="9"/>
      <c r="N9" s="64"/>
      <c r="O9" s="30">
        <f t="shared" si="6"/>
        <v>24000</v>
      </c>
      <c r="P9" s="8" t="s">
        <v>150</v>
      </c>
      <c r="Q9" s="9">
        <v>1000</v>
      </c>
      <c r="R9" s="9">
        <v>0</v>
      </c>
      <c r="S9" s="64">
        <v>2000</v>
      </c>
      <c r="T9" s="30">
        <f t="shared" si="7"/>
        <v>43100</v>
      </c>
      <c r="U9" s="20">
        <f t="shared" si="8"/>
        <v>3</v>
      </c>
      <c r="V9" s="21">
        <f t="shared" si="0"/>
        <v>-11</v>
      </c>
      <c r="W9" s="22">
        <f t="shared" si="1"/>
        <v>8</v>
      </c>
      <c r="Y9" s="8"/>
      <c r="Z9" s="50"/>
      <c r="AA9" s="41"/>
      <c r="AB9" s="41"/>
      <c r="AC9" s="41"/>
      <c r="AD9" s="45"/>
      <c r="AE9" s="56" t="s">
        <v>11</v>
      </c>
      <c r="AF9" s="57" t="s">
        <v>11</v>
      </c>
      <c r="AG9" s="57" t="s">
        <v>11</v>
      </c>
      <c r="AH9" s="57" t="s">
        <v>11</v>
      </c>
      <c r="AI9" s="57" t="s">
        <v>11</v>
      </c>
      <c r="AJ9" s="57" t="s">
        <v>11</v>
      </c>
      <c r="AK9" s="57" t="s">
        <v>11</v>
      </c>
      <c r="AL9" s="57" t="s">
        <v>11</v>
      </c>
      <c r="AM9" s="57" t="s">
        <v>11</v>
      </c>
      <c r="AN9" s="57" t="s">
        <v>11</v>
      </c>
      <c r="AO9" s="57" t="s">
        <v>11</v>
      </c>
      <c r="AP9" s="57" t="s">
        <v>11</v>
      </c>
      <c r="AQ9" s="57" t="s">
        <v>11</v>
      </c>
      <c r="AR9" s="57" t="s">
        <v>11</v>
      </c>
      <c r="AS9" s="58" t="s">
        <v>11</v>
      </c>
      <c r="AT9" s="8"/>
      <c r="AU9" s="50"/>
      <c r="AV9" s="41"/>
      <c r="AW9" s="41"/>
      <c r="AX9" s="41"/>
      <c r="AY9" s="45"/>
      <c r="AZ9" s="56" t="s">
        <v>11</v>
      </c>
      <c r="BA9" s="57" t="s">
        <v>11</v>
      </c>
      <c r="BB9" s="57" t="s">
        <v>11</v>
      </c>
      <c r="BC9" s="57" t="s">
        <v>11</v>
      </c>
      <c r="BD9" s="57" t="s">
        <v>11</v>
      </c>
      <c r="BE9" s="57" t="s">
        <v>11</v>
      </c>
      <c r="BF9" s="57" t="s">
        <v>11</v>
      </c>
      <c r="BG9" s="57" t="s">
        <v>11</v>
      </c>
      <c r="BH9" s="57" t="s">
        <v>11</v>
      </c>
      <c r="BI9" s="57" t="s">
        <v>11</v>
      </c>
      <c r="BJ9" s="57" t="s">
        <v>11</v>
      </c>
      <c r="BK9" s="57" t="s">
        <v>11</v>
      </c>
      <c r="BL9" s="57" t="s">
        <v>11</v>
      </c>
      <c r="BM9" s="57" t="s">
        <v>11</v>
      </c>
      <c r="BN9" s="58" t="s">
        <v>11</v>
      </c>
      <c r="BO9" s="8"/>
      <c r="BP9" s="50"/>
      <c r="BQ9" s="41"/>
      <c r="BR9" s="41">
        <v>1</v>
      </c>
      <c r="BS9" s="41">
        <v>1</v>
      </c>
      <c r="BT9" s="45">
        <v>30</v>
      </c>
      <c r="BU9" s="56" t="s">
        <v>167</v>
      </c>
      <c r="BV9" s="57" t="s">
        <v>11</v>
      </c>
      <c r="BW9" s="57" t="s">
        <v>11</v>
      </c>
      <c r="BX9" s="57" t="s">
        <v>11</v>
      </c>
      <c r="BY9" s="57" t="s">
        <v>11</v>
      </c>
      <c r="BZ9" s="57" t="s">
        <v>11</v>
      </c>
      <c r="CA9" s="57" t="s">
        <v>11</v>
      </c>
      <c r="CB9" s="57" t="s">
        <v>11</v>
      </c>
      <c r="CC9" s="57" t="s">
        <v>11</v>
      </c>
      <c r="CD9" s="57" t="s">
        <v>11</v>
      </c>
      <c r="CE9" s="57" t="s">
        <v>11</v>
      </c>
      <c r="CF9" s="57" t="s">
        <v>11</v>
      </c>
      <c r="CG9" s="57" t="s">
        <v>11</v>
      </c>
      <c r="CH9" s="57" t="s">
        <v>11</v>
      </c>
      <c r="CI9" s="58" t="s">
        <v>11</v>
      </c>
    </row>
    <row r="10" spans="1:87" x14ac:dyDescent="0.4">
      <c r="A10" s="13" t="str">
        <f t="shared" si="2"/>
        <v>南</v>
      </c>
      <c r="B10" s="27">
        <f t="shared" si="9"/>
        <v>1</v>
      </c>
      <c r="C10" s="27">
        <f t="shared" si="3"/>
        <v>0</v>
      </c>
      <c r="D10" s="27">
        <f t="shared" si="4"/>
        <v>0</v>
      </c>
      <c r="E10" s="4" t="s">
        <v>141</v>
      </c>
      <c r="F10" s="8" t="s">
        <v>150</v>
      </c>
      <c r="G10" s="9">
        <v>12000</v>
      </c>
      <c r="H10" s="9">
        <v>0</v>
      </c>
      <c r="I10" s="64">
        <v>0</v>
      </c>
      <c r="J10" s="30">
        <f t="shared" si="5"/>
        <v>49900</v>
      </c>
      <c r="K10" s="8" t="s">
        <v>149</v>
      </c>
      <c r="L10" s="9">
        <v>-12000</v>
      </c>
      <c r="M10" s="9"/>
      <c r="N10" s="64">
        <v>0</v>
      </c>
      <c r="O10" s="30">
        <f t="shared" si="6"/>
        <v>12000</v>
      </c>
      <c r="P10" s="8"/>
      <c r="Q10" s="9"/>
      <c r="R10" s="9"/>
      <c r="S10" s="64"/>
      <c r="T10" s="30">
        <f t="shared" si="7"/>
        <v>43100</v>
      </c>
      <c r="U10" s="20">
        <f t="shared" si="8"/>
        <v>15</v>
      </c>
      <c r="V10" s="21">
        <f t="shared" si="0"/>
        <v>-23</v>
      </c>
      <c r="W10" s="22">
        <f t="shared" si="1"/>
        <v>8</v>
      </c>
      <c r="Y10" s="8"/>
      <c r="Z10" s="50"/>
      <c r="AA10" s="41">
        <v>1</v>
      </c>
      <c r="AB10" s="41"/>
      <c r="AC10" s="41">
        <v>6</v>
      </c>
      <c r="AD10" s="45" t="s">
        <v>154</v>
      </c>
      <c r="AE10" s="56" t="s">
        <v>79</v>
      </c>
      <c r="AF10" s="57" t="s">
        <v>171</v>
      </c>
      <c r="AG10" s="57" t="s">
        <v>172</v>
      </c>
      <c r="AH10" s="57" t="s">
        <v>167</v>
      </c>
      <c r="AI10" s="57" t="s">
        <v>11</v>
      </c>
      <c r="AJ10" s="57" t="s">
        <v>11</v>
      </c>
      <c r="AK10" s="57" t="s">
        <v>11</v>
      </c>
      <c r="AL10" s="57" t="s">
        <v>11</v>
      </c>
      <c r="AM10" s="57" t="s">
        <v>11</v>
      </c>
      <c r="AN10" s="57" t="s">
        <v>11</v>
      </c>
      <c r="AO10" s="57" t="s">
        <v>11</v>
      </c>
      <c r="AP10" s="57" t="s">
        <v>11</v>
      </c>
      <c r="AQ10" s="57" t="s">
        <v>11</v>
      </c>
      <c r="AR10" s="57" t="s">
        <v>11</v>
      </c>
      <c r="AS10" s="58" t="s">
        <v>11</v>
      </c>
      <c r="AT10" s="8"/>
      <c r="AU10" s="50"/>
      <c r="AV10" s="41"/>
      <c r="AW10" s="41"/>
      <c r="AX10" s="41"/>
      <c r="AY10" s="45"/>
      <c r="AZ10" s="56" t="s">
        <v>11</v>
      </c>
      <c r="BA10" s="57" t="s">
        <v>11</v>
      </c>
      <c r="BB10" s="57" t="s">
        <v>11</v>
      </c>
      <c r="BC10" s="57" t="s">
        <v>11</v>
      </c>
      <c r="BD10" s="57" t="s">
        <v>11</v>
      </c>
      <c r="BE10" s="57" t="s">
        <v>11</v>
      </c>
      <c r="BF10" s="57" t="s">
        <v>11</v>
      </c>
      <c r="BG10" s="57" t="s">
        <v>11</v>
      </c>
      <c r="BH10" s="57" t="s">
        <v>11</v>
      </c>
      <c r="BI10" s="57" t="s">
        <v>11</v>
      </c>
      <c r="BJ10" s="57" t="s">
        <v>11</v>
      </c>
      <c r="BK10" s="57" t="s">
        <v>11</v>
      </c>
      <c r="BL10" s="57" t="s">
        <v>11</v>
      </c>
      <c r="BM10" s="57" t="s">
        <v>11</v>
      </c>
      <c r="BN10" s="58" t="s">
        <v>11</v>
      </c>
      <c r="BO10" s="8"/>
      <c r="BP10" s="50"/>
      <c r="BQ10" s="41"/>
      <c r="BR10" s="41"/>
      <c r="BS10" s="41"/>
      <c r="BT10" s="45"/>
      <c r="BU10" s="56" t="s">
        <v>11</v>
      </c>
      <c r="BV10" s="57" t="s">
        <v>11</v>
      </c>
      <c r="BW10" s="57" t="s">
        <v>11</v>
      </c>
      <c r="BX10" s="57" t="s">
        <v>11</v>
      </c>
      <c r="BY10" s="57" t="s">
        <v>11</v>
      </c>
      <c r="BZ10" s="57" t="s">
        <v>11</v>
      </c>
      <c r="CA10" s="57" t="s">
        <v>11</v>
      </c>
      <c r="CB10" s="57" t="s">
        <v>11</v>
      </c>
      <c r="CC10" s="57" t="s">
        <v>11</v>
      </c>
      <c r="CD10" s="57" t="s">
        <v>11</v>
      </c>
      <c r="CE10" s="57" t="s">
        <v>11</v>
      </c>
      <c r="CF10" s="57" t="s">
        <v>11</v>
      </c>
      <c r="CG10" s="57" t="s">
        <v>11</v>
      </c>
      <c r="CH10" s="57" t="s">
        <v>11</v>
      </c>
      <c r="CI10" s="58" t="s">
        <v>11</v>
      </c>
    </row>
    <row r="11" spans="1:87" x14ac:dyDescent="0.4">
      <c r="A11" s="13" t="str">
        <f t="shared" si="2"/>
        <v>南</v>
      </c>
      <c r="B11" s="27">
        <f t="shared" si="9"/>
        <v>2</v>
      </c>
      <c r="C11" s="27">
        <f t="shared" si="3"/>
        <v>0</v>
      </c>
      <c r="D11" s="27">
        <f t="shared" si="4"/>
        <v>0</v>
      </c>
      <c r="E11" s="4" t="s">
        <v>143</v>
      </c>
      <c r="F11" s="8" t="s">
        <v>160</v>
      </c>
      <c r="G11" s="9">
        <v>-9000</v>
      </c>
      <c r="H11" s="9"/>
      <c r="I11" s="64">
        <v>0</v>
      </c>
      <c r="J11" s="30">
        <f t="shared" si="5"/>
        <v>40900</v>
      </c>
      <c r="K11" s="8" t="s">
        <v>160</v>
      </c>
      <c r="L11" s="9">
        <v>-9000</v>
      </c>
      <c r="M11" s="9"/>
      <c r="N11" s="64">
        <v>0</v>
      </c>
      <c r="O11" s="30">
        <f t="shared" si="6"/>
        <v>3000</v>
      </c>
      <c r="P11" s="8" t="s">
        <v>159</v>
      </c>
      <c r="Q11" s="9">
        <v>18000</v>
      </c>
      <c r="R11" s="9">
        <v>0</v>
      </c>
      <c r="S11" s="64">
        <v>0</v>
      </c>
      <c r="T11" s="30">
        <f t="shared" si="7"/>
        <v>61100</v>
      </c>
      <c r="U11" s="20">
        <f t="shared" si="8"/>
        <v>6</v>
      </c>
      <c r="V11" s="21">
        <f t="shared" si="0"/>
        <v>-32</v>
      </c>
      <c r="W11" s="22">
        <f t="shared" si="1"/>
        <v>26</v>
      </c>
      <c r="Y11" s="8"/>
      <c r="Z11" s="50"/>
      <c r="AA11" s="41"/>
      <c r="AB11" s="41"/>
      <c r="AC11" s="41"/>
      <c r="AD11" s="45"/>
      <c r="AE11" s="56" t="s">
        <v>11</v>
      </c>
      <c r="AF11" s="57" t="s">
        <v>11</v>
      </c>
      <c r="AG11" s="57" t="s">
        <v>11</v>
      </c>
      <c r="AH11" s="57" t="s">
        <v>11</v>
      </c>
      <c r="AI11" s="57" t="s">
        <v>11</v>
      </c>
      <c r="AJ11" s="57" t="s">
        <v>11</v>
      </c>
      <c r="AK11" s="57" t="s">
        <v>11</v>
      </c>
      <c r="AL11" s="57" t="s">
        <v>11</v>
      </c>
      <c r="AM11" s="57" t="s">
        <v>11</v>
      </c>
      <c r="AN11" s="57" t="s">
        <v>11</v>
      </c>
      <c r="AO11" s="57" t="s">
        <v>11</v>
      </c>
      <c r="AP11" s="57" t="s">
        <v>11</v>
      </c>
      <c r="AQ11" s="57" t="s">
        <v>11</v>
      </c>
      <c r="AR11" s="57" t="s">
        <v>11</v>
      </c>
      <c r="AS11" s="58" t="s">
        <v>11</v>
      </c>
      <c r="AT11" s="8"/>
      <c r="AU11" s="50"/>
      <c r="AV11" s="41"/>
      <c r="AW11" s="41"/>
      <c r="AX11" s="41"/>
      <c r="AY11" s="45"/>
      <c r="AZ11" s="56" t="s">
        <v>11</v>
      </c>
      <c r="BA11" s="57" t="s">
        <v>11</v>
      </c>
      <c r="BB11" s="57" t="s">
        <v>11</v>
      </c>
      <c r="BC11" s="57" t="s">
        <v>11</v>
      </c>
      <c r="BD11" s="57" t="s">
        <v>11</v>
      </c>
      <c r="BE11" s="57" t="s">
        <v>11</v>
      </c>
      <c r="BF11" s="57" t="s">
        <v>11</v>
      </c>
      <c r="BG11" s="57" t="s">
        <v>11</v>
      </c>
      <c r="BH11" s="57" t="s">
        <v>11</v>
      </c>
      <c r="BI11" s="57" t="s">
        <v>11</v>
      </c>
      <c r="BJ11" s="57" t="s">
        <v>11</v>
      </c>
      <c r="BK11" s="57" t="s">
        <v>11</v>
      </c>
      <c r="BL11" s="57" t="s">
        <v>11</v>
      </c>
      <c r="BM11" s="57" t="s">
        <v>11</v>
      </c>
      <c r="BN11" s="58" t="s">
        <v>11</v>
      </c>
      <c r="BO11" s="8"/>
      <c r="BP11" s="50"/>
      <c r="BQ11" s="41">
        <v>1</v>
      </c>
      <c r="BR11" s="41"/>
      <c r="BS11" s="41">
        <v>7</v>
      </c>
      <c r="BT11" s="45" t="s">
        <v>154</v>
      </c>
      <c r="BU11" s="56" t="s">
        <v>79</v>
      </c>
      <c r="BV11" s="57" t="s">
        <v>173</v>
      </c>
      <c r="BW11" s="57" t="s">
        <v>173</v>
      </c>
      <c r="BX11" s="57" t="s">
        <v>129</v>
      </c>
      <c r="BY11" s="57" t="s">
        <v>168</v>
      </c>
      <c r="BZ11" s="57" t="s">
        <v>174</v>
      </c>
      <c r="CA11" s="57" t="s">
        <v>175</v>
      </c>
      <c r="CB11" s="57" t="s">
        <v>11</v>
      </c>
      <c r="CC11" s="57" t="s">
        <v>11</v>
      </c>
      <c r="CD11" s="57" t="s">
        <v>11</v>
      </c>
      <c r="CE11" s="57" t="s">
        <v>11</v>
      </c>
      <c r="CF11" s="57" t="s">
        <v>11</v>
      </c>
      <c r="CG11" s="57" t="s">
        <v>11</v>
      </c>
      <c r="CH11" s="57" t="s">
        <v>11</v>
      </c>
      <c r="CI11" s="58" t="s">
        <v>11</v>
      </c>
    </row>
    <row r="12" spans="1:87" x14ac:dyDescent="0.4">
      <c r="A12" s="13" t="str">
        <f t="shared" si="2"/>
        <v>南</v>
      </c>
      <c r="B12" s="27">
        <f t="shared" si="9"/>
        <v>2</v>
      </c>
      <c r="C12" s="27">
        <f t="shared" si="3"/>
        <v>1</v>
      </c>
      <c r="D12" s="27">
        <f t="shared" si="4"/>
        <v>0</v>
      </c>
      <c r="E12" s="4" t="s">
        <v>143</v>
      </c>
      <c r="F12" s="8" t="s">
        <v>160</v>
      </c>
      <c r="G12" s="9">
        <v>-6000</v>
      </c>
      <c r="H12" s="9"/>
      <c r="I12" s="64">
        <v>-500</v>
      </c>
      <c r="J12" s="30">
        <f t="shared" si="5"/>
        <v>34400</v>
      </c>
      <c r="K12" s="8" t="s">
        <v>160</v>
      </c>
      <c r="L12" s="9">
        <v>-6000</v>
      </c>
      <c r="M12" s="9"/>
      <c r="N12" s="64">
        <v>-500</v>
      </c>
      <c r="O12" s="30">
        <f t="shared" si="6"/>
        <v>-3500</v>
      </c>
      <c r="P12" s="8" t="s">
        <v>159</v>
      </c>
      <c r="Q12" s="9">
        <v>12000</v>
      </c>
      <c r="R12" s="9">
        <v>0</v>
      </c>
      <c r="S12" s="64">
        <v>1000</v>
      </c>
      <c r="T12" s="30">
        <f t="shared" si="7"/>
        <v>74100</v>
      </c>
      <c r="U12" s="20">
        <f t="shared" si="8"/>
        <v>-1</v>
      </c>
      <c r="V12" s="21">
        <f t="shared" si="0"/>
        <v>-39</v>
      </c>
      <c r="W12" s="22">
        <f t="shared" si="1"/>
        <v>39</v>
      </c>
      <c r="Y12" s="8"/>
      <c r="Z12" s="50"/>
      <c r="AA12" s="41"/>
      <c r="AB12" s="41">
        <v>1</v>
      </c>
      <c r="AC12" s="41"/>
      <c r="AD12" s="45"/>
      <c r="AE12" s="56" t="s">
        <v>11</v>
      </c>
      <c r="AF12" s="57" t="s">
        <v>11</v>
      </c>
      <c r="AG12" s="57" t="s">
        <v>11</v>
      </c>
      <c r="AH12" s="57" t="s">
        <v>11</v>
      </c>
      <c r="AI12" s="57" t="s">
        <v>11</v>
      </c>
      <c r="AJ12" s="57" t="s">
        <v>11</v>
      </c>
      <c r="AK12" s="57" t="s">
        <v>11</v>
      </c>
      <c r="AL12" s="57" t="s">
        <v>11</v>
      </c>
      <c r="AM12" s="57" t="s">
        <v>11</v>
      </c>
      <c r="AN12" s="57" t="s">
        <v>11</v>
      </c>
      <c r="AO12" s="57" t="s">
        <v>11</v>
      </c>
      <c r="AP12" s="57" t="s">
        <v>11</v>
      </c>
      <c r="AQ12" s="57" t="s">
        <v>11</v>
      </c>
      <c r="AR12" s="57" t="s">
        <v>11</v>
      </c>
      <c r="AS12" s="58" t="s">
        <v>11</v>
      </c>
      <c r="AT12" s="8"/>
      <c r="AU12" s="50"/>
      <c r="AV12" s="41"/>
      <c r="AW12" s="41"/>
      <c r="AX12" s="41"/>
      <c r="AY12" s="45"/>
      <c r="AZ12" s="56" t="s">
        <v>11</v>
      </c>
      <c r="BA12" s="57" t="s">
        <v>11</v>
      </c>
      <c r="BB12" s="57" t="s">
        <v>11</v>
      </c>
      <c r="BC12" s="57" t="s">
        <v>11</v>
      </c>
      <c r="BD12" s="57" t="s">
        <v>11</v>
      </c>
      <c r="BE12" s="57" t="s">
        <v>11</v>
      </c>
      <c r="BF12" s="57" t="s">
        <v>11</v>
      </c>
      <c r="BG12" s="57" t="s">
        <v>11</v>
      </c>
      <c r="BH12" s="57" t="s">
        <v>11</v>
      </c>
      <c r="BI12" s="57" t="s">
        <v>11</v>
      </c>
      <c r="BJ12" s="57" t="s">
        <v>11</v>
      </c>
      <c r="BK12" s="57" t="s">
        <v>11</v>
      </c>
      <c r="BL12" s="57" t="s">
        <v>11</v>
      </c>
      <c r="BM12" s="57" t="s">
        <v>11</v>
      </c>
      <c r="BN12" s="58" t="s">
        <v>11</v>
      </c>
      <c r="BO12" s="8"/>
      <c r="BP12" s="50"/>
      <c r="BQ12" s="41"/>
      <c r="BR12" s="41">
        <v>1</v>
      </c>
      <c r="BS12" s="41">
        <v>5</v>
      </c>
      <c r="BT12" s="45" t="s">
        <v>154</v>
      </c>
      <c r="BU12" s="56" t="s">
        <v>167</v>
      </c>
      <c r="BV12" s="57" t="s">
        <v>167</v>
      </c>
      <c r="BW12" s="57" t="s">
        <v>176</v>
      </c>
      <c r="BX12" s="57" t="s">
        <v>129</v>
      </c>
      <c r="BY12" s="57" t="s">
        <v>11</v>
      </c>
      <c r="BZ12" s="57" t="s">
        <v>11</v>
      </c>
      <c r="CA12" s="57" t="s">
        <v>11</v>
      </c>
      <c r="CB12" s="57" t="s">
        <v>11</v>
      </c>
      <c r="CC12" s="57" t="s">
        <v>11</v>
      </c>
      <c r="CD12" s="57" t="s">
        <v>11</v>
      </c>
      <c r="CE12" s="57" t="s">
        <v>11</v>
      </c>
      <c r="CF12" s="57" t="s">
        <v>11</v>
      </c>
      <c r="CG12" s="57" t="s">
        <v>11</v>
      </c>
      <c r="CH12" s="57" t="s">
        <v>11</v>
      </c>
      <c r="CI12" s="58" t="s">
        <v>11</v>
      </c>
    </row>
    <row r="13" spans="1:87" x14ac:dyDescent="0.4">
      <c r="A13" s="13" t="str">
        <f t="shared" si="2"/>
        <v/>
      </c>
      <c r="B13" s="27" t="str">
        <f t="shared" si="9"/>
        <v/>
      </c>
      <c r="C13" s="27" t="str">
        <f t="shared" si="3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2"/>
        <v/>
      </c>
      <c r="B14" s="27" t="str">
        <f t="shared" si="9"/>
        <v/>
      </c>
      <c r="C14" s="27" t="str">
        <f t="shared" si="3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2"/>
        <v/>
      </c>
      <c r="B15" s="27" t="str">
        <f t="shared" si="9"/>
        <v/>
      </c>
      <c r="C15" s="27" t="str">
        <f t="shared" si="3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2"/>
        <v/>
      </c>
      <c r="B16" s="27" t="str">
        <f t="shared" si="9"/>
        <v/>
      </c>
      <c r="C16" s="27" t="str">
        <f t="shared" si="3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2"/>
        <v/>
      </c>
      <c r="B17" s="27" t="str">
        <f t="shared" si="9"/>
        <v/>
      </c>
      <c r="C17" s="27" t="str">
        <f t="shared" si="3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2"/>
        <v/>
      </c>
      <c r="B18" s="27" t="str">
        <f t="shared" si="9"/>
        <v/>
      </c>
      <c r="C18" s="27" t="str">
        <f t="shared" si="3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2"/>
        <v/>
      </c>
      <c r="B19" s="27" t="str">
        <f t="shared" si="9"/>
        <v/>
      </c>
      <c r="C19" s="27" t="str">
        <f t="shared" si="3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2"/>
        <v/>
      </c>
      <c r="B20" s="27" t="str">
        <f t="shared" si="9"/>
        <v/>
      </c>
      <c r="C20" s="27" t="str">
        <f t="shared" si="3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2"/>
        <v/>
      </c>
      <c r="B21" s="27" t="str">
        <f t="shared" si="9"/>
        <v/>
      </c>
      <c r="C21" s="27" t="str">
        <f t="shared" si="3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2"/>
        <v/>
      </c>
      <c r="B22" s="27" t="str">
        <f t="shared" si="9"/>
        <v/>
      </c>
      <c r="C22" s="27" t="str">
        <f t="shared" si="3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2"/>
        <v/>
      </c>
      <c r="B23" s="27" t="str">
        <f t="shared" si="9"/>
        <v/>
      </c>
      <c r="C23" s="27" t="str">
        <f t="shared" si="3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2"/>
        <v/>
      </c>
      <c r="B24" s="27" t="str">
        <f t="shared" si="9"/>
        <v/>
      </c>
      <c r="C24" s="27" t="str">
        <f t="shared" si="3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2"/>
        <v/>
      </c>
      <c r="B25" s="27" t="str">
        <f t="shared" si="9"/>
        <v/>
      </c>
      <c r="C25" s="27" t="str">
        <f t="shared" si="3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2"/>
        <v/>
      </c>
      <c r="B26" s="27" t="str">
        <f t="shared" si="9"/>
        <v/>
      </c>
      <c r="C26" s="27" t="str">
        <f t="shared" si="3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2"/>
        <v/>
      </c>
      <c r="B27" s="27" t="str">
        <f t="shared" si="9"/>
        <v/>
      </c>
      <c r="C27" s="27" t="str">
        <f t="shared" si="3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2"/>
        <v/>
      </c>
      <c r="B28" s="27" t="str">
        <f t="shared" si="9"/>
        <v/>
      </c>
      <c r="C28" s="27" t="str">
        <f t="shared" si="3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2"/>
        <v/>
      </c>
      <c r="B29" s="27" t="str">
        <f t="shared" si="9"/>
        <v/>
      </c>
      <c r="C29" s="27" t="str">
        <f t="shared" si="3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2"/>
        <v/>
      </c>
      <c r="B30" s="28" t="str">
        <f t="shared" si="9"/>
        <v/>
      </c>
      <c r="C30" s="28" t="str">
        <f t="shared" si="3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E828F668-12F4-4495-B726-FF168CD64075}">
      <formula1>$U$2:$W$2</formula1>
    </dataValidation>
    <dataValidation type="list" showInputMessage="1" showErrorMessage="1" sqref="K4:K30 P4:P30 F4:F30" xr:uid="{AF4D323F-7952-4164-9107-596BF36A883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28</v>
      </c>
      <c r="B1" s="15" t="s">
        <v>29</v>
      </c>
      <c r="C1" s="15" t="s">
        <v>30</v>
      </c>
      <c r="D1" s="15" t="s">
        <v>31</v>
      </c>
      <c r="E1" s="52" t="s">
        <v>32</v>
      </c>
    </row>
    <row r="2" spans="1:5" x14ac:dyDescent="0.4">
      <c r="A2" s="52" t="s">
        <v>79</v>
      </c>
      <c r="B2" s="15" t="s">
        <v>138</v>
      </c>
      <c r="C2" s="15">
        <v>1</v>
      </c>
    </row>
    <row r="3" spans="1:5" x14ac:dyDescent="0.4">
      <c r="A3" s="52" t="s">
        <v>80</v>
      </c>
      <c r="B3" s="15" t="s">
        <v>33</v>
      </c>
      <c r="C3" s="15">
        <v>1</v>
      </c>
    </row>
    <row r="4" spans="1:5" x14ac:dyDescent="0.4">
      <c r="A4" s="52" t="s">
        <v>81</v>
      </c>
      <c r="B4" s="15" t="s">
        <v>34</v>
      </c>
      <c r="C4" s="15">
        <v>1</v>
      </c>
      <c r="D4" s="15">
        <v>1</v>
      </c>
    </row>
    <row r="5" spans="1:5" x14ac:dyDescent="0.4">
      <c r="A5" s="52" t="s">
        <v>82</v>
      </c>
      <c r="B5" s="15" t="s">
        <v>35</v>
      </c>
      <c r="C5" s="15">
        <v>1</v>
      </c>
      <c r="E5" s="52" t="s">
        <v>129</v>
      </c>
    </row>
    <row r="6" spans="1:5" x14ac:dyDescent="0.4">
      <c r="A6" s="52" t="s">
        <v>83</v>
      </c>
      <c r="B6" s="15" t="s">
        <v>36</v>
      </c>
      <c r="C6" s="15">
        <v>1</v>
      </c>
      <c r="D6" s="15">
        <v>1</v>
      </c>
    </row>
    <row r="7" spans="1:5" x14ac:dyDescent="0.4">
      <c r="A7" s="52" t="s">
        <v>84</v>
      </c>
      <c r="B7" s="15" t="s">
        <v>37</v>
      </c>
      <c r="C7" s="15">
        <v>1</v>
      </c>
    </row>
    <row r="8" spans="1:5" x14ac:dyDescent="0.4">
      <c r="A8" s="52" t="s">
        <v>85</v>
      </c>
      <c r="B8" s="15" t="s">
        <v>38</v>
      </c>
      <c r="C8" s="15">
        <v>1</v>
      </c>
    </row>
    <row r="9" spans="1:5" x14ac:dyDescent="0.4">
      <c r="A9" s="52" t="s">
        <v>86</v>
      </c>
      <c r="B9" s="15" t="s">
        <v>39</v>
      </c>
      <c r="C9" s="15">
        <v>1</v>
      </c>
    </row>
    <row r="10" spans="1:5" x14ac:dyDescent="0.4">
      <c r="A10" s="52" t="s">
        <v>87</v>
      </c>
      <c r="B10" s="15" t="s">
        <v>135</v>
      </c>
      <c r="C10" s="15">
        <v>1</v>
      </c>
      <c r="D10" s="15">
        <v>1</v>
      </c>
    </row>
    <row r="11" spans="1:5" x14ac:dyDescent="0.4">
      <c r="A11" s="52" t="s">
        <v>88</v>
      </c>
      <c r="B11" s="15" t="s">
        <v>40</v>
      </c>
      <c r="C11" s="15">
        <v>1</v>
      </c>
      <c r="D11" s="15">
        <v>1</v>
      </c>
    </row>
    <row r="12" spans="1:5" x14ac:dyDescent="0.4">
      <c r="A12" s="52" t="s">
        <v>89</v>
      </c>
      <c r="B12" s="15" t="s">
        <v>41</v>
      </c>
      <c r="C12" s="15">
        <v>1</v>
      </c>
      <c r="D12" s="15">
        <v>1</v>
      </c>
    </row>
    <row r="13" spans="1:5" x14ac:dyDescent="0.4">
      <c r="A13" s="52" t="s">
        <v>90</v>
      </c>
      <c r="B13" s="15" t="s">
        <v>42</v>
      </c>
      <c r="C13" s="15">
        <v>1</v>
      </c>
      <c r="D13" s="15">
        <v>1</v>
      </c>
    </row>
    <row r="14" spans="1:5" x14ac:dyDescent="0.4">
      <c r="A14" s="52" t="s">
        <v>91</v>
      </c>
      <c r="B14" s="15" t="s">
        <v>43</v>
      </c>
      <c r="C14" s="15">
        <v>1</v>
      </c>
      <c r="D14" s="15">
        <v>1</v>
      </c>
    </row>
    <row r="15" spans="1:5" x14ac:dyDescent="0.4">
      <c r="A15" s="52" t="s">
        <v>92</v>
      </c>
      <c r="B15" s="15" t="s">
        <v>44</v>
      </c>
      <c r="C15" s="15">
        <v>1</v>
      </c>
      <c r="D15" s="15">
        <v>1</v>
      </c>
    </row>
    <row r="16" spans="1:5" x14ac:dyDescent="0.4">
      <c r="A16" s="52" t="s">
        <v>93</v>
      </c>
      <c r="B16" s="15" t="s">
        <v>45</v>
      </c>
      <c r="C16" s="15">
        <v>2</v>
      </c>
      <c r="E16" s="52" t="s">
        <v>79</v>
      </c>
    </row>
    <row r="17" spans="1:4" x14ac:dyDescent="0.4">
      <c r="A17" s="52" t="s">
        <v>94</v>
      </c>
      <c r="B17" s="15" t="s">
        <v>46</v>
      </c>
      <c r="C17" s="15">
        <v>2</v>
      </c>
      <c r="D17" s="15">
        <v>1</v>
      </c>
    </row>
    <row r="18" spans="1:4" x14ac:dyDescent="0.4">
      <c r="A18" s="52" t="s">
        <v>95</v>
      </c>
      <c r="B18" s="15" t="s">
        <v>137</v>
      </c>
      <c r="C18" s="15">
        <v>2</v>
      </c>
      <c r="D18" s="15">
        <v>1</v>
      </c>
    </row>
    <row r="19" spans="1:4" x14ac:dyDescent="0.4">
      <c r="A19" s="52" t="s">
        <v>96</v>
      </c>
      <c r="B19" s="15" t="s">
        <v>47</v>
      </c>
      <c r="C19" s="15">
        <v>2</v>
      </c>
      <c r="D19" s="15">
        <v>1</v>
      </c>
    </row>
    <row r="20" spans="1:4" x14ac:dyDescent="0.4">
      <c r="A20" s="52" t="s">
        <v>97</v>
      </c>
      <c r="B20" s="15" t="s">
        <v>48</v>
      </c>
      <c r="C20" s="15">
        <v>2</v>
      </c>
      <c r="D20" s="15">
        <v>2</v>
      </c>
    </row>
    <row r="21" spans="1:4" x14ac:dyDescent="0.4">
      <c r="A21" s="52" t="s">
        <v>98</v>
      </c>
      <c r="B21" s="15" t="s">
        <v>49</v>
      </c>
      <c r="C21" s="15">
        <v>2</v>
      </c>
      <c r="D21" s="15">
        <v>2</v>
      </c>
    </row>
    <row r="22" spans="1:4" x14ac:dyDescent="0.4">
      <c r="A22" s="52" t="s">
        <v>99</v>
      </c>
      <c r="B22" s="15" t="s">
        <v>50</v>
      </c>
      <c r="C22" s="15">
        <v>2</v>
      </c>
      <c r="D22" s="15">
        <v>2</v>
      </c>
    </row>
    <row r="23" spans="1:4" x14ac:dyDescent="0.4">
      <c r="A23" s="52" t="s">
        <v>100</v>
      </c>
      <c r="B23" s="15" t="s">
        <v>51</v>
      </c>
      <c r="C23" s="15">
        <v>2</v>
      </c>
      <c r="D23" s="15">
        <v>2</v>
      </c>
    </row>
    <row r="24" spans="1:4" x14ac:dyDescent="0.4">
      <c r="A24" s="52" t="s">
        <v>101</v>
      </c>
      <c r="B24" s="15" t="s">
        <v>52</v>
      </c>
      <c r="C24" s="15">
        <v>2</v>
      </c>
      <c r="D24" s="15">
        <v>2</v>
      </c>
    </row>
    <row r="25" spans="1:4" x14ac:dyDescent="0.4">
      <c r="A25" s="52" t="s">
        <v>102</v>
      </c>
      <c r="B25" s="15" t="s">
        <v>53</v>
      </c>
      <c r="C25" s="15">
        <v>2</v>
      </c>
      <c r="D25" s="15">
        <v>2</v>
      </c>
    </row>
    <row r="26" spans="1:4" x14ac:dyDescent="0.4">
      <c r="A26" s="52" t="s">
        <v>103</v>
      </c>
      <c r="B26" s="15" t="s">
        <v>54</v>
      </c>
      <c r="C26" s="15">
        <v>2</v>
      </c>
    </row>
    <row r="27" spans="1:4" x14ac:dyDescent="0.4">
      <c r="A27" s="52" t="s">
        <v>104</v>
      </c>
      <c r="B27" s="15" t="s">
        <v>55</v>
      </c>
      <c r="C27" s="15">
        <v>3</v>
      </c>
    </row>
    <row r="28" spans="1:4" x14ac:dyDescent="0.4">
      <c r="A28" s="52" t="s">
        <v>105</v>
      </c>
      <c r="B28" s="15" t="s">
        <v>136</v>
      </c>
      <c r="C28" s="15">
        <v>3</v>
      </c>
      <c r="D28" s="15">
        <v>2</v>
      </c>
    </row>
    <row r="29" spans="1:4" x14ac:dyDescent="0.4">
      <c r="A29" s="52" t="s">
        <v>106</v>
      </c>
      <c r="B29" s="15" t="s">
        <v>56</v>
      </c>
      <c r="C29" s="15">
        <v>3</v>
      </c>
      <c r="D29" s="15">
        <v>2</v>
      </c>
    </row>
    <row r="30" spans="1:4" x14ac:dyDescent="0.4">
      <c r="A30" s="52" t="s">
        <v>107</v>
      </c>
      <c r="B30" s="15" t="s">
        <v>57</v>
      </c>
      <c r="C30" s="15">
        <v>5</v>
      </c>
    </row>
    <row r="31" spans="1:4" x14ac:dyDescent="0.4">
      <c r="A31" s="52" t="s">
        <v>108</v>
      </c>
      <c r="B31" s="15" t="s">
        <v>58</v>
      </c>
      <c r="C31" s="15">
        <v>6</v>
      </c>
      <c r="D31" s="15">
        <v>5</v>
      </c>
    </row>
    <row r="32" spans="1:4" x14ac:dyDescent="0.4">
      <c r="A32" s="52" t="s">
        <v>109</v>
      </c>
      <c r="B32" s="15" t="s">
        <v>59</v>
      </c>
      <c r="C32" s="15">
        <v>13</v>
      </c>
    </row>
    <row r="33" spans="1:5" x14ac:dyDescent="0.4">
      <c r="A33" s="52" t="s">
        <v>110</v>
      </c>
      <c r="B33" s="15" t="s">
        <v>60</v>
      </c>
      <c r="C33" s="15">
        <v>13</v>
      </c>
    </row>
    <row r="34" spans="1:5" x14ac:dyDescent="0.4">
      <c r="A34" s="52" t="s">
        <v>111</v>
      </c>
      <c r="B34" s="15" t="s">
        <v>61</v>
      </c>
      <c r="C34" s="15">
        <v>13</v>
      </c>
      <c r="D34" s="15">
        <v>13</v>
      </c>
    </row>
    <row r="35" spans="1:5" x14ac:dyDescent="0.4">
      <c r="A35" s="52" t="s">
        <v>112</v>
      </c>
      <c r="B35" s="15" t="s">
        <v>62</v>
      </c>
      <c r="C35" s="15">
        <v>13</v>
      </c>
      <c r="D35" s="15">
        <v>13</v>
      </c>
    </row>
    <row r="36" spans="1:5" x14ac:dyDescent="0.4">
      <c r="A36" s="52" t="s">
        <v>113</v>
      </c>
      <c r="B36" s="15" t="s">
        <v>63</v>
      </c>
      <c r="C36" s="15">
        <v>26</v>
      </c>
      <c r="D36" s="15">
        <v>26</v>
      </c>
    </row>
    <row r="37" spans="1:5" x14ac:dyDescent="0.4">
      <c r="A37" s="52" t="s">
        <v>114</v>
      </c>
      <c r="B37" s="15" t="s">
        <v>64</v>
      </c>
      <c r="C37" s="15">
        <v>13</v>
      </c>
      <c r="D37" s="15">
        <v>13</v>
      </c>
    </row>
    <row r="38" spans="1:5" x14ac:dyDescent="0.4">
      <c r="A38" s="52" t="s">
        <v>115</v>
      </c>
      <c r="B38" s="15" t="s">
        <v>65</v>
      </c>
      <c r="C38" s="15">
        <v>13</v>
      </c>
      <c r="D38" s="15">
        <v>13</v>
      </c>
    </row>
    <row r="39" spans="1:5" x14ac:dyDescent="0.4">
      <c r="A39" s="52" t="s">
        <v>116</v>
      </c>
      <c r="B39" s="15" t="s">
        <v>66</v>
      </c>
      <c r="C39" s="15">
        <v>13</v>
      </c>
      <c r="D39" s="15">
        <v>13</v>
      </c>
    </row>
    <row r="40" spans="1:5" x14ac:dyDescent="0.4">
      <c r="A40" s="52" t="s">
        <v>117</v>
      </c>
      <c r="B40" s="15" t="s">
        <v>67</v>
      </c>
      <c r="C40" s="15">
        <v>13</v>
      </c>
      <c r="D40" s="15">
        <v>13</v>
      </c>
    </row>
    <row r="41" spans="1:5" x14ac:dyDescent="0.4">
      <c r="A41" s="52" t="s">
        <v>118</v>
      </c>
      <c r="B41" s="15" t="s">
        <v>68</v>
      </c>
      <c r="C41" s="15">
        <v>13</v>
      </c>
    </row>
    <row r="42" spans="1:5" x14ac:dyDescent="0.4">
      <c r="A42" s="52" t="s">
        <v>119</v>
      </c>
      <c r="B42" s="15" t="s">
        <v>69</v>
      </c>
      <c r="C42" s="15">
        <v>13</v>
      </c>
    </row>
    <row r="43" spans="1:5" x14ac:dyDescent="0.4">
      <c r="A43" s="52" t="s">
        <v>120</v>
      </c>
      <c r="B43" s="15" t="s">
        <v>70</v>
      </c>
      <c r="C43" s="15">
        <v>13</v>
      </c>
    </row>
    <row r="44" spans="1:5" x14ac:dyDescent="0.4">
      <c r="A44" s="52" t="s">
        <v>121</v>
      </c>
      <c r="B44" s="15" t="s">
        <v>71</v>
      </c>
      <c r="C44" s="15">
        <v>13</v>
      </c>
    </row>
    <row r="45" spans="1:5" x14ac:dyDescent="0.4">
      <c r="A45" s="52" t="s">
        <v>122</v>
      </c>
      <c r="B45" s="15" t="s">
        <v>72</v>
      </c>
      <c r="C45" s="15">
        <v>26</v>
      </c>
      <c r="E45" s="52" t="s">
        <v>130</v>
      </c>
    </row>
    <row r="46" spans="1:5" x14ac:dyDescent="0.4">
      <c r="A46" s="52" t="s">
        <v>123</v>
      </c>
      <c r="B46" s="15" t="s">
        <v>73</v>
      </c>
      <c r="C46" s="15">
        <v>26</v>
      </c>
      <c r="E46" s="52" t="s">
        <v>131</v>
      </c>
    </row>
    <row r="47" spans="1:5" x14ac:dyDescent="0.4">
      <c r="A47" s="52" t="s">
        <v>124</v>
      </c>
      <c r="B47" s="15" t="s">
        <v>74</v>
      </c>
      <c r="C47" s="15">
        <v>26</v>
      </c>
      <c r="E47" s="52" t="s">
        <v>132</v>
      </c>
    </row>
    <row r="48" spans="1:5" x14ac:dyDescent="0.4">
      <c r="A48" s="52" t="s">
        <v>125</v>
      </c>
      <c r="B48" s="15" t="s">
        <v>75</v>
      </c>
      <c r="C48" s="15">
        <v>13</v>
      </c>
    </row>
    <row r="49" spans="1:3" x14ac:dyDescent="0.4">
      <c r="A49" s="52" t="s">
        <v>126</v>
      </c>
      <c r="B49" s="15" t="s">
        <v>76</v>
      </c>
      <c r="C49" s="15">
        <v>13</v>
      </c>
    </row>
    <row r="50" spans="1:3" x14ac:dyDescent="0.4">
      <c r="A50" s="52" t="s">
        <v>127</v>
      </c>
      <c r="B50" s="15" t="s">
        <v>77</v>
      </c>
      <c r="C50" s="15">
        <v>13</v>
      </c>
    </row>
    <row r="51" spans="1:3" x14ac:dyDescent="0.4">
      <c r="A51" s="52" t="s">
        <v>128</v>
      </c>
      <c r="B51" s="15" t="s">
        <v>78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2018-12-17T15:23:37Z</dcterms:modified>
</cp:coreProperties>
</file>