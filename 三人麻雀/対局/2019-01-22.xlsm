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B48E52C7-6B2E-4B1A-B723-7FE90CA913AA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Sheet7" sheetId="21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W12" i="21" s="1"/>
  <c r="O12" i="21"/>
  <c r="V12" i="21" s="1"/>
  <c r="J12" i="21"/>
  <c r="U12" i="21" s="1"/>
  <c r="D12" i="21"/>
  <c r="C12" i="21"/>
  <c r="B12" i="21"/>
  <c r="A12" i="21" s="1"/>
  <c r="T11" i="21"/>
  <c r="W11" i="21" s="1"/>
  <c r="O11" i="21"/>
  <c r="V11" i="21" s="1"/>
  <c r="J11" i="21"/>
  <c r="U11" i="21" s="1"/>
  <c r="D11" i="21"/>
  <c r="C11" i="21"/>
  <c r="B11" i="21"/>
  <c r="A11" i="21" s="1"/>
  <c r="T10" i="21"/>
  <c r="W10" i="21" s="1"/>
  <c r="O10" i="21"/>
  <c r="V10" i="21" s="1"/>
  <c r="J10" i="21"/>
  <c r="U10" i="21" s="1"/>
  <c r="D10" i="21"/>
  <c r="C10" i="21"/>
  <c r="B10" i="21"/>
  <c r="A10" i="21"/>
  <c r="T9" i="21"/>
  <c r="W9" i="21" s="1"/>
  <c r="O9" i="21"/>
  <c r="V9" i="21" s="1"/>
  <c r="J9" i="21"/>
  <c r="U9" i="21" s="1"/>
  <c r="D9" i="21"/>
  <c r="C9" i="21"/>
  <c r="B9" i="21"/>
  <c r="A9" i="21"/>
  <c r="D8" i="21"/>
  <c r="C8" i="21"/>
  <c r="D7" i="21"/>
  <c r="D6" i="21"/>
  <c r="C6" i="21"/>
  <c r="C7" i="21" s="1"/>
  <c r="O5" i="21"/>
  <c r="O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D10" i="20"/>
  <c r="C10" i="20"/>
  <c r="C11" i="20" s="1"/>
  <c r="D9" i="20"/>
  <c r="D8" i="20"/>
  <c r="C8" i="20"/>
  <c r="C9" i="20" s="1"/>
  <c r="D7" i="20"/>
  <c r="D6" i="20"/>
  <c r="C6" i="20"/>
  <c r="C7" i="20" s="1"/>
  <c r="O5" i="20"/>
  <c r="O6" i="20" s="1"/>
  <c r="J5" i="20"/>
  <c r="U5" i="20" s="1"/>
  <c r="D5" i="20"/>
  <c r="C5" i="20"/>
  <c r="B5" i="20"/>
  <c r="B6" i="20" s="1"/>
  <c r="A5" i="20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D13" i="19"/>
  <c r="C13" i="19"/>
  <c r="D12" i="19"/>
  <c r="C12" i="19"/>
  <c r="D11" i="19"/>
  <c r="D10" i="19"/>
  <c r="C10" i="19"/>
  <c r="C11" i="19" s="1"/>
  <c r="D9" i="19"/>
  <c r="C9" i="19"/>
  <c r="D8" i="19"/>
  <c r="C8" i="19"/>
  <c r="D7" i="19"/>
  <c r="C7" i="19"/>
  <c r="D6" i="19"/>
  <c r="C6" i="19"/>
  <c r="J5" i="19"/>
  <c r="U5" i="19" s="1"/>
  <c r="D5" i="19"/>
  <c r="C5" i="19"/>
  <c r="B5" i="19"/>
  <c r="B6" i="19" s="1"/>
  <c r="A5" i="19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A5" i="21" l="1"/>
  <c r="V5" i="21"/>
  <c r="B7" i="21"/>
  <c r="V6" i="21"/>
  <c r="O7" i="21"/>
  <c r="T5" i="21"/>
  <c r="A6" i="21"/>
  <c r="J6" i="21"/>
  <c r="V5" i="20"/>
  <c r="B7" i="20"/>
  <c r="O7" i="20"/>
  <c r="V6" i="20"/>
  <c r="T5" i="20"/>
  <c r="A6" i="20"/>
  <c r="J6" i="20"/>
  <c r="B7" i="19"/>
  <c r="A7" i="19"/>
  <c r="O5" i="19"/>
  <c r="T5" i="19"/>
  <c r="A6" i="19"/>
  <c r="J6" i="19"/>
  <c r="W5" i="21" l="1"/>
  <c r="T6" i="21"/>
  <c r="B8" i="21"/>
  <c r="A8" i="21" s="1"/>
  <c r="O8" i="21"/>
  <c r="V8" i="21" s="1"/>
  <c r="V7" i="21"/>
  <c r="J7" i="21"/>
  <c r="U6" i="21"/>
  <c r="A7" i="21"/>
  <c r="A7" i="20"/>
  <c r="U6" i="20"/>
  <c r="J7" i="20"/>
  <c r="O8" i="20"/>
  <c r="V7" i="20"/>
  <c r="W5" i="20"/>
  <c r="T6" i="20"/>
  <c r="B8" i="20"/>
  <c r="A8" i="20" s="1"/>
  <c r="W5" i="19"/>
  <c r="T6" i="19"/>
  <c r="U6" i="19"/>
  <c r="J7" i="19"/>
  <c r="B8" i="19"/>
  <c r="A8" i="19" s="1"/>
  <c r="O6" i="19"/>
  <c r="V5" i="19"/>
  <c r="U7" i="21" l="1"/>
  <c r="J8" i="21"/>
  <c r="U8" i="21" s="1"/>
  <c r="W6" i="21"/>
  <c r="T7" i="21"/>
  <c r="B9" i="20"/>
  <c r="O9" i="20"/>
  <c r="V8" i="20"/>
  <c r="W6" i="20"/>
  <c r="T7" i="20"/>
  <c r="U7" i="20"/>
  <c r="J8" i="20"/>
  <c r="W6" i="19"/>
  <c r="T7" i="19"/>
  <c r="B9" i="19"/>
  <c r="U7" i="19"/>
  <c r="J8" i="19"/>
  <c r="V6" i="19"/>
  <c r="O7" i="19"/>
  <c r="T8" i="21" l="1"/>
  <c r="W8" i="21" s="1"/>
  <c r="W7" i="21"/>
  <c r="W7" i="20"/>
  <c r="T8" i="20"/>
  <c r="U8" i="20"/>
  <c r="J9" i="20"/>
  <c r="O10" i="20"/>
  <c r="V9" i="20"/>
  <c r="B10" i="20"/>
  <c r="A10" i="20"/>
  <c r="A9" i="20"/>
  <c r="B10" i="19"/>
  <c r="O8" i="19"/>
  <c r="V7" i="19"/>
  <c r="A9" i="19"/>
  <c r="A10" i="19" s="1"/>
  <c r="U8" i="19"/>
  <c r="J9" i="19"/>
  <c r="W7" i="19"/>
  <c r="T8" i="19"/>
  <c r="B11" i="20" l="1"/>
  <c r="A11" i="20"/>
  <c r="U9" i="20"/>
  <c r="J10" i="20"/>
  <c r="W8" i="20"/>
  <c r="T9" i="20"/>
  <c r="V10" i="20"/>
  <c r="O11" i="20"/>
  <c r="W8" i="19"/>
  <c r="T9" i="19"/>
  <c r="B11" i="19"/>
  <c r="A11" i="19" s="1"/>
  <c r="U9" i="19"/>
  <c r="J10" i="19"/>
  <c r="V8" i="19"/>
  <c r="O9" i="19"/>
  <c r="O12" i="20" l="1"/>
  <c r="V12" i="20" s="1"/>
  <c r="V11" i="20"/>
  <c r="W9" i="20"/>
  <c r="T10" i="20"/>
  <c r="J11" i="20"/>
  <c r="U10" i="20"/>
  <c r="B12" i="20"/>
  <c r="A12" i="20"/>
  <c r="O10" i="19"/>
  <c r="V9" i="19"/>
  <c r="B12" i="19"/>
  <c r="A12" i="19" s="1"/>
  <c r="U10" i="19"/>
  <c r="J11" i="19"/>
  <c r="W9" i="19"/>
  <c r="T10" i="19"/>
  <c r="W10" i="20" l="1"/>
  <c r="T11" i="20"/>
  <c r="U11" i="20"/>
  <c r="J12" i="20"/>
  <c r="U12" i="20" s="1"/>
  <c r="U11" i="19"/>
  <c r="J12" i="19"/>
  <c r="V10" i="19"/>
  <c r="O11" i="19"/>
  <c r="W10" i="19"/>
  <c r="T11" i="19"/>
  <c r="B13" i="19"/>
  <c r="A13" i="19" s="1"/>
  <c r="W11" i="20" l="1"/>
  <c r="T12" i="20"/>
  <c r="W12" i="20" s="1"/>
  <c r="O12" i="19"/>
  <c r="V11" i="19"/>
  <c r="W11" i="19"/>
  <c r="T12" i="19"/>
  <c r="U12" i="19"/>
  <c r="J13" i="19"/>
  <c r="U13" i="19" s="1"/>
  <c r="W12" i="19" l="1"/>
  <c r="T13" i="19"/>
  <c r="W13" i="19" s="1"/>
  <c r="V12" i="19"/>
  <c r="O13" i="19"/>
  <c r="V13" i="19" s="1"/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 s="1"/>
  <c r="D12" i="18"/>
  <c r="C12" i="18"/>
  <c r="D11" i="18"/>
  <c r="C11" i="18"/>
  <c r="D10" i="18"/>
  <c r="C10" i="18"/>
  <c r="D9" i="18"/>
  <c r="C9" i="18"/>
  <c r="D8" i="18"/>
  <c r="D7" i="18"/>
  <c r="D6" i="18"/>
  <c r="C6" i="18"/>
  <c r="C7" i="18" s="1"/>
  <c r="C8" i="18" s="1"/>
  <c r="O5" i="18"/>
  <c r="O6" i="18" s="1"/>
  <c r="J5" i="18"/>
  <c r="U5" i="18" s="1"/>
  <c r="D5" i="18"/>
  <c r="C5" i="18"/>
  <c r="B5" i="18"/>
  <c r="B6" i="18" s="1"/>
  <c r="A5" i="18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V5" i="18" l="1"/>
  <c r="B7" i="18"/>
  <c r="O7" i="18"/>
  <c r="V6" i="18"/>
  <c r="T5" i="18"/>
  <c r="A6" i="18"/>
  <c r="J6" i="18"/>
  <c r="A7" i="18" l="1"/>
  <c r="J7" i="18"/>
  <c r="U6" i="18"/>
  <c r="O8" i="18"/>
  <c r="V7" i="18"/>
  <c r="T6" i="18"/>
  <c r="W5" i="18"/>
  <c r="B8" i="18"/>
  <c r="A8" i="18" s="1"/>
  <c r="W6" i="18" l="1"/>
  <c r="T7" i="18"/>
  <c r="U7" i="18"/>
  <c r="J8" i="18"/>
  <c r="B9" i="18"/>
  <c r="A9" i="18" s="1"/>
  <c r="V8" i="18"/>
  <c r="O9" i="18"/>
  <c r="O10" i="18" l="1"/>
  <c r="V9" i="18"/>
  <c r="U8" i="18"/>
  <c r="J9" i="18"/>
  <c r="W7" i="18"/>
  <c r="T8" i="18"/>
  <c r="B10" i="18"/>
  <c r="A10" i="18" s="1"/>
  <c r="U9" i="18" l="1"/>
  <c r="J10" i="18"/>
  <c r="B11" i="18"/>
  <c r="W8" i="18"/>
  <c r="T9" i="18"/>
  <c r="O11" i="18"/>
  <c r="V10" i="18"/>
  <c r="B12" i="18" l="1"/>
  <c r="A12" i="18" s="1"/>
  <c r="A11" i="18"/>
  <c r="O12" i="18"/>
  <c r="V12" i="18" s="1"/>
  <c r="V11" i="18"/>
  <c r="T10" i="18"/>
  <c r="W9" i="18"/>
  <c r="U10" i="18"/>
  <c r="J11" i="18"/>
  <c r="U11" i="18" l="1"/>
  <c r="J12" i="18"/>
  <c r="U12" i="18" s="1"/>
  <c r="W10" i="18"/>
  <c r="T11" i="18"/>
  <c r="T12" i="18" l="1"/>
  <c r="W12" i="18" s="1"/>
  <c r="W11" i="18"/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 s="1"/>
  <c r="T10" i="17"/>
  <c r="W10" i="17" s="1"/>
  <c r="O10" i="17"/>
  <c r="V10" i="17" s="1"/>
  <c r="J10" i="17"/>
  <c r="U10" i="17" s="1"/>
  <c r="D10" i="17"/>
  <c r="C10" i="17"/>
  <c r="B10" i="17"/>
  <c r="A10" i="17" s="1"/>
  <c r="T9" i="17"/>
  <c r="W9" i="17" s="1"/>
  <c r="O9" i="17"/>
  <c r="V9" i="17" s="1"/>
  <c r="J9" i="17"/>
  <c r="U9" i="17" s="1"/>
  <c r="D9" i="17"/>
  <c r="C9" i="17"/>
  <c r="B9" i="17"/>
  <c r="A9" i="17"/>
  <c r="T8" i="17"/>
  <c r="W8" i="17" s="1"/>
  <c r="O8" i="17"/>
  <c r="V8" i="17" s="1"/>
  <c r="J8" i="17"/>
  <c r="U8" i="17" s="1"/>
  <c r="D8" i="17"/>
  <c r="C8" i="17"/>
  <c r="B8" i="17"/>
  <c r="A8" i="17" s="1"/>
  <c r="T7" i="17"/>
  <c r="W7" i="17" s="1"/>
  <c r="O7" i="17"/>
  <c r="V7" i="17" s="1"/>
  <c r="J7" i="17"/>
  <c r="U7" i="17" s="1"/>
  <c r="D7" i="17"/>
  <c r="C7" i="17"/>
  <c r="B7" i="17"/>
  <c r="A7" i="17" s="1"/>
  <c r="T6" i="17"/>
  <c r="W6" i="17" s="1"/>
  <c r="O6" i="17"/>
  <c r="V6" i="17" s="1"/>
  <c r="J6" i="17"/>
  <c r="U6" i="17" s="1"/>
  <c r="D6" i="17"/>
  <c r="C6" i="17"/>
  <c r="B6" i="17"/>
  <c r="A6" i="17"/>
  <c r="T5" i="17"/>
  <c r="W5" i="17" s="1"/>
  <c r="O5" i="17"/>
  <c r="V5" i="17" s="1"/>
  <c r="J5" i="17"/>
  <c r="U5" i="17" s="1"/>
  <c r="D5" i="17"/>
  <c r="C5" i="17"/>
  <c r="B5" i="17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D10" i="16"/>
  <c r="C10" i="16"/>
  <c r="D9" i="16"/>
  <c r="D8" i="16"/>
  <c r="C8" i="16"/>
  <c r="C9" i="16" s="1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O7" i="16"/>
  <c r="V6" i="16"/>
  <c r="T5" i="16"/>
  <c r="A6" i="16"/>
  <c r="A7" i="16" s="1"/>
  <c r="J6" i="16"/>
  <c r="W5" i="16" l="1"/>
  <c r="T6" i="16"/>
  <c r="B8" i="16"/>
  <c r="A8" i="16"/>
  <c r="U6" i="16"/>
  <c r="J7" i="16"/>
  <c r="O8" i="16"/>
  <c r="V7" i="16"/>
  <c r="V8" i="16" l="1"/>
  <c r="O9" i="16"/>
  <c r="B9" i="16"/>
  <c r="A9" i="16" s="1"/>
  <c r="U7" i="16"/>
  <c r="J8" i="16"/>
  <c r="W6" i="16"/>
  <c r="T7" i="16"/>
  <c r="W7" i="16" l="1"/>
  <c r="T8" i="16"/>
  <c r="B10" i="16"/>
  <c r="A10" i="16"/>
  <c r="U8" i="16"/>
  <c r="J9" i="16"/>
  <c r="O10" i="16"/>
  <c r="V10" i="16" s="1"/>
  <c r="V9" i="16"/>
  <c r="U9" i="16" l="1"/>
  <c r="J10" i="16"/>
  <c r="U10" i="16" s="1"/>
  <c r="W8" i="16"/>
  <c r="T9" i="16"/>
  <c r="T10" i="16" l="1"/>
  <c r="W10" i="16" s="1"/>
  <c r="W9" i="16"/>
  <c r="W3" i="1" l="1"/>
  <c r="V3" i="1"/>
  <c r="U3" i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U12" i="1" s="1"/>
  <c r="T10" i="1"/>
  <c r="V11" i="1" l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<sst xmlns="http://schemas.openxmlformats.org/spreadsheetml/2006/main" count="1156" uniqueCount="156">
  <si>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</si>
  <si>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</si>
  <si>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</si>
  <si>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</si>
  <si>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</si>
  <si>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</si>
  <si>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</si>
  <si>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</si>
  <si>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</si>
  <si>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</si>
  <si>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</si>
  <si>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</si>
  <si>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</si>
  <si>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</si>
  <si>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</si>
  <si>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</si>
  <si>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</si>
  <si>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</si>
  <si>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</si>
  <si>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</si>
  <si>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</si>
  <si>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</si>
  <si>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</si>
  <si>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</si>
  <si>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</si>
  <si>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</si>
  <si>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</si>
  <si>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</si>
  <si>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</si>
  <si>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</si>
  <si>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</si>
  <si>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</si>
  <si>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</si>
  <si>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</si>
  <si>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</si>
  <si>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</si>
  <si>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</si>
  <si>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</si>
  <si>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</si>
  <si>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</si>
  <si>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</si>
  <si>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</si>
  <si>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</si>
  <si>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</si>
  <si>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</si>
  <si>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</si>
  <si>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</si>
  <si>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</si>
  <si>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</si>
  <si>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</si>
  <si>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</si>
  <si>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</si>
  <si>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</si>
  <si>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</si>
  <si>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</si>
  <si>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</si>
  <si>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</si>
  <si>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</si>
  <si>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</si>
  <si>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</si>
  <si>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</si>
  <si>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</si>
  <si>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</si>
  <si>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</si>
  <si>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</si>
  <si>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</si>
  <si>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</si>
  <si>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</si>
  <si>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</si>
  <si>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</si>
  <si>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</si>
  <si>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</si>
  <si>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</si>
  <si>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</si>
  <si>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</si>
  <si>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</si>
  <si>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</si>
  <si>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</si>
  <si>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</si>
  <si>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</si>
  <si>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</si>
  <si>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</si>
  <si>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</si>
  <si>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</si>
  <si>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</si>
  <si>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</si>
  <si>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</si>
  <si>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</si>
  <si>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</si>
  <si>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</si>
  <si>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</si>
  <si>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</si>
  <si>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</si>
  <si>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</si>
  <si>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</si>
  <si>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</si>
  <si>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</si>
  <si>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</si>
  <si>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</si>
  <si>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</si>
  <si>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</si>
  <si>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</si>
  <si>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</si>
  <si>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</si>
  <si>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</si>
  <si>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</si>
  <si>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</si>
  <si>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</si>
  <si>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</si>
  <si>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</si>
  <si>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</si>
  <si>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</si>
  <si>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</si>
  <si>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</si>
  <si>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</si>
  <si>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</si>
  <si>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</si>
  <si>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</si>
  <si>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</si>
  <si>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</si>
  <si>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</si>
  <si>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</si>
  <si>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</si>
  <si>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</si>
  <si>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</si>
  <si>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</si>
  <si>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</si>
  <si>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</si>
  <si>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</si>
  <si>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</si>
  <si>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</si>
  <si>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</si>
  <si>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</si>
  <si>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</si>
  <si>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</si>
  <si>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</si>
  <si>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</si>
  <si>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</si>
  <si>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</si>
  <si>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いっしー</t>
  </si>
  <si>
    <t>いっしー</t>
    <phoneticPr fontId="1"/>
  </si>
  <si>
    <t>ツモ支払</t>
  </si>
  <si>
    <t>ツモ</t>
  </si>
  <si>
    <t>*</t>
  </si>
  <si>
    <t>01</t>
  </si>
  <si>
    <t>ロン</t>
  </si>
  <si>
    <t>放銃</t>
  </si>
  <si>
    <t>02</t>
  </si>
  <si>
    <t>たかの</t>
  </si>
  <si>
    <t>たかの</t>
    <phoneticPr fontId="1"/>
  </si>
  <si>
    <t>チョンボ</t>
  </si>
  <si>
    <t>りくと</t>
  </si>
  <si>
    <t>りくと</t>
    <phoneticPr fontId="1"/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</si>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</sst>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いっしー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141</v>
      </c>
      <c r="L4" s="9">
        <v>-10000</v>
      </c>
      <c r="M4" s="9"/>
      <c r="N4" s="55">
        <v>0</v>
      </c>
      <c r="O4" s="21">
        <f>IF(COUNTA($F4,$K4,$P4)&gt;0,O3+SUM(L4:N4),"")</f>
        <v>25000</v>
      </c>
      <c r="P4" s="8" t="s">
        <v>142</v>
      </c>
      <c r="Q4" s="9">
        <v>16000</v>
      </c>
      <c r="R4" s="9"/>
      <c r="S4" s="55">
        <v>0</v>
      </c>
      <c r="T4" s="21">
        <f>IF(COUNTA($F4,$K4,$P4)&gt;0,T3+SUM(Q4:S4),"")</f>
        <v>51000</v>
      </c>
      <c r="U4" s="60">
        <f t="shared" ref="U4:U30" si="0">IF($J4="","",ROUND(($J4-$J$3)/1000,1))</f>
        <v>-6</v>
      </c>
      <c r="V4" s="61">
        <f t="shared" ref="V4:V30" si="1">IF($O4="","",ROUND(($O4-$O$3)/1000,1))</f>
        <v>-10</v>
      </c>
      <c r="W4" s="62">
        <f t="shared" ref="W4:W30" si="2">IF($T4="","",ROUND(($T4-$T$3)/1000,1))</f>
        <v>16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10</v>
      </c>
      <c r="BT4" s="36" t="s">
        <v>143</v>
      </c>
      <c r="BU4" s="47" t="s">
        <v>144</v>
      </c>
      <c r="BV4" s="48" t="s">
        <v>83</v>
      </c>
      <c r="BW4" s="48" t="s">
        <v>82</v>
      </c>
      <c r="BX4" s="48" t="s">
        <v>82</v>
      </c>
      <c r="BY4" s="48" t="s">
        <v>80</v>
      </c>
      <c r="BZ4" s="48" t="s">
        <v>80</v>
      </c>
      <c r="CA4" s="48" t="s">
        <v>81</v>
      </c>
      <c r="CB4" s="48" t="s">
        <v>81</v>
      </c>
      <c r="CC4" s="48" t="s">
        <v>81</v>
      </c>
      <c r="CD4" s="48" t="s">
        <v>85</v>
      </c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145</v>
      </c>
      <c r="G5" s="9">
        <v>12000</v>
      </c>
      <c r="H5" s="9"/>
      <c r="I5" s="55">
        <v>0</v>
      </c>
      <c r="J5" s="21">
        <f t="shared" ref="J5:J30" si="6">IF(COUNTA($F5,$K5,$P5)&gt;0,J4+SUM(G5:I5),"")</f>
        <v>41000</v>
      </c>
      <c r="K5" s="8"/>
      <c r="L5" s="9"/>
      <c r="M5" s="9"/>
      <c r="N5" s="55"/>
      <c r="O5" s="21">
        <f t="shared" ref="O5:O30" si="7">IF(COUNTA($F5,$K5,$P5)&gt;0,O4+SUM(L5:N5),"")</f>
        <v>25000</v>
      </c>
      <c r="P5" s="8" t="s">
        <v>146</v>
      </c>
      <c r="Q5" s="9">
        <v>-12000</v>
      </c>
      <c r="R5" s="9"/>
      <c r="S5" s="55">
        <v>0</v>
      </c>
      <c r="T5" s="21">
        <f t="shared" ref="T5:T30" si="8">IF(COUNTA($F5,$K5,$P5)&gt;0,T4+SUM(Q5:S5),"")</f>
        <v>39000</v>
      </c>
      <c r="U5" s="60">
        <f t="shared" si="0"/>
        <v>6</v>
      </c>
      <c r="V5" s="61">
        <f t="shared" si="1"/>
        <v>-10</v>
      </c>
      <c r="W5" s="62">
        <f t="shared" si="2"/>
        <v>4</v>
      </c>
      <c r="Y5" s="8"/>
      <c r="Z5" s="41"/>
      <c r="AA5" s="32"/>
      <c r="AB5" s="32">
        <v>1</v>
      </c>
      <c r="AC5" s="32">
        <v>6</v>
      </c>
      <c r="AD5" s="36" t="s">
        <v>143</v>
      </c>
      <c r="AE5" s="47" t="s">
        <v>87</v>
      </c>
      <c r="AF5" s="48" t="s">
        <v>87</v>
      </c>
      <c r="AG5" s="48" t="s">
        <v>82</v>
      </c>
      <c r="AH5" s="48" t="s">
        <v>80</v>
      </c>
      <c r="AI5" s="48" t="s">
        <v>105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41000</v>
      </c>
      <c r="K6" s="8" t="s">
        <v>145</v>
      </c>
      <c r="L6" s="9">
        <v>12000</v>
      </c>
      <c r="M6" s="9"/>
      <c r="N6" s="55">
        <v>0</v>
      </c>
      <c r="O6" s="21">
        <f t="shared" si="7"/>
        <v>37000</v>
      </c>
      <c r="P6" s="8" t="s">
        <v>146</v>
      </c>
      <c r="Q6" s="9">
        <v>-12000</v>
      </c>
      <c r="R6" s="9"/>
      <c r="S6" s="55">
        <v>0</v>
      </c>
      <c r="T6" s="21">
        <f t="shared" si="8"/>
        <v>27000</v>
      </c>
      <c r="U6" s="60">
        <f t="shared" si="0"/>
        <v>6</v>
      </c>
      <c r="V6" s="61">
        <f t="shared" si="1"/>
        <v>2</v>
      </c>
      <c r="W6" s="62">
        <f t="shared" si="2"/>
        <v>-8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7</v>
      </c>
      <c r="AY6" s="36" t="s">
        <v>143</v>
      </c>
      <c r="AZ6" s="47" t="s">
        <v>82</v>
      </c>
      <c r="BA6" s="48" t="s">
        <v>82</v>
      </c>
      <c r="BB6" s="48" t="s">
        <v>80</v>
      </c>
      <c r="BC6" s="48" t="s">
        <v>80</v>
      </c>
      <c r="BD6" s="48" t="s">
        <v>87</v>
      </c>
      <c r="BE6" s="48" t="s">
        <v>105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9"/>
        <v>1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145</v>
      </c>
      <c r="G7" s="9">
        <v>3900</v>
      </c>
      <c r="H7" s="9"/>
      <c r="I7" s="55">
        <v>0</v>
      </c>
      <c r="J7" s="21">
        <f t="shared" si="6"/>
        <v>44900</v>
      </c>
      <c r="K7" s="8" t="s">
        <v>146</v>
      </c>
      <c r="L7" s="9">
        <v>-3900</v>
      </c>
      <c r="M7" s="9"/>
      <c r="N7" s="55">
        <v>0</v>
      </c>
      <c r="O7" s="21">
        <f t="shared" si="7"/>
        <v>33100</v>
      </c>
      <c r="P7" s="8"/>
      <c r="Q7" s="9"/>
      <c r="R7" s="9"/>
      <c r="S7" s="55"/>
      <c r="T7" s="21">
        <f t="shared" si="8"/>
        <v>27000</v>
      </c>
      <c r="U7" s="60">
        <f t="shared" si="0"/>
        <v>9.9</v>
      </c>
      <c r="V7" s="61">
        <f t="shared" si="1"/>
        <v>-1.9</v>
      </c>
      <c r="W7" s="62">
        <f t="shared" si="2"/>
        <v>-8</v>
      </c>
      <c r="Y7" s="8"/>
      <c r="Z7" s="41"/>
      <c r="AA7" s="32"/>
      <c r="AB7" s="32">
        <v>1</v>
      </c>
      <c r="AC7" s="32">
        <v>3</v>
      </c>
      <c r="AD7" s="36">
        <v>30</v>
      </c>
      <c r="AE7" s="47" t="s">
        <v>105</v>
      </c>
      <c r="AF7" s="48" t="s">
        <v>87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2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141</v>
      </c>
      <c r="G8" s="9">
        <v>-6000</v>
      </c>
      <c r="H8" s="9"/>
      <c r="I8" s="55">
        <v>0</v>
      </c>
      <c r="J8" s="21">
        <f t="shared" si="6"/>
        <v>38900</v>
      </c>
      <c r="K8" s="8" t="s">
        <v>141</v>
      </c>
      <c r="L8" s="9">
        <v>-6000</v>
      </c>
      <c r="M8" s="9"/>
      <c r="N8" s="55">
        <v>0</v>
      </c>
      <c r="O8" s="21">
        <f t="shared" si="7"/>
        <v>27100</v>
      </c>
      <c r="P8" s="8" t="s">
        <v>142</v>
      </c>
      <c r="Q8" s="9">
        <v>12000</v>
      </c>
      <c r="R8" s="9"/>
      <c r="S8" s="55">
        <v>0</v>
      </c>
      <c r="T8" s="21">
        <f t="shared" si="8"/>
        <v>39000</v>
      </c>
      <c r="U8" s="60">
        <f t="shared" si="0"/>
        <v>3.9</v>
      </c>
      <c r="V8" s="61">
        <f t="shared" si="1"/>
        <v>-7.9</v>
      </c>
      <c r="W8" s="62">
        <f t="shared" si="2"/>
        <v>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143</v>
      </c>
      <c r="BU8" s="47" t="s">
        <v>144</v>
      </c>
      <c r="BV8" s="48" t="s">
        <v>83</v>
      </c>
      <c r="BW8" s="48" t="s">
        <v>80</v>
      </c>
      <c r="BX8" s="48" t="s">
        <v>80</v>
      </c>
      <c r="BY8" s="48" t="s">
        <v>82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2</v>
      </c>
      <c r="C9" s="18">
        <f t="shared" si="11"/>
        <v>1</v>
      </c>
      <c r="D9" s="18">
        <f t="shared" si="5"/>
        <v>0</v>
      </c>
      <c r="E9" s="4" t="s">
        <v>139</v>
      </c>
      <c r="F9" s="8" t="s">
        <v>145</v>
      </c>
      <c r="G9" s="9">
        <v>3900</v>
      </c>
      <c r="H9" s="9">
        <v>1000</v>
      </c>
      <c r="I9" s="55">
        <v>1000</v>
      </c>
      <c r="J9" s="21">
        <f t="shared" si="6"/>
        <v>44800</v>
      </c>
      <c r="K9" s="8" t="s">
        <v>146</v>
      </c>
      <c r="L9" s="9">
        <v>-3900</v>
      </c>
      <c r="M9" s="9"/>
      <c r="N9" s="55">
        <v>-1000</v>
      </c>
      <c r="O9" s="21">
        <f t="shared" si="7"/>
        <v>22200</v>
      </c>
      <c r="P9" s="8"/>
      <c r="Q9" s="9"/>
      <c r="R9" s="9">
        <v>-1000</v>
      </c>
      <c r="S9" s="55"/>
      <c r="T9" s="21">
        <f t="shared" si="8"/>
        <v>38000</v>
      </c>
      <c r="U9" s="60">
        <f t="shared" si="0"/>
        <v>9.8000000000000007</v>
      </c>
      <c r="V9" s="61">
        <f t="shared" si="1"/>
        <v>-12.8</v>
      </c>
      <c r="W9" s="62">
        <f t="shared" si="2"/>
        <v>3</v>
      </c>
      <c r="Y9" s="8"/>
      <c r="Z9" s="41"/>
      <c r="AA9" s="32">
        <v>1</v>
      </c>
      <c r="AB9" s="32"/>
      <c r="AC9" s="32">
        <v>3</v>
      </c>
      <c r="AD9" s="36">
        <v>30</v>
      </c>
      <c r="AE9" s="47" t="s">
        <v>144</v>
      </c>
      <c r="AF9" s="48" t="s">
        <v>84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3</v>
      </c>
      <c r="C10" s="18">
        <f t="shared" si="11"/>
        <v>0</v>
      </c>
      <c r="D10" s="18">
        <f t="shared" si="5"/>
        <v>0</v>
      </c>
      <c r="E10" s="4" t="s">
        <v>135</v>
      </c>
      <c r="F10" s="8" t="s">
        <v>145</v>
      </c>
      <c r="G10" s="9">
        <v>5800</v>
      </c>
      <c r="H10" s="9"/>
      <c r="I10" s="55">
        <v>0</v>
      </c>
      <c r="J10" s="21">
        <f t="shared" si="6"/>
        <v>50600</v>
      </c>
      <c r="K10" s="8"/>
      <c r="L10" s="9"/>
      <c r="M10" s="9"/>
      <c r="N10" s="55"/>
      <c r="O10" s="21">
        <f t="shared" si="7"/>
        <v>22200</v>
      </c>
      <c r="P10" s="8" t="s">
        <v>146</v>
      </c>
      <c r="Q10" s="9">
        <v>-5800</v>
      </c>
      <c r="R10" s="9"/>
      <c r="S10" s="55">
        <v>0</v>
      </c>
      <c r="T10" s="21">
        <f t="shared" si="8"/>
        <v>32200</v>
      </c>
      <c r="U10" s="60">
        <f t="shared" si="0"/>
        <v>15.6</v>
      </c>
      <c r="V10" s="61">
        <f t="shared" si="1"/>
        <v>-12.8</v>
      </c>
      <c r="W10" s="62">
        <f t="shared" si="2"/>
        <v>-2.8</v>
      </c>
      <c r="Y10" s="8"/>
      <c r="Z10" s="41"/>
      <c r="AA10" s="32"/>
      <c r="AB10" s="32">
        <v>1</v>
      </c>
      <c r="AC10" s="32">
        <v>3</v>
      </c>
      <c r="AD10" s="36">
        <v>30</v>
      </c>
      <c r="AE10" s="47" t="s">
        <v>87</v>
      </c>
      <c r="AF10" s="48" t="s">
        <v>82</v>
      </c>
      <c r="AG10" s="48" t="s">
        <v>80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9D952-C98F-4C68-85D2-38D5ED8DDAF0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146</v>
      </c>
      <c r="G4" s="9">
        <v>-36000</v>
      </c>
      <c r="H4" s="9"/>
      <c r="I4" s="55">
        <v>0</v>
      </c>
      <c r="J4" s="21">
        <f>IF(COUNTA($F4,$K4,$P4)&gt;0,J3+SUM(G4:I4),"")</f>
        <v>-1000</v>
      </c>
      <c r="K4" s="8" t="s">
        <v>145</v>
      </c>
      <c r="L4" s="9">
        <v>36000</v>
      </c>
      <c r="M4" s="9"/>
      <c r="N4" s="55">
        <v>0</v>
      </c>
      <c r="O4" s="21">
        <f>IF(COUNTA($F4,$K4,$P4)&gt;0,O3+SUM(L4:N4),"")</f>
        <v>71000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-36</v>
      </c>
      <c r="V4" s="61">
        <f t="shared" ref="V4:V30" si="1">IF($O4="","",ROUND(($O4-$O$3)/1000,1))</f>
        <v>36</v>
      </c>
      <c r="W4" s="62">
        <f t="shared" ref="W4:W30" si="2">IF($T4="","",ROUND(($T4-$T$3)/1000,1))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11</v>
      </c>
      <c r="AY4" s="36" t="s">
        <v>143</v>
      </c>
      <c r="AZ4" s="47" t="s">
        <v>144</v>
      </c>
      <c r="BA4" s="48" t="s">
        <v>84</v>
      </c>
      <c r="BB4" s="48" t="s">
        <v>107</v>
      </c>
      <c r="BC4" s="48" t="s">
        <v>81</v>
      </c>
      <c r="BD4" s="48" t="s">
        <v>81</v>
      </c>
      <c r="BE4" s="48" t="s">
        <v>81</v>
      </c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 t="shared" ref="C5:C30" si="4">IF($E5="","",IF(F4="チョンボ",C4,IF($E4=$E5,C4+1,0)))</f>
        <v/>
      </c>
      <c r="D5" s="18" t="str">
        <f t="shared" ref="D5:D30" si="5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6">IF(COUNTA($F5,$K5,$P5)&gt;0,J4+SUM(G5:I5),"")</f>
        <v/>
      </c>
      <c r="K5" s="8"/>
      <c r="L5" s="9"/>
      <c r="M5" s="9"/>
      <c r="N5" s="55"/>
      <c r="O5" s="21" t="str">
        <f t="shared" ref="O5:O30" si="7">IF(COUNTA($F5,$K5,$P5)&gt;0,O4+SUM(L5:N5),"")</f>
        <v/>
      </c>
      <c r="P5" s="8"/>
      <c r="Q5" s="9"/>
      <c r="R5" s="9"/>
      <c r="S5" s="55"/>
      <c r="T5" s="21" t="str">
        <f t="shared" ref="T5:T30" si="8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9">IF($E6="","",IF($E5=$E6,B5,IF(B5=3,1,B5+1)))</f>
        <v/>
      </c>
      <c r="C6" s="18" t="str">
        <f t="shared" si="4"/>
        <v/>
      </c>
      <c r="D6" s="18" t="str">
        <f t="shared" si="5"/>
        <v/>
      </c>
      <c r="E6" s="4"/>
      <c r="F6" s="8"/>
      <c r="G6" s="9"/>
      <c r="H6" s="9"/>
      <c r="I6" s="55"/>
      <c r="J6" s="21" t="str">
        <f t="shared" si="6"/>
        <v/>
      </c>
      <c r="K6" s="8"/>
      <c r="L6" s="9"/>
      <c r="M6" s="9"/>
      <c r="N6" s="55"/>
      <c r="O6" s="21" t="str">
        <f t="shared" si="7"/>
        <v/>
      </c>
      <c r="P6" s="8"/>
      <c r="Q6" s="9"/>
      <c r="R6" s="9"/>
      <c r="S6" s="55"/>
      <c r="T6" s="21" t="str">
        <f t="shared" si="8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/>
      </c>
      <c r="B7" s="18" t="str">
        <f t="shared" si="9"/>
        <v/>
      </c>
      <c r="C7" s="18" t="str">
        <f t="shared" si="4"/>
        <v/>
      </c>
      <c r="D7" s="18" t="str">
        <f t="shared" si="5"/>
        <v/>
      </c>
      <c r="E7" s="4"/>
      <c r="F7" s="8"/>
      <c r="G7" s="9"/>
      <c r="H7" s="9"/>
      <c r="I7" s="55"/>
      <c r="J7" s="21" t="str">
        <f t="shared" si="6"/>
        <v/>
      </c>
      <c r="K7" s="8"/>
      <c r="L7" s="9"/>
      <c r="M7" s="9"/>
      <c r="N7" s="55"/>
      <c r="O7" s="21" t="str">
        <f t="shared" si="7"/>
        <v/>
      </c>
      <c r="P7" s="8"/>
      <c r="Q7" s="9"/>
      <c r="R7" s="9"/>
      <c r="S7" s="55"/>
      <c r="T7" s="21" t="str">
        <f t="shared" si="8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/>
      </c>
      <c r="B8" s="18" t="str">
        <f t="shared" si="9"/>
        <v/>
      </c>
      <c r="C8" s="18" t="str">
        <f t="shared" si="4"/>
        <v/>
      </c>
      <c r="D8" s="18" t="str">
        <f t="shared" si="5"/>
        <v/>
      </c>
      <c r="E8" s="4"/>
      <c r="F8" s="8"/>
      <c r="G8" s="9"/>
      <c r="H8" s="9"/>
      <c r="I8" s="55"/>
      <c r="J8" s="21" t="str">
        <f t="shared" si="6"/>
        <v/>
      </c>
      <c r="K8" s="8"/>
      <c r="L8" s="9"/>
      <c r="M8" s="9"/>
      <c r="N8" s="55"/>
      <c r="O8" s="21" t="str">
        <f t="shared" si="7"/>
        <v/>
      </c>
      <c r="P8" s="8"/>
      <c r="Q8" s="9"/>
      <c r="R8" s="9"/>
      <c r="S8" s="55"/>
      <c r="T8" s="21" t="str">
        <f t="shared" si="8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76B25D71-8BB2-4322-89DC-643EDA214413}">
      <formula1>$U$2:$W$2</formula1>
    </dataValidation>
    <dataValidation type="list" showInputMessage="1" showErrorMessage="1" sqref="K4:K30 P4:P30 F4:F30" xr:uid="{0B02516D-0A02-47D8-81CB-005C9329DFE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D325-1A91-4500-985B-B569F6DBE14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-800</v>
      </c>
      <c r="H4" s="9"/>
      <c r="I4" s="55">
        <v>0</v>
      </c>
      <c r="J4" s="21">
        <f>IF(COUNTA($F4,$K4,$P4)&gt;0,J3+SUM(G4:I4),"")</f>
        <v>34200</v>
      </c>
      <c r="K4" s="8" t="s">
        <v>141</v>
      </c>
      <c r="L4" s="9">
        <v>-1300</v>
      </c>
      <c r="M4" s="9"/>
      <c r="N4" s="55">
        <v>0</v>
      </c>
      <c r="O4" s="21">
        <f>IF(COUNTA($F4,$K4,$P4)&gt;0,O3+SUM(L4:N4),"")</f>
        <v>33700</v>
      </c>
      <c r="P4" s="8" t="s">
        <v>142</v>
      </c>
      <c r="Q4" s="9">
        <v>2100</v>
      </c>
      <c r="R4" s="9"/>
      <c r="S4" s="55">
        <v>0</v>
      </c>
      <c r="T4" s="21">
        <f>IF(COUNTA($F4,$K4,$P4)&gt;0,T3+SUM(Q4:S4),"")</f>
        <v>37100</v>
      </c>
      <c r="U4" s="60">
        <f t="shared" ref="U4:U30" si="0">IF($J4="","",ROUND(($J4-$J$3)/1000,1))</f>
        <v>-0.8</v>
      </c>
      <c r="V4" s="61">
        <f t="shared" ref="V4:V30" si="1">IF($O4="","",ROUND(($O4-$O$3)/1000,1))</f>
        <v>-1.3</v>
      </c>
      <c r="W4" s="62">
        <f t="shared" ref="W4:W30" si="2">IF($T4="","",ROUND(($T4-$T$3)/1000,1))</f>
        <v>2.1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2</v>
      </c>
      <c r="BT4" s="36">
        <v>30</v>
      </c>
      <c r="BU4" s="47" t="s">
        <v>83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-12000</v>
      </c>
      <c r="H5" s="9"/>
      <c r="I5" s="55">
        <v>0</v>
      </c>
      <c r="J5" s="21">
        <f t="shared" ref="J5:J30" si="6">IF(COUNTA($F5,$K5,$P5)&gt;0,J4+SUM(G5:I5),"")</f>
        <v>22200</v>
      </c>
      <c r="K5" s="8" t="s">
        <v>141</v>
      </c>
      <c r="L5" s="9">
        <v>-12000</v>
      </c>
      <c r="M5" s="9"/>
      <c r="N5" s="55">
        <v>0</v>
      </c>
      <c r="O5" s="21">
        <f t="shared" ref="O5:O30" si="7">IF(COUNTA($F5,$K5,$P5)&gt;0,O4+SUM(L5:N5),"")</f>
        <v>21700</v>
      </c>
      <c r="P5" s="8" t="s">
        <v>142</v>
      </c>
      <c r="Q5" s="9">
        <v>24000</v>
      </c>
      <c r="R5" s="9"/>
      <c r="S5" s="55">
        <v>0</v>
      </c>
      <c r="T5" s="21">
        <f t="shared" ref="T5:T30" si="8">IF(COUNTA($F5,$K5,$P5)&gt;0,T4+SUM(Q5:S5),"")</f>
        <v>61100</v>
      </c>
      <c r="U5" s="60">
        <f t="shared" si="0"/>
        <v>-12.8</v>
      </c>
      <c r="V5" s="61">
        <f t="shared" si="1"/>
        <v>-13.3</v>
      </c>
      <c r="W5" s="62">
        <f t="shared" si="2"/>
        <v>26.1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8</v>
      </c>
      <c r="BT5" s="36" t="s">
        <v>143</v>
      </c>
      <c r="BU5" s="47" t="s">
        <v>144</v>
      </c>
      <c r="BV5" s="48" t="s">
        <v>83</v>
      </c>
      <c r="BW5" s="48" t="s">
        <v>80</v>
      </c>
      <c r="BX5" s="48" t="s">
        <v>80</v>
      </c>
      <c r="BY5" s="48" t="s">
        <v>80</v>
      </c>
      <c r="BZ5" s="48" t="s">
        <v>82</v>
      </c>
      <c r="CA5" s="48" t="s">
        <v>82</v>
      </c>
      <c r="CB5" s="48" t="s">
        <v>82</v>
      </c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139</v>
      </c>
      <c r="F6" s="8" t="s">
        <v>141</v>
      </c>
      <c r="G6" s="9">
        <v>-800</v>
      </c>
      <c r="H6" s="9"/>
      <c r="I6" s="55">
        <v>-500</v>
      </c>
      <c r="J6" s="21">
        <f t="shared" si="6"/>
        <v>20900</v>
      </c>
      <c r="K6" s="8" t="s">
        <v>141</v>
      </c>
      <c r="L6" s="9">
        <v>-800</v>
      </c>
      <c r="M6" s="9"/>
      <c r="N6" s="55">
        <v>-500</v>
      </c>
      <c r="O6" s="21">
        <f t="shared" si="7"/>
        <v>20400</v>
      </c>
      <c r="P6" s="8" t="s">
        <v>142</v>
      </c>
      <c r="Q6" s="9">
        <v>1600</v>
      </c>
      <c r="R6" s="9"/>
      <c r="S6" s="55">
        <v>1000</v>
      </c>
      <c r="T6" s="21">
        <f t="shared" si="8"/>
        <v>63700</v>
      </c>
      <c r="U6" s="60">
        <f t="shared" si="0"/>
        <v>-14.1</v>
      </c>
      <c r="V6" s="61">
        <f t="shared" si="1"/>
        <v>-14.6</v>
      </c>
      <c r="W6" s="62">
        <f t="shared" si="2"/>
        <v>28.7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1</v>
      </c>
      <c r="BT6" s="36">
        <v>30</v>
      </c>
      <c r="BU6" s="47" t="s">
        <v>83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2</v>
      </c>
      <c r="D7" s="18">
        <f t="shared" si="5"/>
        <v>0</v>
      </c>
      <c r="E7" s="4" t="s">
        <v>139</v>
      </c>
      <c r="F7" s="8" t="s">
        <v>141</v>
      </c>
      <c r="G7" s="9">
        <v>-3000</v>
      </c>
      <c r="H7" s="9"/>
      <c r="I7" s="55">
        <v>-1000</v>
      </c>
      <c r="J7" s="21">
        <f t="shared" si="6"/>
        <v>16900</v>
      </c>
      <c r="K7" s="8" t="s">
        <v>141</v>
      </c>
      <c r="L7" s="9">
        <v>-3000</v>
      </c>
      <c r="M7" s="9"/>
      <c r="N7" s="55">
        <v>-1000</v>
      </c>
      <c r="O7" s="21">
        <f t="shared" si="7"/>
        <v>16400</v>
      </c>
      <c r="P7" s="8" t="s">
        <v>142</v>
      </c>
      <c r="Q7" s="9">
        <v>6000</v>
      </c>
      <c r="R7" s="9"/>
      <c r="S7" s="55">
        <v>2000</v>
      </c>
      <c r="T7" s="21">
        <f t="shared" si="8"/>
        <v>71700</v>
      </c>
      <c r="U7" s="60">
        <f t="shared" si="0"/>
        <v>-18.100000000000001</v>
      </c>
      <c r="V7" s="61">
        <f t="shared" si="1"/>
        <v>-18.600000000000001</v>
      </c>
      <c r="W7" s="62">
        <f t="shared" si="2"/>
        <v>36.700000000000003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3</v>
      </c>
      <c r="BT7" s="36">
        <v>30</v>
      </c>
      <c r="BU7" s="47" t="s">
        <v>87</v>
      </c>
      <c r="BV7" s="48" t="s">
        <v>87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3</v>
      </c>
      <c r="D8" s="18">
        <f t="shared" si="5"/>
        <v>0</v>
      </c>
      <c r="E8" s="4" t="s">
        <v>139</v>
      </c>
      <c r="F8" s="8" t="s">
        <v>142</v>
      </c>
      <c r="G8" s="9">
        <v>8000</v>
      </c>
      <c r="H8" s="9"/>
      <c r="I8" s="55">
        <v>3000</v>
      </c>
      <c r="J8" s="21">
        <f t="shared" si="6"/>
        <v>27900</v>
      </c>
      <c r="K8" s="8" t="s">
        <v>141</v>
      </c>
      <c r="L8" s="9">
        <v>-3000</v>
      </c>
      <c r="M8" s="9"/>
      <c r="N8" s="55">
        <v>-1500</v>
      </c>
      <c r="O8" s="21">
        <f t="shared" si="7"/>
        <v>11900</v>
      </c>
      <c r="P8" s="8" t="s">
        <v>141</v>
      </c>
      <c r="Q8" s="9">
        <v>-5000</v>
      </c>
      <c r="R8" s="9"/>
      <c r="S8" s="55">
        <v>-1500</v>
      </c>
      <c r="T8" s="21">
        <f t="shared" si="8"/>
        <v>65200</v>
      </c>
      <c r="U8" s="60">
        <f t="shared" si="0"/>
        <v>-7.1</v>
      </c>
      <c r="V8" s="61">
        <f t="shared" si="1"/>
        <v>-23.1</v>
      </c>
      <c r="W8" s="62">
        <f t="shared" si="2"/>
        <v>30.2</v>
      </c>
      <c r="Y8" s="8"/>
      <c r="Z8" s="41"/>
      <c r="AA8" s="32">
        <v>1</v>
      </c>
      <c r="AB8" s="32"/>
      <c r="AC8" s="32">
        <v>4</v>
      </c>
      <c r="AD8" s="36">
        <v>30</v>
      </c>
      <c r="AE8" s="47" t="s">
        <v>144</v>
      </c>
      <c r="AF8" s="48" t="s">
        <v>83</v>
      </c>
      <c r="AG8" s="48" t="s">
        <v>147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135</v>
      </c>
      <c r="F9" s="8" t="s">
        <v>142</v>
      </c>
      <c r="G9" s="9">
        <v>3000</v>
      </c>
      <c r="H9" s="9">
        <v>1000</v>
      </c>
      <c r="I9" s="55">
        <v>0</v>
      </c>
      <c r="J9" s="21">
        <f t="shared" si="6"/>
        <v>31900</v>
      </c>
      <c r="K9" s="8" t="s">
        <v>141</v>
      </c>
      <c r="L9" s="9">
        <v>-1500</v>
      </c>
      <c r="M9" s="9">
        <v>-1000</v>
      </c>
      <c r="N9" s="55">
        <v>0</v>
      </c>
      <c r="O9" s="21">
        <f t="shared" si="7"/>
        <v>9400</v>
      </c>
      <c r="P9" s="8" t="s">
        <v>141</v>
      </c>
      <c r="Q9" s="9">
        <v>-1500</v>
      </c>
      <c r="R9" s="9"/>
      <c r="S9" s="55">
        <v>0</v>
      </c>
      <c r="T9" s="21">
        <f t="shared" si="8"/>
        <v>63700</v>
      </c>
      <c r="U9" s="60">
        <f t="shared" si="0"/>
        <v>-3.1</v>
      </c>
      <c r="V9" s="61">
        <f t="shared" si="1"/>
        <v>-25.6</v>
      </c>
      <c r="W9" s="62">
        <f t="shared" si="2"/>
        <v>28.7</v>
      </c>
      <c r="Y9" s="8"/>
      <c r="Z9" s="41"/>
      <c r="AA9" s="32"/>
      <c r="AB9" s="32">
        <v>1</v>
      </c>
      <c r="AC9" s="32">
        <v>2</v>
      </c>
      <c r="AD9" s="36">
        <v>30</v>
      </c>
      <c r="AE9" s="47" t="s">
        <v>87</v>
      </c>
      <c r="AF9" s="48" t="s">
        <v>82</v>
      </c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135</v>
      </c>
      <c r="F10" s="8"/>
      <c r="G10" s="9"/>
      <c r="H10" s="9"/>
      <c r="I10" s="55"/>
      <c r="J10" s="21">
        <f t="shared" si="6"/>
        <v>31900</v>
      </c>
      <c r="K10" s="8" t="s">
        <v>145</v>
      </c>
      <c r="L10" s="9">
        <v>2000</v>
      </c>
      <c r="M10" s="9">
        <v>1000</v>
      </c>
      <c r="N10" s="55">
        <v>1000</v>
      </c>
      <c r="O10" s="21">
        <f t="shared" si="7"/>
        <v>13400</v>
      </c>
      <c r="P10" s="8" t="s">
        <v>146</v>
      </c>
      <c r="Q10" s="9">
        <v>-2000</v>
      </c>
      <c r="R10" s="9">
        <v>-1000</v>
      </c>
      <c r="S10" s="55">
        <v>-1000</v>
      </c>
      <c r="T10" s="21">
        <f t="shared" si="8"/>
        <v>59700</v>
      </c>
      <c r="U10" s="60">
        <f t="shared" si="0"/>
        <v>-3.1</v>
      </c>
      <c r="V10" s="61">
        <f t="shared" si="1"/>
        <v>-21.6</v>
      </c>
      <c r="W10" s="62">
        <f t="shared" si="2"/>
        <v>24.7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137</v>
      </c>
      <c r="F11" s="8" t="s">
        <v>141</v>
      </c>
      <c r="G11" s="9">
        <v>-1500</v>
      </c>
      <c r="H11" s="9"/>
      <c r="I11" s="55">
        <v>0</v>
      </c>
      <c r="J11" s="21">
        <f t="shared" si="6"/>
        <v>30400</v>
      </c>
      <c r="K11" s="8" t="s">
        <v>141</v>
      </c>
      <c r="L11" s="9">
        <v>-2500</v>
      </c>
      <c r="M11" s="9">
        <v>-1000</v>
      </c>
      <c r="N11" s="55">
        <v>0</v>
      </c>
      <c r="O11" s="21">
        <f t="shared" si="7"/>
        <v>9900</v>
      </c>
      <c r="P11" s="8" t="s">
        <v>142</v>
      </c>
      <c r="Q11" s="9">
        <v>4000</v>
      </c>
      <c r="R11" s="9">
        <v>1000</v>
      </c>
      <c r="S11" s="55">
        <v>0</v>
      </c>
      <c r="T11" s="21">
        <f t="shared" si="8"/>
        <v>64700</v>
      </c>
      <c r="U11" s="60">
        <f t="shared" si="0"/>
        <v>-4.5999999999999996</v>
      </c>
      <c r="V11" s="61">
        <f t="shared" si="1"/>
        <v>-25.1</v>
      </c>
      <c r="W11" s="62">
        <f t="shared" si="2"/>
        <v>29.7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3</v>
      </c>
      <c r="BT11" s="36">
        <v>30</v>
      </c>
      <c r="BU11" s="47" t="s">
        <v>83</v>
      </c>
      <c r="BV11" s="48" t="s">
        <v>86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139</v>
      </c>
      <c r="F12" s="8" t="s">
        <v>141</v>
      </c>
      <c r="G12" s="9">
        <v>-24000</v>
      </c>
      <c r="H12" s="9">
        <v>-1000</v>
      </c>
      <c r="I12" s="55">
        <v>0</v>
      </c>
      <c r="J12" s="21">
        <f t="shared" si="6"/>
        <v>5400</v>
      </c>
      <c r="K12" s="8" t="s">
        <v>141</v>
      </c>
      <c r="L12" s="9">
        <v>-24000</v>
      </c>
      <c r="M12" s="9"/>
      <c r="N12" s="55">
        <v>0</v>
      </c>
      <c r="O12" s="21">
        <f t="shared" si="7"/>
        <v>-14100</v>
      </c>
      <c r="P12" s="8" t="s">
        <v>142</v>
      </c>
      <c r="Q12" s="9">
        <v>48000</v>
      </c>
      <c r="R12" s="9">
        <v>1000</v>
      </c>
      <c r="S12" s="55">
        <v>0</v>
      </c>
      <c r="T12" s="21">
        <f t="shared" si="8"/>
        <v>113700</v>
      </c>
      <c r="U12" s="60">
        <f t="shared" si="0"/>
        <v>-29.6</v>
      </c>
      <c r="V12" s="61">
        <f t="shared" si="1"/>
        <v>-49.1</v>
      </c>
      <c r="W12" s="62">
        <f t="shared" si="2"/>
        <v>78.7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13</v>
      </c>
      <c r="BT12" s="36" t="s">
        <v>143</v>
      </c>
      <c r="BU12" s="47" t="s">
        <v>109</v>
      </c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C120E59-976C-4D66-89FB-4E4AB26FC05C}">
      <formula1>"ロン,ツモ,放銃,ツモ支払,流局,チョンボ"</formula1>
    </dataValidation>
    <dataValidation type="list" allowBlank="1" showInputMessage="1" showErrorMessage="1" sqref="E4:E30" xr:uid="{AEE93A94-B24E-4FB7-BBE5-82B9E5A47F4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4F826-3A84-41EC-A44D-ED59249D278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149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145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 t="s">
        <v>146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3.9</v>
      </c>
      <c r="V4" s="61">
        <f t="shared" ref="V4:V30" si="1">IF($O4="","",ROUND(($O4-$O$3)/1000,1))</f>
        <v>-3.9</v>
      </c>
      <c r="W4" s="62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3</v>
      </c>
      <c r="AD4" s="36">
        <v>30</v>
      </c>
      <c r="AE4" s="47" t="s">
        <v>87</v>
      </c>
      <c r="AF4" s="48" t="s">
        <v>80</v>
      </c>
      <c r="AG4" s="48" t="s">
        <v>80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148</v>
      </c>
      <c r="F5" s="8" t="s">
        <v>141</v>
      </c>
      <c r="G5" s="9">
        <v>-1500</v>
      </c>
      <c r="H5" s="9">
        <v>-1000</v>
      </c>
      <c r="I5" s="55">
        <v>0</v>
      </c>
      <c r="J5" s="21">
        <f t="shared" ref="J5:J30" si="6">IF(COUNTA($F5,$K5,$P5)&gt;0,J4+SUM(G5:I5),"")</f>
        <v>36400</v>
      </c>
      <c r="K5" s="8" t="s">
        <v>141</v>
      </c>
      <c r="L5" s="9">
        <v>-1500</v>
      </c>
      <c r="M5" s="9">
        <v>-1000</v>
      </c>
      <c r="N5" s="55">
        <v>0</v>
      </c>
      <c r="O5" s="21">
        <f t="shared" ref="O5:O30" si="7">IF(COUNTA($F5,$K5,$P5)&gt;0,O4+SUM(L5:N5),"")</f>
        <v>28600</v>
      </c>
      <c r="P5" s="8" t="s">
        <v>142</v>
      </c>
      <c r="Q5" s="9">
        <v>3000</v>
      </c>
      <c r="R5" s="9">
        <v>2000</v>
      </c>
      <c r="S5" s="55">
        <v>0</v>
      </c>
      <c r="T5" s="21">
        <f t="shared" ref="T5:T30" si="8">IF(COUNTA($F5,$K5,$P5)&gt;0,T4+SUM(Q5:S5),"")</f>
        <v>40000</v>
      </c>
      <c r="U5" s="60">
        <f t="shared" si="0"/>
        <v>1.4</v>
      </c>
      <c r="V5" s="61">
        <f t="shared" si="1"/>
        <v>-6.4</v>
      </c>
      <c r="W5" s="62">
        <f t="shared" si="2"/>
        <v>5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2</v>
      </c>
      <c r="BT5" s="36">
        <v>30</v>
      </c>
      <c r="BU5" s="47" t="s">
        <v>87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148</v>
      </c>
      <c r="F6" s="8" t="s">
        <v>142</v>
      </c>
      <c r="G6" s="9">
        <v>4000</v>
      </c>
      <c r="H6" s="9">
        <v>1000</v>
      </c>
      <c r="I6" s="55">
        <v>1000</v>
      </c>
      <c r="J6" s="21">
        <f t="shared" si="6"/>
        <v>42400</v>
      </c>
      <c r="K6" s="8" t="s">
        <v>141</v>
      </c>
      <c r="L6" s="9">
        <v>-1500</v>
      </c>
      <c r="M6" s="9"/>
      <c r="N6" s="55">
        <v>-500</v>
      </c>
      <c r="O6" s="21">
        <f t="shared" si="7"/>
        <v>26600</v>
      </c>
      <c r="P6" s="8" t="s">
        <v>141</v>
      </c>
      <c r="Q6" s="9">
        <v>-2500</v>
      </c>
      <c r="R6" s="9">
        <v>-1000</v>
      </c>
      <c r="S6" s="55">
        <v>-500</v>
      </c>
      <c r="T6" s="21">
        <f t="shared" si="8"/>
        <v>36000</v>
      </c>
      <c r="U6" s="60">
        <f t="shared" si="0"/>
        <v>7.4</v>
      </c>
      <c r="V6" s="61">
        <f t="shared" si="1"/>
        <v>-8.4</v>
      </c>
      <c r="W6" s="62">
        <f t="shared" si="2"/>
        <v>1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105</v>
      </c>
      <c r="AF6" s="48" t="s">
        <v>87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145</v>
      </c>
      <c r="G7" s="9">
        <v>12000</v>
      </c>
      <c r="H7" s="9"/>
      <c r="I7" s="55">
        <v>0</v>
      </c>
      <c r="J7" s="21">
        <f t="shared" si="6"/>
        <v>54400</v>
      </c>
      <c r="K7" s="8" t="s">
        <v>146</v>
      </c>
      <c r="L7" s="9">
        <v>-12000</v>
      </c>
      <c r="M7" s="9"/>
      <c r="N7" s="55">
        <v>0</v>
      </c>
      <c r="O7" s="21">
        <f t="shared" si="7"/>
        <v>14600</v>
      </c>
      <c r="P7" s="8"/>
      <c r="Q7" s="9"/>
      <c r="R7" s="9"/>
      <c r="S7" s="55"/>
      <c r="T7" s="21">
        <f t="shared" si="8"/>
        <v>36000</v>
      </c>
      <c r="U7" s="60">
        <f t="shared" si="0"/>
        <v>19.399999999999999</v>
      </c>
      <c r="V7" s="61">
        <f t="shared" si="1"/>
        <v>-20.399999999999999</v>
      </c>
      <c r="W7" s="62">
        <f t="shared" si="2"/>
        <v>1</v>
      </c>
      <c r="Y7" s="8"/>
      <c r="Z7" s="41"/>
      <c r="AA7" s="32">
        <v>1</v>
      </c>
      <c r="AB7" s="32"/>
      <c r="AC7" s="32">
        <v>4</v>
      </c>
      <c r="AD7" s="36">
        <v>30</v>
      </c>
      <c r="AE7" s="47" t="s">
        <v>144</v>
      </c>
      <c r="AF7" s="48" t="s">
        <v>147</v>
      </c>
      <c r="AG7" s="48" t="s">
        <v>84</v>
      </c>
      <c r="AH7" s="48" t="s">
        <v>80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0</v>
      </c>
      <c r="E8" s="4" t="s">
        <v>135</v>
      </c>
      <c r="F8" s="8"/>
      <c r="G8" s="9"/>
      <c r="H8" s="9"/>
      <c r="I8" s="55"/>
      <c r="J8" s="21">
        <f t="shared" si="6"/>
        <v>54400</v>
      </c>
      <c r="K8" s="8" t="s">
        <v>145</v>
      </c>
      <c r="L8" s="9">
        <v>3200</v>
      </c>
      <c r="M8" s="9">
        <v>1000</v>
      </c>
      <c r="N8" s="55">
        <v>1000</v>
      </c>
      <c r="O8" s="21">
        <f t="shared" si="7"/>
        <v>19800</v>
      </c>
      <c r="P8" s="8" t="s">
        <v>146</v>
      </c>
      <c r="Q8" s="9">
        <v>-3200</v>
      </c>
      <c r="R8" s="9">
        <v>-1000</v>
      </c>
      <c r="S8" s="55">
        <v>-1000</v>
      </c>
      <c r="T8" s="21">
        <f t="shared" si="8"/>
        <v>30800</v>
      </c>
      <c r="U8" s="60">
        <f t="shared" si="0"/>
        <v>19.399999999999999</v>
      </c>
      <c r="V8" s="61">
        <f t="shared" si="1"/>
        <v>-15.2</v>
      </c>
      <c r="W8" s="62">
        <f t="shared" si="2"/>
        <v>-4.2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3</v>
      </c>
      <c r="AY8" s="36">
        <v>25</v>
      </c>
      <c r="AZ8" s="47" t="s">
        <v>144</v>
      </c>
      <c r="BA8" s="48" t="s">
        <v>102</v>
      </c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137</v>
      </c>
      <c r="F9" s="8" t="s">
        <v>150</v>
      </c>
      <c r="G9" s="9">
        <v>3000</v>
      </c>
      <c r="H9" s="9"/>
      <c r="I9" s="55"/>
      <c r="J9" s="21">
        <f t="shared" si="6"/>
        <v>57400</v>
      </c>
      <c r="K9" s="8" t="s">
        <v>150</v>
      </c>
      <c r="L9" s="9">
        <v>5000</v>
      </c>
      <c r="M9" s="9"/>
      <c r="N9" s="55"/>
      <c r="O9" s="21">
        <f t="shared" si="7"/>
        <v>24800</v>
      </c>
      <c r="P9" s="8" t="s">
        <v>150</v>
      </c>
      <c r="Q9" s="9">
        <v>-8000</v>
      </c>
      <c r="R9" s="9"/>
      <c r="S9" s="55"/>
      <c r="T9" s="21">
        <f t="shared" si="8"/>
        <v>22800</v>
      </c>
      <c r="U9" s="60">
        <f t="shared" si="0"/>
        <v>22.4</v>
      </c>
      <c r="V9" s="61">
        <f t="shared" si="1"/>
        <v>-10.199999999999999</v>
      </c>
      <c r="W9" s="62">
        <f t="shared" si="2"/>
        <v>-12.2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>
        <v>1</v>
      </c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146</v>
      </c>
      <c r="G10" s="9">
        <v>-5800</v>
      </c>
      <c r="H10" s="9"/>
      <c r="I10" s="55">
        <v>0</v>
      </c>
      <c r="J10" s="21">
        <f t="shared" si="6"/>
        <v>51600</v>
      </c>
      <c r="K10" s="8" t="s">
        <v>145</v>
      </c>
      <c r="L10" s="9">
        <v>5800</v>
      </c>
      <c r="M10" s="9"/>
      <c r="N10" s="55">
        <v>0</v>
      </c>
      <c r="O10" s="21">
        <f t="shared" si="7"/>
        <v>30600</v>
      </c>
      <c r="P10" s="8"/>
      <c r="Q10" s="9"/>
      <c r="R10" s="9"/>
      <c r="S10" s="55"/>
      <c r="T10" s="21">
        <f t="shared" si="8"/>
        <v>22800</v>
      </c>
      <c r="U10" s="60">
        <f t="shared" si="0"/>
        <v>16.600000000000001</v>
      </c>
      <c r="V10" s="61">
        <f t="shared" si="1"/>
        <v>-4.4000000000000004</v>
      </c>
      <c r="W10" s="62">
        <f t="shared" si="2"/>
        <v>-12.2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144</v>
      </c>
      <c r="BA10" s="48" t="s">
        <v>84</v>
      </c>
      <c r="BB10" s="48" t="s">
        <v>81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1</v>
      </c>
      <c r="D11" s="18">
        <f t="shared" si="5"/>
        <v>0</v>
      </c>
      <c r="E11" s="4" t="s">
        <v>137</v>
      </c>
      <c r="F11" s="8" t="s">
        <v>146</v>
      </c>
      <c r="G11" s="9">
        <v>-8000</v>
      </c>
      <c r="H11" s="9">
        <v>-1000</v>
      </c>
      <c r="I11" s="55">
        <v>-1000</v>
      </c>
      <c r="J11" s="21">
        <f t="shared" si="6"/>
        <v>41600</v>
      </c>
      <c r="K11" s="8"/>
      <c r="L11" s="9"/>
      <c r="M11" s="9">
        <v>-1000</v>
      </c>
      <c r="N11" s="55"/>
      <c r="O11" s="21">
        <f t="shared" si="7"/>
        <v>29600</v>
      </c>
      <c r="P11" s="8" t="s">
        <v>145</v>
      </c>
      <c r="Q11" s="9">
        <v>8000</v>
      </c>
      <c r="R11" s="9">
        <v>2000</v>
      </c>
      <c r="S11" s="55">
        <v>1000</v>
      </c>
      <c r="T11" s="21">
        <f t="shared" si="8"/>
        <v>33800</v>
      </c>
      <c r="U11" s="60">
        <f t="shared" si="0"/>
        <v>6.6</v>
      </c>
      <c r="V11" s="61">
        <f t="shared" si="1"/>
        <v>-5.4</v>
      </c>
      <c r="W11" s="62">
        <f t="shared" si="2"/>
        <v>-1.2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5</v>
      </c>
      <c r="BT11" s="36" t="s">
        <v>143</v>
      </c>
      <c r="BU11" s="47" t="s">
        <v>144</v>
      </c>
      <c r="BV11" s="48" t="s">
        <v>85</v>
      </c>
      <c r="BW11" s="48" t="s">
        <v>80</v>
      </c>
      <c r="BX11" s="48" t="s">
        <v>80</v>
      </c>
      <c r="BY11" s="48" t="s">
        <v>82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148</v>
      </c>
      <c r="F12" s="8" t="s">
        <v>145</v>
      </c>
      <c r="G12" s="9">
        <v>5200</v>
      </c>
      <c r="H12" s="9"/>
      <c r="I12" s="55">
        <v>0</v>
      </c>
      <c r="J12" s="21">
        <f t="shared" si="6"/>
        <v>46800</v>
      </c>
      <c r="K12" s="8" t="s">
        <v>146</v>
      </c>
      <c r="L12" s="9">
        <v>-5200</v>
      </c>
      <c r="M12" s="9"/>
      <c r="N12" s="55">
        <v>0</v>
      </c>
      <c r="O12" s="21">
        <f t="shared" si="7"/>
        <v>24400</v>
      </c>
      <c r="P12" s="8"/>
      <c r="Q12" s="9"/>
      <c r="R12" s="9"/>
      <c r="S12" s="55"/>
      <c r="T12" s="21">
        <f t="shared" si="8"/>
        <v>33800</v>
      </c>
      <c r="U12" s="60">
        <f t="shared" si="0"/>
        <v>11.8</v>
      </c>
      <c r="V12" s="61">
        <f t="shared" si="1"/>
        <v>-10.6</v>
      </c>
      <c r="W12" s="62">
        <f t="shared" si="2"/>
        <v>-1.2</v>
      </c>
      <c r="Y12" s="8"/>
      <c r="Z12" s="41"/>
      <c r="AA12" s="32">
        <v>1</v>
      </c>
      <c r="AB12" s="32"/>
      <c r="AC12" s="32">
        <v>3</v>
      </c>
      <c r="AD12" s="36">
        <v>40</v>
      </c>
      <c r="AE12" s="47" t="s">
        <v>144</v>
      </c>
      <c r="AF12" s="48" t="s">
        <v>82</v>
      </c>
      <c r="AG12" s="48" t="s">
        <v>80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135</v>
      </c>
      <c r="F13" s="8" t="s">
        <v>141</v>
      </c>
      <c r="G13" s="9">
        <v>-5000</v>
      </c>
      <c r="H13" s="9"/>
      <c r="I13" s="55">
        <v>0</v>
      </c>
      <c r="J13" s="21">
        <f t="shared" si="6"/>
        <v>41800</v>
      </c>
      <c r="K13" s="8" t="s">
        <v>142</v>
      </c>
      <c r="L13" s="9">
        <v>8000</v>
      </c>
      <c r="M13" s="9"/>
      <c r="N13" s="55">
        <v>0</v>
      </c>
      <c r="O13" s="21">
        <f t="shared" si="7"/>
        <v>32400</v>
      </c>
      <c r="P13" s="8" t="s">
        <v>141</v>
      </c>
      <c r="Q13" s="9">
        <v>-3000</v>
      </c>
      <c r="R13" s="9"/>
      <c r="S13" s="55">
        <v>0</v>
      </c>
      <c r="T13" s="21">
        <f t="shared" si="8"/>
        <v>30800</v>
      </c>
      <c r="U13" s="60">
        <f t="shared" si="0"/>
        <v>6.8</v>
      </c>
      <c r="V13" s="61">
        <f t="shared" si="1"/>
        <v>-2.6</v>
      </c>
      <c r="W13" s="62">
        <f t="shared" si="2"/>
        <v>-4.2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>
        <v>1</v>
      </c>
      <c r="AW13" s="32"/>
      <c r="AX13" s="32">
        <v>5</v>
      </c>
      <c r="AY13" s="36" t="s">
        <v>143</v>
      </c>
      <c r="AZ13" s="47" t="s">
        <v>144</v>
      </c>
      <c r="BA13" s="48" t="s">
        <v>82</v>
      </c>
      <c r="BB13" s="48" t="s">
        <v>82</v>
      </c>
      <c r="BC13" s="48" t="s">
        <v>80</v>
      </c>
      <c r="BD13" s="48" t="s">
        <v>83</v>
      </c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554D3B3C-7F6A-4152-9E80-53E8FE32AFAE}">
      <formula1>$U$2:$W$2</formula1>
    </dataValidation>
    <dataValidation type="list" showInputMessage="1" showErrorMessage="1" sqref="K4:K30 P4:P30 F4:F30" xr:uid="{CAFA4B70-963A-4B24-9672-93B930E6102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33AAC-EEB9-46CA-A1A2-70BB44C70FD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-1500</v>
      </c>
      <c r="H4" s="9"/>
      <c r="I4" s="55">
        <v>0</v>
      </c>
      <c r="J4" s="21">
        <f>IF(COUNTA($F4,$K4,$P4)&gt;0,J3+SUM(G4:I4),"")</f>
        <v>33500</v>
      </c>
      <c r="K4" s="8" t="s">
        <v>142</v>
      </c>
      <c r="L4" s="9">
        <v>4000</v>
      </c>
      <c r="M4" s="9"/>
      <c r="N4" s="55">
        <v>0</v>
      </c>
      <c r="O4" s="21">
        <f>IF(COUNTA($F4,$K4,$P4)&gt;0,O3+SUM(L4:N4),"")</f>
        <v>39000</v>
      </c>
      <c r="P4" s="8" t="s">
        <v>141</v>
      </c>
      <c r="Q4" s="9">
        <v>-2500</v>
      </c>
      <c r="R4" s="9"/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-1.5</v>
      </c>
      <c r="V4" s="61">
        <f t="shared" ref="V4:V30" si="1">IF($O4="","",ROUND(($O4-$O$3)/1000,1))</f>
        <v>4</v>
      </c>
      <c r="W4" s="62">
        <f t="shared" ref="W4:W30" si="2">IF($T4="","",ROUND(($T4-$T$3)/1000,1))</f>
        <v>-2.5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87</v>
      </c>
      <c r="BA4" s="48" t="s">
        <v>105</v>
      </c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135</v>
      </c>
      <c r="F5" s="8"/>
      <c r="G5" s="9"/>
      <c r="H5" s="9"/>
      <c r="I5" s="55"/>
      <c r="J5" s="21">
        <f t="shared" ref="J5:J30" si="6">IF(COUNTA($F5,$K5,$P5)&gt;0,J4+SUM(G5:I5),"")</f>
        <v>33500</v>
      </c>
      <c r="K5" s="8" t="s">
        <v>146</v>
      </c>
      <c r="L5" s="9">
        <v>-16000</v>
      </c>
      <c r="M5" s="9"/>
      <c r="N5" s="55">
        <v>0</v>
      </c>
      <c r="O5" s="21">
        <f t="shared" ref="O5:O30" si="7">IF(COUNTA($F5,$K5,$P5)&gt;0,O4+SUM(L5:N5),"")</f>
        <v>23000</v>
      </c>
      <c r="P5" s="8" t="s">
        <v>145</v>
      </c>
      <c r="Q5" s="9">
        <v>16000</v>
      </c>
      <c r="R5" s="9"/>
      <c r="S5" s="55">
        <v>0</v>
      </c>
      <c r="T5" s="21">
        <f t="shared" ref="T5:T30" si="8">IF(COUNTA($F5,$K5,$P5)&gt;0,T4+SUM(Q5:S5),"")</f>
        <v>48500</v>
      </c>
      <c r="U5" s="60">
        <f t="shared" si="0"/>
        <v>-1.5</v>
      </c>
      <c r="V5" s="61">
        <f t="shared" si="1"/>
        <v>-12</v>
      </c>
      <c r="W5" s="62">
        <f t="shared" si="2"/>
        <v>13.5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8</v>
      </c>
      <c r="BT5" s="36" t="s">
        <v>143</v>
      </c>
      <c r="BU5" s="47" t="s">
        <v>102</v>
      </c>
      <c r="BV5" s="48" t="s">
        <v>82</v>
      </c>
      <c r="BW5" s="48" t="s">
        <v>82</v>
      </c>
      <c r="BX5" s="48" t="s">
        <v>80</v>
      </c>
      <c r="BY5" s="48" t="s">
        <v>80</v>
      </c>
      <c r="BZ5" s="48" t="s">
        <v>80</v>
      </c>
      <c r="CA5" s="48" t="s">
        <v>80</v>
      </c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151</v>
      </c>
      <c r="F6" s="8"/>
      <c r="G6" s="9"/>
      <c r="H6" s="9"/>
      <c r="I6" s="55"/>
      <c r="J6" s="21">
        <f t="shared" si="6"/>
        <v>33500</v>
      </c>
      <c r="K6" s="8" t="s">
        <v>145</v>
      </c>
      <c r="L6" s="9">
        <v>18000</v>
      </c>
      <c r="M6" s="9">
        <v>1000</v>
      </c>
      <c r="N6" s="55">
        <v>0</v>
      </c>
      <c r="O6" s="21">
        <f t="shared" si="7"/>
        <v>42000</v>
      </c>
      <c r="P6" s="8" t="s">
        <v>146</v>
      </c>
      <c r="Q6" s="9">
        <v>-18000</v>
      </c>
      <c r="R6" s="9">
        <v>-1000</v>
      </c>
      <c r="S6" s="55">
        <v>0</v>
      </c>
      <c r="T6" s="21">
        <f t="shared" si="8"/>
        <v>29500</v>
      </c>
      <c r="U6" s="60">
        <f t="shared" si="0"/>
        <v>-1.5</v>
      </c>
      <c r="V6" s="61">
        <f t="shared" si="1"/>
        <v>7</v>
      </c>
      <c r="W6" s="62">
        <f t="shared" si="2"/>
        <v>-5.5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143</v>
      </c>
      <c r="AZ6" s="47" t="s">
        <v>144</v>
      </c>
      <c r="BA6" s="48" t="s">
        <v>147</v>
      </c>
      <c r="BB6" s="48" t="s">
        <v>82</v>
      </c>
      <c r="BC6" s="48" t="s">
        <v>82</v>
      </c>
      <c r="BD6" s="48" t="s">
        <v>102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151</v>
      </c>
      <c r="F7" s="8" t="s">
        <v>145</v>
      </c>
      <c r="G7" s="9">
        <v>8000</v>
      </c>
      <c r="H7" s="9"/>
      <c r="I7" s="55">
        <v>1000</v>
      </c>
      <c r="J7" s="21">
        <f t="shared" si="6"/>
        <v>42500</v>
      </c>
      <c r="K7" s="8"/>
      <c r="L7" s="9"/>
      <c r="M7" s="9"/>
      <c r="N7" s="55"/>
      <c r="O7" s="21">
        <f t="shared" si="7"/>
        <v>42000</v>
      </c>
      <c r="P7" s="8" t="s">
        <v>146</v>
      </c>
      <c r="Q7" s="9">
        <v>-8000</v>
      </c>
      <c r="R7" s="9"/>
      <c r="S7" s="55">
        <v>-1000</v>
      </c>
      <c r="T7" s="21">
        <f t="shared" si="8"/>
        <v>20500</v>
      </c>
      <c r="U7" s="60">
        <f t="shared" si="0"/>
        <v>7.5</v>
      </c>
      <c r="V7" s="61">
        <f t="shared" si="1"/>
        <v>7</v>
      </c>
      <c r="W7" s="62">
        <f t="shared" si="2"/>
        <v>-14.5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87</v>
      </c>
      <c r="AF7" s="48" t="s">
        <v>82</v>
      </c>
      <c r="AG7" s="48" t="s">
        <v>82</v>
      </c>
      <c r="AH7" s="48" t="s">
        <v>82</v>
      </c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141</v>
      </c>
      <c r="G8" s="9">
        <v>-12000</v>
      </c>
      <c r="H8" s="9"/>
      <c r="I8" s="55">
        <v>0</v>
      </c>
      <c r="J8" s="21">
        <f t="shared" si="6"/>
        <v>30500</v>
      </c>
      <c r="K8" s="8" t="s">
        <v>141</v>
      </c>
      <c r="L8" s="9">
        <v>-12000</v>
      </c>
      <c r="M8" s="9"/>
      <c r="N8" s="55">
        <v>0</v>
      </c>
      <c r="O8" s="21">
        <f t="shared" si="7"/>
        <v>30000</v>
      </c>
      <c r="P8" s="8" t="s">
        <v>142</v>
      </c>
      <c r="Q8" s="9">
        <v>24000</v>
      </c>
      <c r="R8" s="9"/>
      <c r="S8" s="55">
        <v>0</v>
      </c>
      <c r="T8" s="21">
        <f t="shared" si="8"/>
        <v>44500</v>
      </c>
      <c r="U8" s="60">
        <f t="shared" si="0"/>
        <v>-4.5</v>
      </c>
      <c r="V8" s="61">
        <f t="shared" si="1"/>
        <v>-5</v>
      </c>
      <c r="W8" s="62">
        <f t="shared" si="2"/>
        <v>9.5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9</v>
      </c>
      <c r="BT8" s="36" t="s">
        <v>143</v>
      </c>
      <c r="BU8" s="47" t="s">
        <v>144</v>
      </c>
      <c r="BV8" s="48" t="s">
        <v>83</v>
      </c>
      <c r="BW8" s="48" t="s">
        <v>82</v>
      </c>
      <c r="BX8" s="48" t="s">
        <v>82</v>
      </c>
      <c r="BY8" s="48" t="s">
        <v>80</v>
      </c>
      <c r="BZ8" s="48" t="s">
        <v>80</v>
      </c>
      <c r="CA8" s="48" t="s">
        <v>81</v>
      </c>
      <c r="CB8" s="48" t="s">
        <v>81</v>
      </c>
      <c r="CC8" s="48" t="s">
        <v>81</v>
      </c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146</v>
      </c>
      <c r="G9" s="9">
        <v>-12000</v>
      </c>
      <c r="H9" s="9"/>
      <c r="I9" s="55">
        <v>-1000</v>
      </c>
      <c r="J9" s="21">
        <f t="shared" si="6"/>
        <v>17500</v>
      </c>
      <c r="K9" s="8" t="s">
        <v>145</v>
      </c>
      <c r="L9" s="9">
        <v>12000</v>
      </c>
      <c r="M9" s="9"/>
      <c r="N9" s="55">
        <v>1000</v>
      </c>
      <c r="O9" s="21">
        <f t="shared" si="7"/>
        <v>43000</v>
      </c>
      <c r="P9" s="8"/>
      <c r="Q9" s="9"/>
      <c r="R9" s="9"/>
      <c r="S9" s="55"/>
      <c r="T9" s="21">
        <f t="shared" si="8"/>
        <v>44500</v>
      </c>
      <c r="U9" s="60">
        <f t="shared" si="0"/>
        <v>-17.5</v>
      </c>
      <c r="V9" s="61">
        <f t="shared" si="1"/>
        <v>8</v>
      </c>
      <c r="W9" s="62">
        <f t="shared" si="2"/>
        <v>9.5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6</v>
      </c>
      <c r="AY9" s="36" t="s">
        <v>143</v>
      </c>
      <c r="AZ9" s="47" t="s">
        <v>144</v>
      </c>
      <c r="BA9" s="48" t="s">
        <v>147</v>
      </c>
      <c r="BB9" s="48" t="s">
        <v>80</v>
      </c>
      <c r="BC9" s="48" t="s">
        <v>80</v>
      </c>
      <c r="BD9" s="48" t="s">
        <v>80</v>
      </c>
      <c r="BE9" s="48" t="s">
        <v>82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145</v>
      </c>
      <c r="G10" s="9">
        <v>12000</v>
      </c>
      <c r="H10" s="9"/>
      <c r="I10" s="55">
        <v>0</v>
      </c>
      <c r="J10" s="21">
        <f t="shared" si="6"/>
        <v>29500</v>
      </c>
      <c r="K10" s="8" t="s">
        <v>146</v>
      </c>
      <c r="L10" s="9">
        <v>-12000</v>
      </c>
      <c r="M10" s="9"/>
      <c r="N10" s="55">
        <v>0</v>
      </c>
      <c r="O10" s="21">
        <f t="shared" si="7"/>
        <v>31000</v>
      </c>
      <c r="P10" s="8"/>
      <c r="Q10" s="9"/>
      <c r="R10" s="9"/>
      <c r="S10" s="55"/>
      <c r="T10" s="21">
        <f t="shared" si="8"/>
        <v>44500</v>
      </c>
      <c r="U10" s="60">
        <f t="shared" si="0"/>
        <v>-5.5</v>
      </c>
      <c r="V10" s="61">
        <f t="shared" si="1"/>
        <v>-4</v>
      </c>
      <c r="W10" s="62">
        <f t="shared" si="2"/>
        <v>9.5</v>
      </c>
      <c r="Y10" s="8"/>
      <c r="Z10" s="41"/>
      <c r="AA10" s="32">
        <v>1</v>
      </c>
      <c r="AB10" s="32"/>
      <c r="AC10" s="32">
        <v>5</v>
      </c>
      <c r="AD10" s="36" t="s">
        <v>143</v>
      </c>
      <c r="AE10" s="47" t="s">
        <v>144</v>
      </c>
      <c r="AF10" s="48" t="s">
        <v>147</v>
      </c>
      <c r="AG10" s="48" t="s">
        <v>85</v>
      </c>
      <c r="AH10" s="48" t="s">
        <v>84</v>
      </c>
      <c r="AI10" s="48" t="s">
        <v>81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141</v>
      </c>
      <c r="G11" s="9">
        <v>-5000</v>
      </c>
      <c r="H11" s="9"/>
      <c r="I11" s="55">
        <v>-500</v>
      </c>
      <c r="J11" s="21">
        <f t="shared" si="6"/>
        <v>24000</v>
      </c>
      <c r="K11" s="8" t="s">
        <v>141</v>
      </c>
      <c r="L11" s="9">
        <v>-3000</v>
      </c>
      <c r="M11" s="9"/>
      <c r="N11" s="55">
        <v>-500</v>
      </c>
      <c r="O11" s="21">
        <f t="shared" si="7"/>
        <v>27500</v>
      </c>
      <c r="P11" s="8" t="s">
        <v>142</v>
      </c>
      <c r="Q11" s="9">
        <v>8000</v>
      </c>
      <c r="R11" s="9"/>
      <c r="S11" s="55">
        <v>1000</v>
      </c>
      <c r="T11" s="21">
        <f t="shared" si="8"/>
        <v>53500</v>
      </c>
      <c r="U11" s="60">
        <f t="shared" si="0"/>
        <v>-11</v>
      </c>
      <c r="V11" s="61">
        <f t="shared" si="1"/>
        <v>-7.5</v>
      </c>
      <c r="W11" s="62">
        <f t="shared" si="2"/>
        <v>18.5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5</v>
      </c>
      <c r="BT11" s="36" t="s">
        <v>143</v>
      </c>
      <c r="BU11" s="47" t="s">
        <v>144</v>
      </c>
      <c r="BV11" s="48" t="s">
        <v>83</v>
      </c>
      <c r="BW11" s="48" t="s">
        <v>84</v>
      </c>
      <c r="BX11" s="48" t="s">
        <v>82</v>
      </c>
      <c r="BY11" s="48" t="s">
        <v>81</v>
      </c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0</v>
      </c>
      <c r="D12" s="18">
        <f t="shared" si="5"/>
        <v>0</v>
      </c>
      <c r="E12" s="4" t="s">
        <v>151</v>
      </c>
      <c r="F12" s="8" t="s">
        <v>141</v>
      </c>
      <c r="G12" s="9">
        <v>-3000</v>
      </c>
      <c r="H12" s="9"/>
      <c r="I12" s="55">
        <v>0</v>
      </c>
      <c r="J12" s="21">
        <f t="shared" si="6"/>
        <v>21000</v>
      </c>
      <c r="K12" s="8" t="s">
        <v>141</v>
      </c>
      <c r="L12" s="9">
        <v>-5000</v>
      </c>
      <c r="M12" s="9"/>
      <c r="N12" s="55">
        <v>0</v>
      </c>
      <c r="O12" s="21">
        <f t="shared" si="7"/>
        <v>22500</v>
      </c>
      <c r="P12" s="8" t="s">
        <v>142</v>
      </c>
      <c r="Q12" s="9">
        <v>8000</v>
      </c>
      <c r="R12" s="9"/>
      <c r="S12" s="55">
        <v>0</v>
      </c>
      <c r="T12" s="21">
        <f t="shared" si="8"/>
        <v>61500</v>
      </c>
      <c r="U12" s="60">
        <f t="shared" si="0"/>
        <v>-14</v>
      </c>
      <c r="V12" s="61">
        <f t="shared" si="1"/>
        <v>-12.5</v>
      </c>
      <c r="W12" s="62">
        <f t="shared" si="2"/>
        <v>26.5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4</v>
      </c>
      <c r="BT12" s="36">
        <v>30</v>
      </c>
      <c r="BU12" s="47" t="s">
        <v>105</v>
      </c>
      <c r="BV12" s="48" t="s">
        <v>87</v>
      </c>
      <c r="BW12" s="48" t="s">
        <v>80</v>
      </c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FE4BF274-2FD3-4A1E-86AC-0B32C965A116}">
      <formula1>"ロン,ツモ,放銃,ツモ支払,流局,チョンボ"</formula1>
    </dataValidation>
    <dataValidation type="list" allowBlank="1" showInputMessage="1" showErrorMessage="1" sqref="E4:E30" xr:uid="{8F04DA7D-1EE9-4B24-896E-6A54417F21B3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549DD-21F1-4BC9-97A8-667E990F004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155</v>
      </c>
      <c r="G4" s="9">
        <v>-3000</v>
      </c>
      <c r="H4" s="9"/>
      <c r="I4" s="55"/>
      <c r="J4" s="21">
        <f>IF(COUNTA($F4,$K4,$P4)&gt;0,J3+SUM(G4:I4),"")</f>
        <v>32000</v>
      </c>
      <c r="K4" s="8" t="s">
        <v>155</v>
      </c>
      <c r="L4" s="9">
        <v>1500</v>
      </c>
      <c r="M4" s="9"/>
      <c r="N4" s="55"/>
      <c r="O4" s="21">
        <f>IF(COUNTA($F4,$K4,$P4)&gt;0,O3+SUM(L4:N4),"")</f>
        <v>36500</v>
      </c>
      <c r="P4" s="8" t="s">
        <v>155</v>
      </c>
      <c r="Q4" s="9">
        <v>1500</v>
      </c>
      <c r="R4" s="9"/>
      <c r="S4" s="55"/>
      <c r="T4" s="21">
        <f>IF(COUNTA($F4,$K4,$P4)&gt;0,T3+SUM(Q4:S4),"")</f>
        <v>36500</v>
      </c>
      <c r="U4" s="60">
        <f t="shared" ref="U4:U30" si="0">IF($J4="","",ROUND(($J4-$J$3)/1000,1))</f>
        <v>-3</v>
      </c>
      <c r="V4" s="61">
        <f t="shared" ref="V4:V30" si="1">IF($O4="","",ROUND(($O4-$O$3)/1000,1))</f>
        <v>1.5</v>
      </c>
      <c r="W4" s="62">
        <f t="shared" ref="W4:W30" si="2">IF($T4="","",ROUND(($T4-$T$3)/1000,1))</f>
        <v>1.5</v>
      </c>
      <c r="Y4" s="8" t="s">
        <v>153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154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154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141</v>
      </c>
      <c r="G5" s="9">
        <v>-9000</v>
      </c>
      <c r="H5" s="9"/>
      <c r="I5" s="55">
        <v>-500</v>
      </c>
      <c r="J5" s="21">
        <f t="shared" ref="J5:J30" si="6">IF(COUNTA($F5,$K5,$P5)&gt;0,J4+SUM(G5:I5),"")</f>
        <v>22500</v>
      </c>
      <c r="K5" s="8" t="s">
        <v>142</v>
      </c>
      <c r="L5" s="9">
        <v>24000</v>
      </c>
      <c r="M5" s="9"/>
      <c r="N5" s="55">
        <v>1000</v>
      </c>
      <c r="O5" s="21">
        <f t="shared" ref="O5:O30" si="7">IF(COUNTA($F5,$K5,$P5)&gt;0,O4+SUM(L5:N5),"")</f>
        <v>61500</v>
      </c>
      <c r="P5" s="8" t="s">
        <v>141</v>
      </c>
      <c r="Q5" s="9">
        <v>-15000</v>
      </c>
      <c r="R5" s="9"/>
      <c r="S5" s="55">
        <v>-500</v>
      </c>
      <c r="T5" s="21">
        <f t="shared" ref="T5:T30" si="8">IF(COUNTA($F5,$K5,$P5)&gt;0,T4+SUM(Q5:S5),"")</f>
        <v>21000</v>
      </c>
      <c r="U5" s="60">
        <f t="shared" si="0"/>
        <v>-12.5</v>
      </c>
      <c r="V5" s="61">
        <f t="shared" si="1"/>
        <v>26.5</v>
      </c>
      <c r="W5" s="62">
        <f t="shared" si="2"/>
        <v>-14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11</v>
      </c>
      <c r="AY5" s="36" t="s">
        <v>143</v>
      </c>
      <c r="AZ5" s="47" t="s">
        <v>144</v>
      </c>
      <c r="BA5" s="48" t="s">
        <v>147</v>
      </c>
      <c r="BB5" s="48" t="s">
        <v>83</v>
      </c>
      <c r="BC5" s="48" t="s">
        <v>81</v>
      </c>
      <c r="BD5" s="48" t="s">
        <v>81</v>
      </c>
      <c r="BE5" s="48" t="s">
        <v>107</v>
      </c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142</v>
      </c>
      <c r="G6" s="9">
        <v>12000</v>
      </c>
      <c r="H6" s="9">
        <v>1000</v>
      </c>
      <c r="I6" s="55">
        <v>0</v>
      </c>
      <c r="J6" s="21">
        <f t="shared" si="6"/>
        <v>35500</v>
      </c>
      <c r="K6" s="8" t="s">
        <v>141</v>
      </c>
      <c r="L6" s="9">
        <v>-6000</v>
      </c>
      <c r="M6" s="9">
        <v>-1000</v>
      </c>
      <c r="N6" s="55">
        <v>0</v>
      </c>
      <c r="O6" s="21">
        <f t="shared" si="7"/>
        <v>54500</v>
      </c>
      <c r="P6" s="8" t="s">
        <v>141</v>
      </c>
      <c r="Q6" s="9">
        <v>-6000</v>
      </c>
      <c r="R6" s="9"/>
      <c r="S6" s="55">
        <v>0</v>
      </c>
      <c r="T6" s="21">
        <f t="shared" si="8"/>
        <v>15000</v>
      </c>
      <c r="U6" s="60">
        <f t="shared" si="0"/>
        <v>0.5</v>
      </c>
      <c r="V6" s="61">
        <f t="shared" si="1"/>
        <v>19.5</v>
      </c>
      <c r="W6" s="62">
        <f t="shared" si="2"/>
        <v>-20</v>
      </c>
      <c r="Y6" s="8"/>
      <c r="Z6" s="41"/>
      <c r="AA6" s="32">
        <v>1</v>
      </c>
      <c r="AB6" s="32"/>
      <c r="AC6" s="32">
        <v>4</v>
      </c>
      <c r="AD6" s="36">
        <v>30</v>
      </c>
      <c r="AE6" s="47" t="s">
        <v>144</v>
      </c>
      <c r="AF6" s="48" t="s">
        <v>83</v>
      </c>
      <c r="AG6" s="48" t="s">
        <v>87</v>
      </c>
      <c r="AH6" s="48" t="s">
        <v>80</v>
      </c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135</v>
      </c>
      <c r="F7" s="8" t="s">
        <v>141</v>
      </c>
      <c r="G7" s="9">
        <v>-10000</v>
      </c>
      <c r="H7" s="9"/>
      <c r="I7" s="55">
        <v>-500</v>
      </c>
      <c r="J7" s="21">
        <f t="shared" si="6"/>
        <v>25000</v>
      </c>
      <c r="K7" s="8" t="s">
        <v>142</v>
      </c>
      <c r="L7" s="9">
        <v>16000</v>
      </c>
      <c r="M7" s="9"/>
      <c r="N7" s="55">
        <v>1000</v>
      </c>
      <c r="O7" s="21">
        <f t="shared" si="7"/>
        <v>71500</v>
      </c>
      <c r="P7" s="8" t="s">
        <v>141</v>
      </c>
      <c r="Q7" s="9">
        <v>-6000</v>
      </c>
      <c r="R7" s="9"/>
      <c r="S7" s="55">
        <v>-500</v>
      </c>
      <c r="T7" s="21">
        <f t="shared" si="8"/>
        <v>8500</v>
      </c>
      <c r="U7" s="60">
        <f t="shared" si="0"/>
        <v>-10</v>
      </c>
      <c r="V7" s="61">
        <f t="shared" si="1"/>
        <v>36.5</v>
      </c>
      <c r="W7" s="62">
        <f t="shared" si="2"/>
        <v>-26.5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143</v>
      </c>
      <c r="AZ7" s="47" t="s">
        <v>144</v>
      </c>
      <c r="BA7" s="48" t="s">
        <v>83</v>
      </c>
      <c r="BB7" s="48" t="s">
        <v>147</v>
      </c>
      <c r="BC7" s="48" t="s">
        <v>105</v>
      </c>
      <c r="BD7" s="48" t="s">
        <v>87</v>
      </c>
      <c r="BE7" s="48" t="s">
        <v>82</v>
      </c>
      <c r="BF7" s="48" t="s">
        <v>81</v>
      </c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0</v>
      </c>
      <c r="D8" s="18">
        <f t="shared" si="5"/>
        <v>0</v>
      </c>
      <c r="E8" s="4" t="s">
        <v>151</v>
      </c>
      <c r="F8" s="8"/>
      <c r="G8" s="9"/>
      <c r="H8" s="9"/>
      <c r="I8" s="55"/>
      <c r="J8" s="21">
        <f t="shared" si="6"/>
        <v>25000</v>
      </c>
      <c r="K8" s="8" t="s">
        <v>145</v>
      </c>
      <c r="L8" s="9">
        <v>24000</v>
      </c>
      <c r="M8" s="9"/>
      <c r="N8" s="55">
        <v>0</v>
      </c>
      <c r="O8" s="21">
        <f t="shared" si="7"/>
        <v>95500</v>
      </c>
      <c r="P8" s="8" t="s">
        <v>146</v>
      </c>
      <c r="Q8" s="9">
        <v>-24000</v>
      </c>
      <c r="R8" s="9"/>
      <c r="S8" s="55">
        <v>0</v>
      </c>
      <c r="T8" s="21">
        <f t="shared" si="8"/>
        <v>-15500</v>
      </c>
      <c r="U8" s="60">
        <f t="shared" si="0"/>
        <v>-10</v>
      </c>
      <c r="V8" s="61">
        <f t="shared" si="1"/>
        <v>60.5</v>
      </c>
      <c r="W8" s="62">
        <f t="shared" si="2"/>
        <v>-50.5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8</v>
      </c>
      <c r="AY8" s="36" t="s">
        <v>143</v>
      </c>
      <c r="AZ8" s="47" t="s">
        <v>99</v>
      </c>
      <c r="BA8" s="48" t="s">
        <v>105</v>
      </c>
      <c r="BB8" s="48" t="s">
        <v>87</v>
      </c>
      <c r="BC8" s="48" t="s">
        <v>87</v>
      </c>
      <c r="BD8" s="48" t="s">
        <v>87</v>
      </c>
      <c r="BE8" s="48" t="s">
        <v>87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/>
      </c>
      <c r="B9" s="18" t="str">
        <f t="shared" si="9"/>
        <v/>
      </c>
      <c r="C9" s="18" t="str">
        <f t="shared" si="4"/>
        <v/>
      </c>
      <c r="D9" s="18" t="str">
        <f t="shared" si="5"/>
        <v/>
      </c>
      <c r="E9" s="4"/>
      <c r="F9" s="8"/>
      <c r="G9" s="9"/>
      <c r="H9" s="9"/>
      <c r="I9" s="55"/>
      <c r="J9" s="21" t="str">
        <f t="shared" si="6"/>
        <v/>
      </c>
      <c r="K9" s="8"/>
      <c r="L9" s="9"/>
      <c r="M9" s="9"/>
      <c r="N9" s="55"/>
      <c r="O9" s="21" t="str">
        <f t="shared" si="7"/>
        <v/>
      </c>
      <c r="P9" s="8"/>
      <c r="Q9" s="9"/>
      <c r="R9" s="9"/>
      <c r="S9" s="55"/>
      <c r="T9" s="21" t="str">
        <f t="shared" si="8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/>
      </c>
      <c r="B10" s="18" t="str">
        <f t="shared" si="9"/>
        <v/>
      </c>
      <c r="C10" s="18" t="str">
        <f t="shared" si="4"/>
        <v/>
      </c>
      <c r="D10" s="18" t="str">
        <f t="shared" si="5"/>
        <v/>
      </c>
      <c r="E10" s="4"/>
      <c r="F10" s="8"/>
      <c r="G10" s="9"/>
      <c r="H10" s="9"/>
      <c r="I10" s="55"/>
      <c r="J10" s="21" t="str">
        <f t="shared" si="6"/>
        <v/>
      </c>
      <c r="K10" s="8"/>
      <c r="L10" s="9"/>
      <c r="M10" s="9"/>
      <c r="N10" s="55"/>
      <c r="O10" s="21" t="str">
        <f t="shared" si="7"/>
        <v/>
      </c>
      <c r="P10" s="8"/>
      <c r="Q10" s="9"/>
      <c r="R10" s="9"/>
      <c r="S10" s="55"/>
      <c r="T10" s="21" t="str">
        <f t="shared" si="8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0B339E82-B150-4578-B338-28FA1189F73D}">
      <formula1>$U$2:$W$2</formula1>
    </dataValidation>
    <dataValidation type="list" showInputMessage="1" showErrorMessage="1" sqref="K4:K30 P4:P30 F4:F30" xr:uid="{90BE84B0-5686-4220-A189-AA03B356D09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E5F5-1A64-4E5F-B04E-4C4B4ADD300A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152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いっしー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りくと</v>
      </c>
      <c r="W2" s="16" t="str">
        <f>$P$1</f>
        <v>いっしー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151</v>
      </c>
      <c r="F4" s="8" t="s">
        <v>146</v>
      </c>
      <c r="G4" s="9">
        <v>-1000</v>
      </c>
      <c r="H4" s="9"/>
      <c r="I4" s="55">
        <v>0</v>
      </c>
      <c r="J4" s="21">
        <f>IF(COUNTA($F4,$K4,$P4)&gt;0,J3+SUM(G4:I4),"")</f>
        <v>34000</v>
      </c>
      <c r="K4" s="8"/>
      <c r="L4" s="9"/>
      <c r="M4" s="9"/>
      <c r="N4" s="55"/>
      <c r="O4" s="21">
        <f>IF(COUNTA($F4,$K4,$P4)&gt;0,O3+SUM(L4:N4),"")</f>
        <v>35000</v>
      </c>
      <c r="P4" s="8" t="s">
        <v>145</v>
      </c>
      <c r="Q4" s="9">
        <v>1000</v>
      </c>
      <c r="R4" s="9"/>
      <c r="S4" s="55">
        <v>0</v>
      </c>
      <c r="T4" s="21">
        <f>IF(COUNTA($F4,$K4,$P4)&gt;0,T3+SUM(Q4:S4),"")</f>
        <v>36000</v>
      </c>
      <c r="U4" s="60">
        <f t="shared" ref="U4:U30" si="0">IF($J4="","",ROUND(($J4-$J$3)/1000,1))</f>
        <v>-1</v>
      </c>
      <c r="V4" s="61">
        <f t="shared" ref="V4:V30" si="1">IF($O4="","",ROUND(($O4-$O$3)/1000,1))</f>
        <v>0</v>
      </c>
      <c r="W4" s="62">
        <f t="shared" ref="W4:W30" si="2">IF($T4="","",ROUND(($T4-$T$3)/1000,1))</f>
        <v>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1</v>
      </c>
      <c r="BT4" s="36">
        <v>30</v>
      </c>
      <c r="BU4" s="47" t="s">
        <v>87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16000</v>
      </c>
      <c r="H5" s="9">
        <v>1000</v>
      </c>
      <c r="I5" s="55">
        <v>0</v>
      </c>
      <c r="J5" s="21">
        <f t="shared" ref="J5:J30" si="6">IF(COUNTA($F5,$K5,$P5)&gt;0,J4+SUM(G5:I5),"")</f>
        <v>51000</v>
      </c>
      <c r="K5" s="8" t="s">
        <v>141</v>
      </c>
      <c r="L5" s="9">
        <v>-6000</v>
      </c>
      <c r="M5" s="9">
        <v>-1000</v>
      </c>
      <c r="N5" s="55">
        <v>0</v>
      </c>
      <c r="O5" s="21">
        <f t="shared" ref="O5:O30" si="7">IF(COUNTA($F5,$K5,$P5)&gt;0,O4+SUM(L5:N5),"")</f>
        <v>28000</v>
      </c>
      <c r="P5" s="8" t="s">
        <v>141</v>
      </c>
      <c r="Q5" s="9">
        <v>-10000</v>
      </c>
      <c r="R5" s="9"/>
      <c r="S5" s="55">
        <v>0</v>
      </c>
      <c r="T5" s="21">
        <f t="shared" ref="T5:T30" si="8">IF(COUNTA($F5,$K5,$P5)&gt;0,T4+SUM(Q5:S5),"")</f>
        <v>26000</v>
      </c>
      <c r="U5" s="60">
        <f t="shared" si="0"/>
        <v>16</v>
      </c>
      <c r="V5" s="61">
        <f t="shared" si="1"/>
        <v>-7</v>
      </c>
      <c r="W5" s="62">
        <f t="shared" si="2"/>
        <v>-9</v>
      </c>
      <c r="Y5" s="8"/>
      <c r="Z5" s="41"/>
      <c r="AA5" s="32">
        <v>1</v>
      </c>
      <c r="AB5" s="32"/>
      <c r="AC5" s="32">
        <v>8</v>
      </c>
      <c r="AD5" s="36" t="s">
        <v>143</v>
      </c>
      <c r="AE5" s="47" t="s">
        <v>144</v>
      </c>
      <c r="AF5" s="48" t="s">
        <v>83</v>
      </c>
      <c r="AG5" s="48" t="s">
        <v>147</v>
      </c>
      <c r="AH5" s="48" t="s">
        <v>97</v>
      </c>
      <c r="AI5" s="48" t="s">
        <v>87</v>
      </c>
      <c r="AJ5" s="48" t="s">
        <v>82</v>
      </c>
      <c r="AK5" s="48" t="s">
        <v>80</v>
      </c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142</v>
      </c>
      <c r="G6" s="9">
        <v>18000</v>
      </c>
      <c r="H6" s="9"/>
      <c r="I6" s="55">
        <v>0</v>
      </c>
      <c r="J6" s="21">
        <f t="shared" si="6"/>
        <v>69000</v>
      </c>
      <c r="K6" s="8" t="s">
        <v>141</v>
      </c>
      <c r="L6" s="9">
        <v>-9000</v>
      </c>
      <c r="M6" s="9"/>
      <c r="N6" s="55">
        <v>0</v>
      </c>
      <c r="O6" s="21">
        <f t="shared" si="7"/>
        <v>19000</v>
      </c>
      <c r="P6" s="8" t="s">
        <v>141</v>
      </c>
      <c r="Q6" s="9">
        <v>-9000</v>
      </c>
      <c r="R6" s="9"/>
      <c r="S6" s="55">
        <v>0</v>
      </c>
      <c r="T6" s="21">
        <f t="shared" si="8"/>
        <v>17000</v>
      </c>
      <c r="U6" s="60">
        <f t="shared" si="0"/>
        <v>34</v>
      </c>
      <c r="V6" s="61">
        <f t="shared" si="1"/>
        <v>-16</v>
      </c>
      <c r="W6" s="62">
        <f t="shared" si="2"/>
        <v>-18</v>
      </c>
      <c r="Y6" s="8"/>
      <c r="Z6" s="41"/>
      <c r="AA6" s="32"/>
      <c r="AB6" s="32"/>
      <c r="AC6" s="32">
        <v>7</v>
      </c>
      <c r="AD6" s="36" t="s">
        <v>143</v>
      </c>
      <c r="AE6" s="47" t="s">
        <v>83</v>
      </c>
      <c r="AF6" s="48" t="s">
        <v>97</v>
      </c>
      <c r="AG6" s="48" t="s">
        <v>87</v>
      </c>
      <c r="AH6" s="48" t="s">
        <v>87</v>
      </c>
      <c r="AI6" s="48" t="s">
        <v>80</v>
      </c>
      <c r="AJ6" s="48" t="s">
        <v>80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135</v>
      </c>
      <c r="F7" s="8" t="s">
        <v>155</v>
      </c>
      <c r="G7" s="9">
        <v>1500</v>
      </c>
      <c r="H7" s="9">
        <v>-1000</v>
      </c>
      <c r="I7" s="55"/>
      <c r="J7" s="21">
        <f t="shared" si="6"/>
        <v>69500</v>
      </c>
      <c r="K7" s="8" t="s">
        <v>155</v>
      </c>
      <c r="L7" s="9">
        <v>1500</v>
      </c>
      <c r="M7" s="9">
        <v>-1000</v>
      </c>
      <c r="N7" s="55"/>
      <c r="O7" s="21">
        <f t="shared" si="7"/>
        <v>19500</v>
      </c>
      <c r="P7" s="8" t="s">
        <v>155</v>
      </c>
      <c r="Q7" s="9">
        <v>-3000</v>
      </c>
      <c r="R7" s="9"/>
      <c r="S7" s="55"/>
      <c r="T7" s="21">
        <f t="shared" si="8"/>
        <v>14000</v>
      </c>
      <c r="U7" s="60">
        <f t="shared" si="0"/>
        <v>34.5</v>
      </c>
      <c r="V7" s="61">
        <f t="shared" si="1"/>
        <v>-15.5</v>
      </c>
      <c r="W7" s="62">
        <f t="shared" si="2"/>
        <v>-21</v>
      </c>
      <c r="Y7" s="8" t="s">
        <v>154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154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153</v>
      </c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2</v>
      </c>
      <c r="D8" s="18">
        <f t="shared" si="5"/>
        <v>2</v>
      </c>
      <c r="E8" s="4" t="s">
        <v>135</v>
      </c>
      <c r="F8" s="8" t="s">
        <v>145</v>
      </c>
      <c r="G8" s="9">
        <v>1500</v>
      </c>
      <c r="H8" s="9">
        <v>2000</v>
      </c>
      <c r="I8" s="55">
        <v>2000</v>
      </c>
      <c r="J8" s="21">
        <f t="shared" si="6"/>
        <v>75000</v>
      </c>
      <c r="K8" s="8"/>
      <c r="L8" s="9"/>
      <c r="M8" s="9"/>
      <c r="N8" s="55"/>
      <c r="O8" s="21">
        <f t="shared" si="7"/>
        <v>19500</v>
      </c>
      <c r="P8" s="8" t="s">
        <v>146</v>
      </c>
      <c r="Q8" s="9">
        <v>-1500</v>
      </c>
      <c r="R8" s="9"/>
      <c r="S8" s="55">
        <v>-2000</v>
      </c>
      <c r="T8" s="21">
        <f t="shared" si="8"/>
        <v>10500</v>
      </c>
      <c r="U8" s="60">
        <f t="shared" si="0"/>
        <v>40</v>
      </c>
      <c r="V8" s="61">
        <f t="shared" si="1"/>
        <v>-15.5</v>
      </c>
      <c r="W8" s="62">
        <f t="shared" si="2"/>
        <v>-24.5</v>
      </c>
      <c r="Y8" s="8"/>
      <c r="Z8" s="41"/>
      <c r="AA8" s="32"/>
      <c r="AB8" s="32">
        <v>1</v>
      </c>
      <c r="AC8" s="32">
        <v>1</v>
      </c>
      <c r="AD8" s="36">
        <v>30</v>
      </c>
      <c r="AE8" s="47" t="s">
        <v>87</v>
      </c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3</v>
      </c>
      <c r="D9" s="18">
        <f t="shared" si="5"/>
        <v>0</v>
      </c>
      <c r="E9" s="4" t="s">
        <v>135</v>
      </c>
      <c r="F9" s="8" t="s">
        <v>141</v>
      </c>
      <c r="G9" s="9">
        <v>-5000</v>
      </c>
      <c r="H9" s="9">
        <v>-1000</v>
      </c>
      <c r="I9" s="55">
        <v>-1500</v>
      </c>
      <c r="J9" s="21">
        <f t="shared" si="6"/>
        <v>67500</v>
      </c>
      <c r="K9" s="8" t="s">
        <v>142</v>
      </c>
      <c r="L9" s="9">
        <v>8000</v>
      </c>
      <c r="M9" s="9">
        <v>1000</v>
      </c>
      <c r="N9" s="55">
        <v>3000</v>
      </c>
      <c r="O9" s="21">
        <f t="shared" si="7"/>
        <v>31500</v>
      </c>
      <c r="P9" s="8" t="s">
        <v>141</v>
      </c>
      <c r="Q9" s="9">
        <v>-3000</v>
      </c>
      <c r="R9" s="9"/>
      <c r="S9" s="55">
        <v>-1500</v>
      </c>
      <c r="T9" s="21">
        <f t="shared" si="8"/>
        <v>6000</v>
      </c>
      <c r="U9" s="60">
        <f t="shared" si="0"/>
        <v>32.5</v>
      </c>
      <c r="V9" s="61">
        <f t="shared" si="1"/>
        <v>-3.5</v>
      </c>
      <c r="W9" s="62">
        <f t="shared" si="2"/>
        <v>-29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30</v>
      </c>
      <c r="AZ9" s="47" t="s">
        <v>144</v>
      </c>
      <c r="BA9" s="48" t="s">
        <v>83</v>
      </c>
      <c r="BB9" s="48" t="s">
        <v>82</v>
      </c>
      <c r="BC9" s="48" t="s">
        <v>81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0</v>
      </c>
      <c r="D10" s="18">
        <f t="shared" si="5"/>
        <v>0</v>
      </c>
      <c r="E10" s="4" t="s">
        <v>151</v>
      </c>
      <c r="F10" s="8" t="s">
        <v>141</v>
      </c>
      <c r="G10" s="9">
        <v>-2000</v>
      </c>
      <c r="H10" s="9"/>
      <c r="I10" s="55">
        <v>0</v>
      </c>
      <c r="J10" s="21">
        <f t="shared" si="6"/>
        <v>65500</v>
      </c>
      <c r="K10" s="8" t="s">
        <v>141</v>
      </c>
      <c r="L10" s="9">
        <v>-3300</v>
      </c>
      <c r="M10" s="9"/>
      <c r="N10" s="55">
        <v>0</v>
      </c>
      <c r="O10" s="21">
        <f t="shared" si="7"/>
        <v>28200</v>
      </c>
      <c r="P10" s="8" t="s">
        <v>142</v>
      </c>
      <c r="Q10" s="9">
        <v>5300</v>
      </c>
      <c r="R10" s="9"/>
      <c r="S10" s="55">
        <v>0</v>
      </c>
      <c r="T10" s="21">
        <f t="shared" si="8"/>
        <v>11300</v>
      </c>
      <c r="U10" s="60">
        <f t="shared" si="0"/>
        <v>30.5</v>
      </c>
      <c r="V10" s="61">
        <f t="shared" si="1"/>
        <v>-6.8</v>
      </c>
      <c r="W10" s="62">
        <f t="shared" si="2"/>
        <v>-23.7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20</v>
      </c>
      <c r="BU10" s="47" t="s">
        <v>144</v>
      </c>
      <c r="BV10" s="48" t="s">
        <v>83</v>
      </c>
      <c r="BW10" s="48" t="s">
        <v>84</v>
      </c>
      <c r="BX10" s="48" t="s">
        <v>82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2</v>
      </c>
      <c r="C11" s="18">
        <f t="shared" si="4"/>
        <v>0</v>
      </c>
      <c r="D11" s="18">
        <f t="shared" si="5"/>
        <v>0</v>
      </c>
      <c r="E11" s="4" t="s">
        <v>139</v>
      </c>
      <c r="F11" s="8"/>
      <c r="G11" s="9"/>
      <c r="H11" s="9"/>
      <c r="I11" s="55"/>
      <c r="J11" s="21">
        <f t="shared" si="6"/>
        <v>65500</v>
      </c>
      <c r="K11" s="8" t="s">
        <v>146</v>
      </c>
      <c r="L11" s="9">
        <v>-7700</v>
      </c>
      <c r="M11" s="9"/>
      <c r="N11" s="55">
        <v>0</v>
      </c>
      <c r="O11" s="21">
        <f t="shared" si="7"/>
        <v>20500</v>
      </c>
      <c r="P11" s="8" t="s">
        <v>145</v>
      </c>
      <c r="Q11" s="9">
        <v>7700</v>
      </c>
      <c r="R11" s="9"/>
      <c r="S11" s="55">
        <v>0</v>
      </c>
      <c r="T11" s="21">
        <f t="shared" si="8"/>
        <v>19000</v>
      </c>
      <c r="U11" s="60">
        <f t="shared" si="0"/>
        <v>30.5</v>
      </c>
      <c r="V11" s="61">
        <f t="shared" si="1"/>
        <v>-14.5</v>
      </c>
      <c r="W11" s="62">
        <f t="shared" si="2"/>
        <v>-16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40</v>
      </c>
      <c r="BU11" s="47" t="s">
        <v>144</v>
      </c>
      <c r="BV11" s="48" t="s">
        <v>82</v>
      </c>
      <c r="BW11" s="48" t="s">
        <v>87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1</v>
      </c>
      <c r="D12" s="18">
        <f t="shared" si="5"/>
        <v>0</v>
      </c>
      <c r="E12" s="4" t="s">
        <v>139</v>
      </c>
      <c r="F12" s="8" t="s">
        <v>146</v>
      </c>
      <c r="G12" s="9">
        <v>-2900</v>
      </c>
      <c r="H12" s="9"/>
      <c r="I12" s="55">
        <v>-1000</v>
      </c>
      <c r="J12" s="21">
        <f t="shared" si="6"/>
        <v>61600</v>
      </c>
      <c r="K12" s="8"/>
      <c r="L12" s="9"/>
      <c r="M12" s="9">
        <v>-1000</v>
      </c>
      <c r="N12" s="55"/>
      <c r="O12" s="21">
        <f t="shared" si="7"/>
        <v>19500</v>
      </c>
      <c r="P12" s="8" t="s">
        <v>145</v>
      </c>
      <c r="Q12" s="9">
        <v>2900</v>
      </c>
      <c r="R12" s="9">
        <v>1000</v>
      </c>
      <c r="S12" s="55">
        <v>1000</v>
      </c>
      <c r="T12" s="21">
        <f t="shared" si="8"/>
        <v>23900</v>
      </c>
      <c r="U12" s="60">
        <f t="shared" si="0"/>
        <v>26.6</v>
      </c>
      <c r="V12" s="61">
        <f t="shared" si="1"/>
        <v>-15.5</v>
      </c>
      <c r="W12" s="62">
        <f t="shared" si="2"/>
        <v>-11.1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>
        <v>2</v>
      </c>
      <c r="BT12" s="36">
        <v>30</v>
      </c>
      <c r="BU12" s="47" t="s">
        <v>87</v>
      </c>
      <c r="BV12" s="48" t="s">
        <v>82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2</v>
      </c>
      <c r="C13" s="18">
        <f t="shared" si="4"/>
        <v>2</v>
      </c>
      <c r="D13" s="18">
        <f t="shared" si="5"/>
        <v>0</v>
      </c>
      <c r="E13" s="4" t="s">
        <v>139</v>
      </c>
      <c r="F13" s="8" t="s">
        <v>145</v>
      </c>
      <c r="G13" s="9">
        <v>8000</v>
      </c>
      <c r="H13" s="9">
        <v>1000</v>
      </c>
      <c r="I13" s="55">
        <v>2000</v>
      </c>
      <c r="J13" s="21">
        <f t="shared" si="6"/>
        <v>72600</v>
      </c>
      <c r="K13" s="8" t="s">
        <v>146</v>
      </c>
      <c r="L13" s="9">
        <v>-8000</v>
      </c>
      <c r="M13" s="9"/>
      <c r="N13" s="55">
        <v>-2000</v>
      </c>
      <c r="O13" s="21">
        <f t="shared" si="7"/>
        <v>9500</v>
      </c>
      <c r="P13" s="8"/>
      <c r="Q13" s="9"/>
      <c r="R13" s="9">
        <v>-1000</v>
      </c>
      <c r="S13" s="55"/>
      <c r="T13" s="21">
        <f t="shared" si="8"/>
        <v>22900</v>
      </c>
      <c r="U13" s="60">
        <f t="shared" si="0"/>
        <v>37.6</v>
      </c>
      <c r="V13" s="61">
        <f t="shared" si="1"/>
        <v>-25.5</v>
      </c>
      <c r="W13" s="62">
        <f t="shared" si="2"/>
        <v>-12.1</v>
      </c>
      <c r="Y13" s="8"/>
      <c r="Z13" s="41"/>
      <c r="AA13" s="32"/>
      <c r="AB13" s="32"/>
      <c r="AC13" s="32">
        <v>4</v>
      </c>
      <c r="AD13" s="36">
        <v>40</v>
      </c>
      <c r="AE13" s="47" t="s">
        <v>105</v>
      </c>
      <c r="AF13" s="48" t="s">
        <v>82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9"/>
        <v>3</v>
      </c>
      <c r="C14" s="18">
        <f t="shared" si="4"/>
        <v>0</v>
      </c>
      <c r="D14" s="18">
        <f t="shared" si="5"/>
        <v>0</v>
      </c>
      <c r="E14" s="4" t="s">
        <v>135</v>
      </c>
      <c r="F14" s="8" t="s">
        <v>142</v>
      </c>
      <c r="G14" s="9">
        <v>6000</v>
      </c>
      <c r="H14" s="9">
        <v>1000</v>
      </c>
      <c r="I14" s="55">
        <v>0</v>
      </c>
      <c r="J14" s="21">
        <f t="shared" si="6"/>
        <v>79600</v>
      </c>
      <c r="K14" s="8" t="s">
        <v>141</v>
      </c>
      <c r="L14" s="9">
        <v>-3000</v>
      </c>
      <c r="M14" s="9">
        <v>-1000</v>
      </c>
      <c r="N14" s="55">
        <v>0</v>
      </c>
      <c r="O14" s="21">
        <f t="shared" si="7"/>
        <v>5500</v>
      </c>
      <c r="P14" s="8" t="s">
        <v>141</v>
      </c>
      <c r="Q14" s="9">
        <v>-3000</v>
      </c>
      <c r="R14" s="9"/>
      <c r="S14" s="55">
        <v>0</v>
      </c>
      <c r="T14" s="21">
        <f t="shared" si="8"/>
        <v>19900</v>
      </c>
      <c r="U14" s="60">
        <f t="shared" si="0"/>
        <v>44.6</v>
      </c>
      <c r="V14" s="61">
        <f t="shared" si="1"/>
        <v>-29.5</v>
      </c>
      <c r="W14" s="62">
        <f t="shared" si="2"/>
        <v>-15.1</v>
      </c>
      <c r="Y14" s="8"/>
      <c r="Z14" s="41"/>
      <c r="AA14" s="32"/>
      <c r="AB14" s="32"/>
      <c r="AC14" s="32">
        <v>3</v>
      </c>
      <c r="AD14" s="36">
        <v>30</v>
      </c>
      <c r="AE14" s="47" t="s">
        <v>83</v>
      </c>
      <c r="AF14" s="48" t="s">
        <v>85</v>
      </c>
      <c r="AG14" s="48" t="s">
        <v>87</v>
      </c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>
        <v>1</v>
      </c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>
        <v>1</v>
      </c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030A8A2E-6ABA-4A15-A7B2-0A2F4AD47E0A}">
      <formula1>"ロン,ツモ,放銃,ツモ支払,流局,チョンボ"</formula1>
    </dataValidation>
    <dataValidation type="list" allowBlank="1" showInputMessage="1" showErrorMessage="1" sqref="E4:E30" xr:uid="{2083518B-54B2-4AC3-B5CA-8651968275C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2019-01-22T16:26:10Z</dcterms:modified>
</cp:coreProperties>
</file>