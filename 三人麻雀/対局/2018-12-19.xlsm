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D7212ACD-5C45-4279-ACA2-29E91573973E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7" r:id="rId2"/>
    <sheet name="Sheet3" sheetId="18" r:id="rId3"/>
    <sheet name="Sheet4" sheetId="19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9" l="1"/>
  <c r="W4" i="19"/>
  <c r="W5" i="19"/>
  <c r="W6" i="19"/>
  <c r="W7" i="19"/>
  <c r="W8" i="19"/>
  <c r="W9" i="19"/>
  <c r="W10" i="19"/>
  <c r="W11" i="19"/>
  <c r="W12" i="19"/>
  <c r="W13" i="19"/>
  <c r="W14" i="19"/>
  <c r="W15" i="19"/>
  <c r="W16" i="19"/>
  <c r="W17" i="19"/>
  <c r="W18" i="19"/>
  <c r="W19" i="19"/>
  <c r="W20" i="19"/>
  <c r="W21" i="19"/>
  <c r="W22" i="19"/>
  <c r="W23" i="19"/>
  <c r="W24" i="19"/>
  <c r="W25" i="19"/>
  <c r="W26" i="19"/>
  <c r="W27" i="19"/>
  <c r="W28" i="19"/>
  <c r="W29" i="19"/>
  <c r="W30" i="19"/>
  <c r="V3" i="19"/>
  <c r="V4" i="19"/>
  <c r="V5" i="19"/>
  <c r="V6" i="19"/>
  <c r="V7" i="19"/>
  <c r="V8" i="19"/>
  <c r="V9" i="19"/>
  <c r="V10" i="19"/>
  <c r="V11" i="19"/>
  <c r="V12" i="19"/>
  <c r="V13" i="19"/>
  <c r="V14" i="19"/>
  <c r="V15" i="19"/>
  <c r="V16" i="19"/>
  <c r="V17" i="19"/>
  <c r="V18" i="19"/>
  <c r="V19" i="19"/>
  <c r="V20" i="19"/>
  <c r="V21" i="19"/>
  <c r="V22" i="19"/>
  <c r="V23" i="19"/>
  <c r="V24" i="19"/>
  <c r="V25" i="19"/>
  <c r="V26" i="19"/>
  <c r="V27" i="19"/>
  <c r="V28" i="19"/>
  <c r="V29" i="19"/>
  <c r="V30" i="19"/>
  <c r="U3" i="19"/>
  <c r="U4" i="19"/>
  <c r="U5" i="19"/>
  <c r="U6" i="19"/>
  <c r="U7" i="19"/>
  <c r="U8" i="19"/>
  <c r="U9" i="19"/>
  <c r="U10" i="19"/>
  <c r="U11" i="19"/>
  <c r="U12" i="19"/>
  <c r="U13" i="19"/>
  <c r="U14" i="19"/>
  <c r="U15" i="19"/>
  <c r="U16" i="19"/>
  <c r="U17" i="19"/>
  <c r="U18" i="19"/>
  <c r="U19" i="19"/>
  <c r="U20" i="19"/>
  <c r="U21" i="19"/>
  <c r="U22" i="19"/>
  <c r="U23" i="19"/>
  <c r="U24" i="19"/>
  <c r="U25" i="19"/>
  <c r="U26" i="19"/>
  <c r="U27" i="19"/>
  <c r="U28" i="19"/>
  <c r="U29" i="19"/>
  <c r="U30" i="19"/>
  <c r="W3" i="18"/>
  <c r="W4" i="18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V3" i="18"/>
  <c r="V4" i="18"/>
  <c r="V5" i="18"/>
  <c r="V6" i="18"/>
  <c r="V7" i="18"/>
  <c r="V8" i="18"/>
  <c r="V9" i="18"/>
  <c r="V10" i="18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W3" i="17"/>
  <c r="W4" i="17"/>
  <c r="W5" i="17"/>
  <c r="W6" i="17"/>
  <c r="W7" i="17"/>
  <c r="W8" i="17"/>
  <c r="W9" i="17"/>
  <c r="W10" i="17"/>
  <c r="W11" i="17"/>
  <c r="W12" i="17"/>
  <c r="W13" i="17"/>
  <c r="W14" i="17"/>
  <c r="W15" i="17"/>
  <c r="W16" i="17"/>
  <c r="W17" i="17"/>
  <c r="W18" i="17"/>
  <c r="W19" i="17"/>
  <c r="W20" i="17"/>
  <c r="W21" i="17"/>
  <c r="W22" i="17"/>
  <c r="W23" i="17"/>
  <c r="W24" i="17"/>
  <c r="W25" i="17"/>
  <c r="W26" i="17"/>
  <c r="W27" i="17"/>
  <c r="W28" i="17"/>
  <c r="W29" i="17"/>
  <c r="W30" i="17"/>
  <c r="V3" i="17"/>
  <c r="V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U3" i="17"/>
  <c r="U4" i="17"/>
  <c r="U5" i="17"/>
  <c r="U6" i="17"/>
  <c r="U7" i="17"/>
  <c r="U8" i="17"/>
  <c r="U9" i="17"/>
  <c r="U10" i="17"/>
  <c r="U11" i="17"/>
  <c r="U12" i="17"/>
  <c r="U13" i="17"/>
  <c r="U14" i="17"/>
  <c r="U15" i="17"/>
  <c r="U16" i="17"/>
  <c r="U17" i="17"/>
  <c r="U18" i="17"/>
  <c r="U19" i="17"/>
  <c r="U20" i="17"/>
  <c r="U21" i="17"/>
  <c r="U22" i="17"/>
  <c r="U23" i="17"/>
  <c r="U24" i="17"/>
  <c r="U25" i="17"/>
  <c r="U26" i="17"/>
  <c r="U27" i="17"/>
  <c r="U28" i="17"/>
  <c r="U29" i="17"/>
  <c r="U30" i="17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T30" i="19" l="1"/>
  <c r="O30" i="19"/>
  <c r="J30" i="19"/>
  <c r="D30" i="19"/>
  <c r="C30" i="19"/>
  <c r="B30" i="19"/>
  <c r="A30" i="19"/>
  <c r="T29" i="19"/>
  <c r="O29" i="19"/>
  <c r="J29" i="19"/>
  <c r="D29" i="19"/>
  <c r="C29" i="19"/>
  <c r="B29" i="19"/>
  <c r="A29" i="19"/>
  <c r="T28" i="19"/>
  <c r="O28" i="19"/>
  <c r="J28" i="19"/>
  <c r="D28" i="19"/>
  <c r="C28" i="19"/>
  <c r="B28" i="19"/>
  <c r="A28" i="19"/>
  <c r="T27" i="19"/>
  <c r="O27" i="19"/>
  <c r="J27" i="19"/>
  <c r="D27" i="19"/>
  <c r="C27" i="19"/>
  <c r="B27" i="19"/>
  <c r="A27" i="19"/>
  <c r="T26" i="19"/>
  <c r="O26" i="19"/>
  <c r="J26" i="19"/>
  <c r="D26" i="19"/>
  <c r="C26" i="19"/>
  <c r="B26" i="19"/>
  <c r="A26" i="19"/>
  <c r="T25" i="19"/>
  <c r="O25" i="19"/>
  <c r="J25" i="19"/>
  <c r="D25" i="19"/>
  <c r="C25" i="19"/>
  <c r="B25" i="19"/>
  <c r="A25" i="19"/>
  <c r="T24" i="19"/>
  <c r="O24" i="19"/>
  <c r="J24" i="19"/>
  <c r="D24" i="19"/>
  <c r="C24" i="19"/>
  <c r="B24" i="19"/>
  <c r="A24" i="19"/>
  <c r="T23" i="19"/>
  <c r="O23" i="19"/>
  <c r="J23" i="19"/>
  <c r="D23" i="19"/>
  <c r="C23" i="19"/>
  <c r="B23" i="19"/>
  <c r="A23" i="19"/>
  <c r="T22" i="19"/>
  <c r="O22" i="19"/>
  <c r="J22" i="19"/>
  <c r="D22" i="19"/>
  <c r="C22" i="19"/>
  <c r="B22" i="19"/>
  <c r="A22" i="19"/>
  <c r="T21" i="19"/>
  <c r="O21" i="19"/>
  <c r="J21" i="19"/>
  <c r="D21" i="19"/>
  <c r="C21" i="19"/>
  <c r="B21" i="19"/>
  <c r="A21" i="19"/>
  <c r="T20" i="19"/>
  <c r="O20" i="19"/>
  <c r="J20" i="19"/>
  <c r="D20" i="19"/>
  <c r="C20" i="19"/>
  <c r="B20" i="19"/>
  <c r="A20" i="19"/>
  <c r="T19" i="19"/>
  <c r="O19" i="19"/>
  <c r="J19" i="19"/>
  <c r="D19" i="19"/>
  <c r="C19" i="19"/>
  <c r="B19" i="19"/>
  <c r="A19" i="19"/>
  <c r="T18" i="19"/>
  <c r="O18" i="19"/>
  <c r="J18" i="19"/>
  <c r="D18" i="19"/>
  <c r="C18" i="19"/>
  <c r="B18" i="19"/>
  <c r="A18" i="19"/>
  <c r="T17" i="19"/>
  <c r="O17" i="19"/>
  <c r="J17" i="19"/>
  <c r="D17" i="19"/>
  <c r="C17" i="19"/>
  <c r="B17" i="19"/>
  <c r="A17" i="19"/>
  <c r="T16" i="19"/>
  <c r="O16" i="19"/>
  <c r="J16" i="19"/>
  <c r="D16" i="19"/>
  <c r="C16" i="19"/>
  <c r="B16" i="19"/>
  <c r="A16" i="19"/>
  <c r="T15" i="19"/>
  <c r="O15" i="19"/>
  <c r="J15" i="19"/>
  <c r="D15" i="19"/>
  <c r="C15" i="19"/>
  <c r="B15" i="19"/>
  <c r="A15" i="19"/>
  <c r="T14" i="19"/>
  <c r="O14" i="19"/>
  <c r="J14" i="19"/>
  <c r="D14" i="19"/>
  <c r="C14" i="19"/>
  <c r="B14" i="19"/>
  <c r="A14" i="19"/>
  <c r="D13" i="19"/>
  <c r="D12" i="19"/>
  <c r="D11" i="19"/>
  <c r="C10" i="19"/>
  <c r="C11" i="19" s="1"/>
  <c r="C12" i="19" s="1"/>
  <c r="C13" i="19" s="1"/>
  <c r="D9" i="19"/>
  <c r="D10" i="19" s="1"/>
  <c r="C9" i="19"/>
  <c r="D8" i="19"/>
  <c r="C8" i="19"/>
  <c r="D7" i="19"/>
  <c r="C7" i="19"/>
  <c r="D6" i="19"/>
  <c r="C6" i="19"/>
  <c r="B6" i="19"/>
  <c r="B7" i="19" s="1"/>
  <c r="J5" i="19"/>
  <c r="J6" i="19" s="1"/>
  <c r="D5" i="19"/>
  <c r="C5" i="19"/>
  <c r="B5" i="19"/>
  <c r="A6" i="19" s="1"/>
  <c r="T4" i="19"/>
  <c r="T5" i="19" s="1"/>
  <c r="O4" i="19"/>
  <c r="J4" i="19"/>
  <c r="W2" i="19"/>
  <c r="V2" i="19"/>
  <c r="U2" i="19"/>
  <c r="BO1" i="19"/>
  <c r="AT1" i="19"/>
  <c r="Y1" i="19"/>
  <c r="A5" i="19" l="1"/>
  <c r="J7" i="19"/>
  <c r="T6" i="19"/>
  <c r="B8" i="19"/>
  <c r="A7" i="19"/>
  <c r="O5" i="19"/>
  <c r="T30" i="18"/>
  <c r="O30" i="18"/>
  <c r="J30" i="18"/>
  <c r="D30" i="18"/>
  <c r="C30" i="18"/>
  <c r="B30" i="18"/>
  <c r="A30" i="18"/>
  <c r="T29" i="18"/>
  <c r="O29" i="18"/>
  <c r="J29" i="18"/>
  <c r="D29" i="18"/>
  <c r="C29" i="18"/>
  <c r="B29" i="18"/>
  <c r="A29" i="18"/>
  <c r="T28" i="18"/>
  <c r="O28" i="18"/>
  <c r="J28" i="18"/>
  <c r="D28" i="18"/>
  <c r="C28" i="18"/>
  <c r="B28" i="18"/>
  <c r="A28" i="18"/>
  <c r="T27" i="18"/>
  <c r="O27" i="18"/>
  <c r="J27" i="18"/>
  <c r="D27" i="18"/>
  <c r="C27" i="18"/>
  <c r="B27" i="18"/>
  <c r="A27" i="18"/>
  <c r="T26" i="18"/>
  <c r="O26" i="18"/>
  <c r="J26" i="18"/>
  <c r="D26" i="18"/>
  <c r="C26" i="18"/>
  <c r="B26" i="18"/>
  <c r="A26" i="18"/>
  <c r="T25" i="18"/>
  <c r="O25" i="18"/>
  <c r="J25" i="18"/>
  <c r="D25" i="18"/>
  <c r="C25" i="18"/>
  <c r="B25" i="18"/>
  <c r="A25" i="18"/>
  <c r="T24" i="18"/>
  <c r="O24" i="18"/>
  <c r="J24" i="18"/>
  <c r="D24" i="18"/>
  <c r="C24" i="18"/>
  <c r="B24" i="18"/>
  <c r="A24" i="18"/>
  <c r="T23" i="18"/>
  <c r="O23" i="18"/>
  <c r="J23" i="18"/>
  <c r="D23" i="18"/>
  <c r="C23" i="18"/>
  <c r="B23" i="18"/>
  <c r="A23" i="18"/>
  <c r="T22" i="18"/>
  <c r="O22" i="18"/>
  <c r="J22" i="18"/>
  <c r="D22" i="18"/>
  <c r="C22" i="18"/>
  <c r="B22" i="18"/>
  <c r="A22" i="18"/>
  <c r="T21" i="18"/>
  <c r="O21" i="18"/>
  <c r="J21" i="18"/>
  <c r="D21" i="18"/>
  <c r="C21" i="18"/>
  <c r="B21" i="18"/>
  <c r="A21" i="18"/>
  <c r="T20" i="18"/>
  <c r="O20" i="18"/>
  <c r="J20" i="18"/>
  <c r="D20" i="18"/>
  <c r="C20" i="18"/>
  <c r="B20" i="18"/>
  <c r="A20" i="18"/>
  <c r="T19" i="18"/>
  <c r="O19" i="18"/>
  <c r="J19" i="18"/>
  <c r="D19" i="18"/>
  <c r="C19" i="18"/>
  <c r="B19" i="18"/>
  <c r="A19" i="18"/>
  <c r="T18" i="18"/>
  <c r="O18" i="18"/>
  <c r="J18" i="18"/>
  <c r="D18" i="18"/>
  <c r="C18" i="18"/>
  <c r="B18" i="18"/>
  <c r="A18" i="18"/>
  <c r="T17" i="18"/>
  <c r="O17" i="18"/>
  <c r="J17" i="18"/>
  <c r="D17" i="18"/>
  <c r="C17" i="18"/>
  <c r="B17" i="18"/>
  <c r="A17" i="18"/>
  <c r="T16" i="18"/>
  <c r="O16" i="18"/>
  <c r="J16" i="18"/>
  <c r="D16" i="18"/>
  <c r="C16" i="18"/>
  <c r="B16" i="18"/>
  <c r="A16" i="18"/>
  <c r="T15" i="18"/>
  <c r="O15" i="18"/>
  <c r="J15" i="18"/>
  <c r="D15" i="18"/>
  <c r="C15" i="18"/>
  <c r="B15" i="18"/>
  <c r="A15" i="18"/>
  <c r="T14" i="18"/>
  <c r="O14" i="18"/>
  <c r="J14" i="18"/>
  <c r="D14" i="18"/>
  <c r="C14" i="18"/>
  <c r="B14" i="18"/>
  <c r="A14" i="18" s="1"/>
  <c r="D13" i="18"/>
  <c r="D10" i="18"/>
  <c r="D11" i="18" s="1"/>
  <c r="D12" i="18" s="1"/>
  <c r="C10" i="18"/>
  <c r="C11" i="18" s="1"/>
  <c r="C12" i="18" s="1"/>
  <c r="C13" i="18" s="1"/>
  <c r="D9" i="18"/>
  <c r="C9" i="18"/>
  <c r="D8" i="18"/>
  <c r="C8" i="18"/>
  <c r="D7" i="18"/>
  <c r="D6" i="18"/>
  <c r="C6" i="18"/>
  <c r="C7" i="18" s="1"/>
  <c r="O5" i="18"/>
  <c r="O6" i="18" s="1"/>
  <c r="J5" i="18"/>
  <c r="D5" i="18"/>
  <c r="C5" i="18"/>
  <c r="B5" i="18"/>
  <c r="B6" i="18" s="1"/>
  <c r="T4" i="18"/>
  <c r="O4" i="18"/>
  <c r="J4" i="18"/>
  <c r="W2" i="18"/>
  <c r="V2" i="18"/>
  <c r="U2" i="18"/>
  <c r="BO1" i="18"/>
  <c r="AT1" i="18"/>
  <c r="Y1" i="18"/>
  <c r="O6" i="19" l="1"/>
  <c r="T7" i="19"/>
  <c r="B9" i="19"/>
  <c r="A9" i="19" s="1"/>
  <c r="J8" i="19"/>
  <c r="A8" i="19"/>
  <c r="A5" i="18"/>
  <c r="O7" i="18"/>
  <c r="B7" i="18"/>
  <c r="A7" i="18" s="1"/>
  <c r="J6" i="18"/>
  <c r="T5" i="18"/>
  <c r="A6" i="18"/>
  <c r="J9" i="19" l="1"/>
  <c r="T8" i="19"/>
  <c r="O7" i="19"/>
  <c r="B10" i="19"/>
  <c r="A10" i="19" s="1"/>
  <c r="B8" i="18"/>
  <c r="A8" i="18" s="1"/>
  <c r="J7" i="18"/>
  <c r="T6" i="18"/>
  <c r="O8" i="18"/>
  <c r="T9" i="19" l="1"/>
  <c r="O8" i="19"/>
  <c r="J10" i="19"/>
  <c r="B11" i="19"/>
  <c r="A11" i="19" s="1"/>
  <c r="T7" i="18"/>
  <c r="O9" i="18"/>
  <c r="J8" i="18"/>
  <c r="B9" i="18"/>
  <c r="A9" i="18" s="1"/>
  <c r="O9" i="19" l="1"/>
  <c r="J11" i="19"/>
  <c r="B12" i="19"/>
  <c r="A12" i="19" s="1"/>
  <c r="T10" i="19"/>
  <c r="O10" i="18"/>
  <c r="B10" i="18"/>
  <c r="A10" i="18" s="1"/>
  <c r="J9" i="18"/>
  <c r="T8" i="18"/>
  <c r="J12" i="19" l="1"/>
  <c r="O10" i="19"/>
  <c r="T11" i="19"/>
  <c r="B13" i="19"/>
  <c r="A13" i="19" s="1"/>
  <c r="T9" i="18"/>
  <c r="B11" i="18"/>
  <c r="J10" i="18"/>
  <c r="O11" i="18"/>
  <c r="O11" i="19" l="1"/>
  <c r="T12" i="19"/>
  <c r="J13" i="19"/>
  <c r="B12" i="18"/>
  <c r="A12" i="18" s="1"/>
  <c r="A11" i="18"/>
  <c r="O12" i="18"/>
  <c r="J11" i="18"/>
  <c r="T10" i="18"/>
  <c r="T13" i="19" l="1"/>
  <c r="O12" i="19"/>
  <c r="T11" i="18"/>
  <c r="O13" i="18"/>
  <c r="J12" i="18"/>
  <c r="B13" i="18"/>
  <c r="A13" i="18" s="1"/>
  <c r="O13" i="19" l="1"/>
  <c r="J13" i="18"/>
  <c r="T12" i="18"/>
  <c r="T13" i="18" l="1"/>
  <c r="T30" i="17" l="1"/>
  <c r="O30" i="17"/>
  <c r="J30" i="17"/>
  <c r="D30" i="17"/>
  <c r="C30" i="17"/>
  <c r="B30" i="17"/>
  <c r="A30" i="17"/>
  <c r="T29" i="17"/>
  <c r="O29" i="17"/>
  <c r="J29" i="17"/>
  <c r="D29" i="17"/>
  <c r="C29" i="17"/>
  <c r="B29" i="17"/>
  <c r="A29" i="17"/>
  <c r="T28" i="17"/>
  <c r="O28" i="17"/>
  <c r="J28" i="17"/>
  <c r="D28" i="17"/>
  <c r="C28" i="17"/>
  <c r="B28" i="17"/>
  <c r="A28" i="17"/>
  <c r="T27" i="17"/>
  <c r="O27" i="17"/>
  <c r="J27" i="17"/>
  <c r="D27" i="17"/>
  <c r="C27" i="17"/>
  <c r="B27" i="17"/>
  <c r="A27" i="17"/>
  <c r="T26" i="17"/>
  <c r="O26" i="17"/>
  <c r="J26" i="17"/>
  <c r="D26" i="17"/>
  <c r="C26" i="17"/>
  <c r="B26" i="17"/>
  <c r="A26" i="17"/>
  <c r="T25" i="17"/>
  <c r="O25" i="17"/>
  <c r="J25" i="17"/>
  <c r="D25" i="17"/>
  <c r="C25" i="17"/>
  <c r="B25" i="17"/>
  <c r="A25" i="17"/>
  <c r="T24" i="17"/>
  <c r="O24" i="17"/>
  <c r="J24" i="17"/>
  <c r="D24" i="17"/>
  <c r="C24" i="17"/>
  <c r="B24" i="17"/>
  <c r="A24" i="17"/>
  <c r="T23" i="17"/>
  <c r="O23" i="17"/>
  <c r="J23" i="17"/>
  <c r="D23" i="17"/>
  <c r="C23" i="17"/>
  <c r="B23" i="17"/>
  <c r="A23" i="17"/>
  <c r="T22" i="17"/>
  <c r="O22" i="17"/>
  <c r="J22" i="17"/>
  <c r="D22" i="17"/>
  <c r="C22" i="17"/>
  <c r="B22" i="17"/>
  <c r="A22" i="17"/>
  <c r="T21" i="17"/>
  <c r="O21" i="17"/>
  <c r="J21" i="17"/>
  <c r="D21" i="17"/>
  <c r="C21" i="17"/>
  <c r="B21" i="17"/>
  <c r="A21" i="17"/>
  <c r="T20" i="17"/>
  <c r="O20" i="17"/>
  <c r="J20" i="17"/>
  <c r="D20" i="17"/>
  <c r="C20" i="17"/>
  <c r="B20" i="17"/>
  <c r="A20" i="17"/>
  <c r="T19" i="17"/>
  <c r="O19" i="17"/>
  <c r="J19" i="17"/>
  <c r="D19" i="17"/>
  <c r="C19" i="17"/>
  <c r="B19" i="17"/>
  <c r="A19" i="17"/>
  <c r="T18" i="17"/>
  <c r="O18" i="17"/>
  <c r="J18" i="17"/>
  <c r="D18" i="17"/>
  <c r="C18" i="17"/>
  <c r="B18" i="17"/>
  <c r="A18" i="17"/>
  <c r="T17" i="17"/>
  <c r="O17" i="17"/>
  <c r="J17" i="17"/>
  <c r="D17" i="17"/>
  <c r="C17" i="17"/>
  <c r="B17" i="17"/>
  <c r="A17" i="17"/>
  <c r="T16" i="17"/>
  <c r="O16" i="17"/>
  <c r="J16" i="17"/>
  <c r="D16" i="17"/>
  <c r="C16" i="17"/>
  <c r="B16" i="17"/>
  <c r="A16" i="17"/>
  <c r="T15" i="17"/>
  <c r="O15" i="17"/>
  <c r="J15" i="17"/>
  <c r="D15" i="17"/>
  <c r="C15" i="17"/>
  <c r="B15" i="17"/>
  <c r="A15" i="17"/>
  <c r="T14" i="17"/>
  <c r="O14" i="17"/>
  <c r="J14" i="17"/>
  <c r="D14" i="17"/>
  <c r="C14" i="17"/>
  <c r="B14" i="17"/>
  <c r="A14" i="17" s="1"/>
  <c r="T13" i="17"/>
  <c r="O13" i="17"/>
  <c r="J13" i="17"/>
  <c r="D13" i="17"/>
  <c r="C13" i="17"/>
  <c r="B13" i="17"/>
  <c r="A13" i="17"/>
  <c r="T12" i="17"/>
  <c r="O12" i="17"/>
  <c r="J12" i="17"/>
  <c r="D12" i="17"/>
  <c r="C12" i="17"/>
  <c r="B12" i="17"/>
  <c r="A12" i="17" s="1"/>
  <c r="T11" i="17"/>
  <c r="O11" i="17"/>
  <c r="J11" i="17"/>
  <c r="D11" i="17"/>
  <c r="C11" i="17"/>
  <c r="B11" i="17"/>
  <c r="A11" i="17"/>
  <c r="T10" i="17"/>
  <c r="O10" i="17"/>
  <c r="J10" i="17"/>
  <c r="D10" i="17"/>
  <c r="C10" i="17"/>
  <c r="B10" i="17"/>
  <c r="A10" i="17"/>
  <c r="D9" i="17"/>
  <c r="C9" i="17"/>
  <c r="D8" i="17"/>
  <c r="C8" i="17"/>
  <c r="D7" i="17"/>
  <c r="C7" i="17"/>
  <c r="D6" i="17"/>
  <c r="C6" i="17"/>
  <c r="O5" i="17"/>
  <c r="O6" i="17" s="1"/>
  <c r="J5" i="17"/>
  <c r="D5" i="17"/>
  <c r="C5" i="17"/>
  <c r="B5" i="17"/>
  <c r="B6" i="17" s="1"/>
  <c r="A5" i="17"/>
  <c r="T4" i="17"/>
  <c r="O4" i="17"/>
  <c r="J4" i="17"/>
  <c r="W2" i="17"/>
  <c r="V2" i="17"/>
  <c r="U2" i="17"/>
  <c r="BO1" i="17"/>
  <c r="AT1" i="17"/>
  <c r="Y1" i="17"/>
  <c r="B7" i="17" l="1"/>
  <c r="O7" i="17"/>
  <c r="T5" i="17"/>
  <c r="A6" i="17"/>
  <c r="J6" i="17"/>
  <c r="A7" i="17" l="1"/>
  <c r="J7" i="17"/>
  <c r="O8" i="17"/>
  <c r="T6" i="17"/>
  <c r="B8" i="17"/>
  <c r="A8" i="17" s="1"/>
  <c r="B9" i="17" l="1"/>
  <c r="A9" i="17" s="1"/>
  <c r="T7" i="17"/>
  <c r="J8" i="17"/>
  <c r="O9" i="17"/>
  <c r="T8" i="17" l="1"/>
  <c r="J9" i="17"/>
  <c r="T9" i="17" l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6" i="1" l="1"/>
  <c r="T5" i="1"/>
  <c r="O6" i="1"/>
  <c r="B10" i="1"/>
  <c r="O7" i="1" l="1"/>
  <c r="J7" i="1"/>
  <c r="J8" i="1"/>
  <c r="B11" i="1"/>
  <c r="A11" i="1" s="1"/>
  <c r="A10" i="1"/>
  <c r="O8" i="1"/>
  <c r="T6" i="1"/>
  <c r="B12" i="1"/>
  <c r="A12" i="1" s="1"/>
  <c r="T7" i="1" l="1"/>
  <c r="J9" i="1"/>
  <c r="T8" i="1"/>
  <c r="O9" i="1"/>
  <c r="B13" i="1"/>
  <c r="A13" i="1" s="1"/>
  <c r="J10" i="1" l="1"/>
  <c r="J11" i="1"/>
  <c r="O10" i="1"/>
  <c r="T9" i="1"/>
  <c r="B14" i="1"/>
  <c r="A14" i="1" s="1"/>
  <c r="O11" i="1" l="1"/>
  <c r="J12" i="1"/>
  <c r="T10" i="1"/>
  <c r="J13" i="1" l="1"/>
  <c r="O12" i="1"/>
  <c r="T11" i="1"/>
  <c r="J14" i="1" l="1"/>
  <c r="O13" i="1"/>
  <c r="T12" i="1"/>
  <c r="O14" i="1" l="1"/>
  <c r="J15" i="1"/>
  <c r="T13" i="1"/>
  <c r="T14" i="1" l="1"/>
  <c r="O15" i="1"/>
  <c r="T15" i="1" l="1"/>
</calcChain>
</file>

<file path=xl/sharedStrings.xml><?xml version="1.0" encoding="utf-8"?>
<sst xmlns="http://schemas.openxmlformats.org/spreadsheetml/2006/main" count="869" uniqueCount="156">
  <si>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</si>
  <si>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</si>
  <si>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</si>
  <si>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</si>
  <si>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</si>
  <si>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</si>
  <si>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</si>
  <si>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</si>
  <si>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</si>
  <si>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</si>
  <si>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</si>
  <si>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</si>
  <si>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</si>
  <si>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</si>
  <si>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</si>
  <si>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</si>
  <si>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</si>
  <si>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</si>
  <si>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</si>
  <si>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</si>
  <si>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</si>
  <si>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</si>
  <si>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</si>
  <si>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</si>
  <si>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</si>
  <si>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</si>
  <si>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</si>
  <si>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</si>
  <si>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</si>
  <si>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</si>
  <si>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</si>
  <si>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</si>
  <si>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</si>
  <si>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</si>
  <si>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</si>
  <si>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</si>
  <si>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</si>
  <si>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</si>
  <si>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</si>
  <si>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</si>
  <si>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</si>
  <si>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</si>
  <si>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</si>
  <si>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</si>
  <si>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</si>
  <si>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</si>
  <si>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</si>
  <si>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</si>
  <si>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</si>
  <si>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</si>
  <si>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</si>
  <si>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</si>
  <si>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</si>
  <si>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</si>
  <si>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</si>
  <si>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</si>
  <si>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</si>
  <si>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</si>
  <si>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</si>
  <si>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</si>
  <si>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</si>
  <si>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</si>
  <si>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</si>
  <si>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</si>
  <si>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</si>
  <si>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</si>
  <si>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</si>
  <si>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</si>
  <si>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</si>
  <si>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</si>
  <si>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</si>
  <si>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</si>
  <si>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</si>
  <si>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</si>
  <si>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</si>
  <si>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</si>
  <si>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</si>
  <si>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</si>
  <si>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</si>
  <si>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</si>
  <si>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</si>
  <si>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</si>
  <si>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</si>
  <si>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</si>
  <si>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</si>
  <si>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</si>
  <si>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</si>
  <si>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</si>
  <si>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</si>
  <si>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</si>
  <si>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</si>
  <si>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</si>
  <si>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</si>
  <si>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</si>
  <si>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</si>
  <si>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</si>
  <si>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</si>
  <si>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</si>
  <si>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</si>
  <si>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</si>
  <si>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</si>
  <si>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</si>
  <si>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</si>
  <si>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</si>
  <si>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</si>
  <si>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</si>
  <si>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</si>
  <si>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</si>
  <si>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</si>
  <si>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</si>
  <si>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</si>
  <si>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</si>
  <si>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</si>
  <si>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</si>
  <si>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</si>
  <si>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</si>
  <si>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</si>
  <si>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</si>
  <si>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</si>
  <si>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</si>
  <si>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</si>
  <si>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</si>
  <si>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</si>
  <si>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</si>
  <si>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</si>
  <si>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</si>
  <si>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</si>
  <si>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</si>
  <si>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</si>
  <si>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</si>
  <si>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</si>
  <si>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</si>
  <si>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</si>
  <si>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</si>
  <si>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</si>
  <si>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</si>
  <si>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</si>
  <si>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たかの</t>
  </si>
  <si>
    <t>たかの</t>
    <phoneticPr fontId="1"/>
  </si>
  <si>
    <t>りくと</t>
  </si>
  <si>
    <t>りくと</t>
    <phoneticPr fontId="1"/>
  </si>
  <si>
    <t>ロン</t>
  </si>
  <si>
    <t>放銃</t>
  </si>
  <si>
    <t>*</t>
  </si>
  <si>
    <t>01</t>
  </si>
  <si>
    <t>ツモ支払</t>
  </si>
  <si>
    <t>ツモ</t>
  </si>
  <si>
    <t>れんたろう</t>
  </si>
  <si>
    <t>れんたろう</t>
    <phoneticPr fontId="1"/>
  </si>
  <si>
    <t>ただ</t>
  </si>
  <si>
    <t>ただ</t>
    <phoneticPr fontId="1"/>
  </si>
  <si>
    <t>N</t>
  </si>
  <si>
    <t>T</t>
  </si>
  <si>
    <t>流局</t>
    <phoneticPr fontId="1"/>
  </si>
  <si>
    <t>02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</si>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</sst>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22</v>
      </c>
      <c r="E1" s="93" t="s">
        <v>3</v>
      </c>
      <c r="F1" s="84" t="s">
        <v>136</v>
      </c>
      <c r="G1" s="86"/>
      <c r="H1" s="86"/>
      <c r="I1" s="95"/>
      <c r="J1" s="87"/>
      <c r="K1" s="84" t="s">
        <v>138</v>
      </c>
      <c r="L1" s="86"/>
      <c r="M1" s="86"/>
      <c r="N1" s="95"/>
      <c r="O1" s="87"/>
      <c r="P1" s="84" t="s">
        <v>140</v>
      </c>
      <c r="Q1" s="86"/>
      <c r="R1" s="86"/>
      <c r="S1" s="95"/>
      <c r="T1" s="87"/>
      <c r="U1" s="84" t="s">
        <v>6</v>
      </c>
      <c r="V1" s="86"/>
      <c r="W1" s="87"/>
      <c r="Y1" s="84" t="str">
        <f>F1</f>
        <v>だいち</v>
      </c>
      <c r="Z1" s="85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7"/>
      <c r="AT1" s="84" t="str">
        <f>K1</f>
        <v>たかの</v>
      </c>
      <c r="AU1" s="85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7"/>
      <c r="BO1" s="84" t="str">
        <f>P1</f>
        <v>りくと</v>
      </c>
      <c r="BP1" s="85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たかの</v>
      </c>
      <c r="W2" s="16" t="str">
        <f>$P$1</f>
        <v>りくと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8" t="s">
        <v>21</v>
      </c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8" t="s">
        <v>21</v>
      </c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8" t="s">
        <v>21</v>
      </c>
      <c r="BV2" s="88"/>
      <c r="BW2" s="88"/>
      <c r="BX2" s="88"/>
      <c r="BY2" s="88"/>
      <c r="BZ2" s="88"/>
      <c r="CA2" s="88"/>
      <c r="CB2" s="88"/>
      <c r="CC2" s="88"/>
      <c r="CD2" s="88"/>
      <c r="CE2" s="88"/>
      <c r="CF2" s="88"/>
      <c r="CG2" s="88"/>
      <c r="CH2" s="88"/>
      <c r="CI2" s="88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75">
        <f t="shared" ref="U3:U30" si="0">IF($J3="","",ROUND(($J3-$J$3)/1000,1))</f>
        <v>0</v>
      </c>
      <c r="V3" s="76">
        <f t="shared" ref="V3:V30" si="1">IF($O3="","",ROUND(($O3-$O$3)/1000,1))</f>
        <v>0</v>
      </c>
      <c r="W3" s="77">
        <f t="shared" ref="W3:W30" si="2"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141</v>
      </c>
      <c r="G4" s="9">
        <v>18000</v>
      </c>
      <c r="H4" s="9">
        <v>1000</v>
      </c>
      <c r="I4" s="55">
        <v>0</v>
      </c>
      <c r="J4" s="21">
        <f>IF(COUNTA($F4,$K4,$P4)&gt;0,J3+SUM(G4:I4),"")</f>
        <v>54000</v>
      </c>
      <c r="K4" s="8" t="s">
        <v>142</v>
      </c>
      <c r="L4" s="9">
        <v>-18000</v>
      </c>
      <c r="M4" s="9">
        <v>-1000</v>
      </c>
      <c r="N4" s="55">
        <v>0</v>
      </c>
      <c r="O4" s="21">
        <f>IF(COUNTA($F4,$K4,$P4)&gt;0,O3+SUM(L4:N4),"")</f>
        <v>16000</v>
      </c>
      <c r="P4" s="8"/>
      <c r="Q4" s="9"/>
      <c r="R4" s="9"/>
      <c r="S4" s="55"/>
      <c r="T4" s="21">
        <f>IF(COUNTA($F4,$K4,$P4)&gt;0,T3+SUM(Q4:S4),"")</f>
        <v>35000</v>
      </c>
      <c r="U4" s="78">
        <f t="shared" si="0"/>
        <v>19</v>
      </c>
      <c r="V4" s="79">
        <f t="shared" si="1"/>
        <v>-19</v>
      </c>
      <c r="W4" s="80">
        <f t="shared" si="2"/>
        <v>0</v>
      </c>
      <c r="Y4" s="8"/>
      <c r="Z4" s="41"/>
      <c r="AA4" s="32">
        <v>1</v>
      </c>
      <c r="AB4" s="32"/>
      <c r="AC4" s="32">
        <v>6</v>
      </c>
      <c r="AD4" s="36" t="s">
        <v>143</v>
      </c>
      <c r="AE4" s="47" t="s">
        <v>144</v>
      </c>
      <c r="AF4" s="48" t="s">
        <v>84</v>
      </c>
      <c r="AG4" s="48" t="s">
        <v>86</v>
      </c>
      <c r="AH4" s="48" t="s">
        <v>85</v>
      </c>
      <c r="AI4" s="48" t="s">
        <v>82</v>
      </c>
      <c r="AJ4" s="48" t="s">
        <v>82</v>
      </c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6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135</v>
      </c>
      <c r="F5" s="8" t="s">
        <v>141</v>
      </c>
      <c r="G5" s="9">
        <v>5800</v>
      </c>
      <c r="H5" s="9">
        <v>1000</v>
      </c>
      <c r="I5" s="55">
        <v>1000</v>
      </c>
      <c r="J5" s="21">
        <f t="shared" ref="J5:J30" si="6">IF(COUNTA($F5,$K5,$P5)&gt;0,J4+SUM(G5:I5),"")</f>
        <v>61800</v>
      </c>
      <c r="K5" s="8" t="s">
        <v>142</v>
      </c>
      <c r="L5" s="9">
        <v>-5800</v>
      </c>
      <c r="M5" s="9">
        <v>-1000</v>
      </c>
      <c r="N5" s="55">
        <v>-1000</v>
      </c>
      <c r="O5" s="21">
        <f t="shared" ref="O5:O30" si="7">IF(COUNTA($F5,$K5,$P5)&gt;0,O4+SUM(L5:N5),"")</f>
        <v>8200</v>
      </c>
      <c r="P5" s="8"/>
      <c r="Q5" s="9"/>
      <c r="R5" s="9"/>
      <c r="S5" s="55"/>
      <c r="T5" s="21">
        <f t="shared" ref="T5:T30" si="8">IF(COUNTA($F5,$K5,$P5)&gt;0,T4+SUM(Q5:S5),"")</f>
        <v>35000</v>
      </c>
      <c r="U5" s="78">
        <f t="shared" si="0"/>
        <v>26.8</v>
      </c>
      <c r="V5" s="79">
        <f t="shared" si="1"/>
        <v>-26.8</v>
      </c>
      <c r="W5" s="80">
        <f t="shared" si="2"/>
        <v>0</v>
      </c>
      <c r="Y5" s="8"/>
      <c r="Z5" s="41"/>
      <c r="AA5" s="32"/>
      <c r="AB5" s="32">
        <v>1</v>
      </c>
      <c r="AC5" s="32">
        <v>3</v>
      </c>
      <c r="AD5" s="36">
        <v>30</v>
      </c>
      <c r="AE5" s="47" t="s">
        <v>87</v>
      </c>
      <c r="AF5" s="48" t="s">
        <v>82</v>
      </c>
      <c r="AG5" s="48" t="s">
        <v>80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1</v>
      </c>
      <c r="C6" s="18">
        <f t="shared" si="4"/>
        <v>2</v>
      </c>
      <c r="D6" s="18">
        <f t="shared" si="5"/>
        <v>0</v>
      </c>
      <c r="E6" s="4" t="s">
        <v>135</v>
      </c>
      <c r="F6" s="8" t="s">
        <v>145</v>
      </c>
      <c r="G6" s="9">
        <v>-1300</v>
      </c>
      <c r="H6" s="9"/>
      <c r="I6" s="55">
        <v>-1000</v>
      </c>
      <c r="J6" s="21">
        <f t="shared" si="6"/>
        <v>59500</v>
      </c>
      <c r="K6" s="8" t="s">
        <v>146</v>
      </c>
      <c r="L6" s="9">
        <v>2100</v>
      </c>
      <c r="M6" s="9"/>
      <c r="N6" s="55">
        <v>2000</v>
      </c>
      <c r="O6" s="21">
        <f t="shared" si="7"/>
        <v>12300</v>
      </c>
      <c r="P6" s="8" t="s">
        <v>145</v>
      </c>
      <c r="Q6" s="9">
        <v>-800</v>
      </c>
      <c r="R6" s="9"/>
      <c r="S6" s="55">
        <v>-1000</v>
      </c>
      <c r="T6" s="21">
        <f t="shared" si="8"/>
        <v>33200</v>
      </c>
      <c r="U6" s="78">
        <f t="shared" si="0"/>
        <v>24.5</v>
      </c>
      <c r="V6" s="79">
        <f t="shared" si="1"/>
        <v>-22.7</v>
      </c>
      <c r="W6" s="80">
        <f t="shared" si="2"/>
        <v>-1.8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2</v>
      </c>
      <c r="AY6" s="36">
        <v>30</v>
      </c>
      <c r="AZ6" s="47" t="s">
        <v>83</v>
      </c>
      <c r="BA6" s="48" t="s">
        <v>80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2</v>
      </c>
      <c r="C7" s="18">
        <f t="shared" ref="C7:C30" si="11">IF($E7="","",IF(F6="チョンボ",C6,IF($E6=$E7,C6+1,0)))</f>
        <v>0</v>
      </c>
      <c r="D7" s="18">
        <f t="shared" si="5"/>
        <v>0</v>
      </c>
      <c r="E7" s="4" t="s">
        <v>137</v>
      </c>
      <c r="F7" s="8" t="s">
        <v>141</v>
      </c>
      <c r="G7" s="9">
        <v>2600</v>
      </c>
      <c r="H7" s="9">
        <v>1000</v>
      </c>
      <c r="I7" s="55">
        <v>0</v>
      </c>
      <c r="J7" s="21">
        <f t="shared" si="6"/>
        <v>63100</v>
      </c>
      <c r="K7" s="8"/>
      <c r="L7" s="9"/>
      <c r="M7" s="9">
        <v>-1000</v>
      </c>
      <c r="N7" s="55"/>
      <c r="O7" s="21">
        <f t="shared" si="7"/>
        <v>11300</v>
      </c>
      <c r="P7" s="8" t="s">
        <v>142</v>
      </c>
      <c r="Q7" s="9">
        <v>-2600</v>
      </c>
      <c r="R7" s="9"/>
      <c r="S7" s="55">
        <v>0</v>
      </c>
      <c r="T7" s="21">
        <f t="shared" si="8"/>
        <v>30600</v>
      </c>
      <c r="U7" s="78">
        <f t="shared" si="0"/>
        <v>28.1</v>
      </c>
      <c r="V7" s="79">
        <f t="shared" si="1"/>
        <v>-23.7</v>
      </c>
      <c r="W7" s="80">
        <f t="shared" si="2"/>
        <v>-4.4000000000000004</v>
      </c>
      <c r="Y7" s="8"/>
      <c r="Z7" s="41"/>
      <c r="AA7" s="32">
        <v>1</v>
      </c>
      <c r="AB7" s="32"/>
      <c r="AC7" s="32">
        <v>2</v>
      </c>
      <c r="AD7" s="36">
        <v>40</v>
      </c>
      <c r="AE7" s="47" t="s">
        <v>144</v>
      </c>
      <c r="AF7" s="48" t="s">
        <v>87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9"/>
        <v>3</v>
      </c>
      <c r="C8" s="18">
        <f t="shared" si="11"/>
        <v>0</v>
      </c>
      <c r="D8" s="18">
        <f t="shared" si="5"/>
        <v>0</v>
      </c>
      <c r="E8" s="4" t="s">
        <v>139</v>
      </c>
      <c r="F8" s="8" t="s">
        <v>146</v>
      </c>
      <c r="G8" s="9">
        <v>8000</v>
      </c>
      <c r="H8" s="9"/>
      <c r="I8" s="55">
        <v>0</v>
      </c>
      <c r="J8" s="21">
        <f t="shared" si="6"/>
        <v>71100</v>
      </c>
      <c r="K8" s="8" t="s">
        <v>145</v>
      </c>
      <c r="L8" s="9">
        <v>-3000</v>
      </c>
      <c r="M8" s="9"/>
      <c r="N8" s="55">
        <v>0</v>
      </c>
      <c r="O8" s="21">
        <f t="shared" si="7"/>
        <v>8300</v>
      </c>
      <c r="P8" s="8" t="s">
        <v>145</v>
      </c>
      <c r="Q8" s="9">
        <v>-5000</v>
      </c>
      <c r="R8" s="9"/>
      <c r="S8" s="55">
        <v>0</v>
      </c>
      <c r="T8" s="21">
        <f t="shared" si="8"/>
        <v>25600</v>
      </c>
      <c r="U8" s="78">
        <f t="shared" si="0"/>
        <v>36.1</v>
      </c>
      <c r="V8" s="79">
        <f t="shared" si="1"/>
        <v>-26.7</v>
      </c>
      <c r="W8" s="80">
        <f t="shared" si="2"/>
        <v>-9.4</v>
      </c>
      <c r="Y8" s="8"/>
      <c r="Z8" s="41"/>
      <c r="AA8" s="32">
        <v>1</v>
      </c>
      <c r="AB8" s="32"/>
      <c r="AC8" s="32">
        <v>4</v>
      </c>
      <c r="AD8" s="36">
        <v>30</v>
      </c>
      <c r="AE8" s="47" t="s">
        <v>144</v>
      </c>
      <c r="AF8" s="48" t="s">
        <v>83</v>
      </c>
      <c r="AG8" s="48" t="s">
        <v>80</v>
      </c>
      <c r="AH8" s="48" t="s">
        <v>82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9"/>
        <v>1</v>
      </c>
      <c r="C9" s="18">
        <f t="shared" si="11"/>
        <v>0</v>
      </c>
      <c r="D9" s="18">
        <f t="shared" si="5"/>
        <v>0</v>
      </c>
      <c r="E9" s="4" t="s">
        <v>135</v>
      </c>
      <c r="F9" s="8" t="s">
        <v>145</v>
      </c>
      <c r="G9" s="9">
        <v>-15000</v>
      </c>
      <c r="H9" s="9"/>
      <c r="I9" s="55">
        <v>0</v>
      </c>
      <c r="J9" s="21">
        <f t="shared" si="6"/>
        <v>56100</v>
      </c>
      <c r="K9" s="8" t="s">
        <v>145</v>
      </c>
      <c r="L9" s="9">
        <v>-9000</v>
      </c>
      <c r="M9" s="9"/>
      <c r="N9" s="55">
        <v>0</v>
      </c>
      <c r="O9" s="21">
        <f t="shared" si="7"/>
        <v>-700</v>
      </c>
      <c r="P9" s="8" t="s">
        <v>146</v>
      </c>
      <c r="Q9" s="9">
        <v>24000</v>
      </c>
      <c r="R9" s="9"/>
      <c r="S9" s="55">
        <v>0</v>
      </c>
      <c r="T9" s="21">
        <f t="shared" si="8"/>
        <v>49600</v>
      </c>
      <c r="U9" s="78">
        <f t="shared" si="0"/>
        <v>21.1</v>
      </c>
      <c r="V9" s="79">
        <f t="shared" si="1"/>
        <v>-35.700000000000003</v>
      </c>
      <c r="W9" s="80">
        <f t="shared" si="2"/>
        <v>14.6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12</v>
      </c>
      <c r="BT9" s="36" t="s">
        <v>143</v>
      </c>
      <c r="BU9" s="47" t="s">
        <v>144</v>
      </c>
      <c r="BV9" s="48" t="s">
        <v>83</v>
      </c>
      <c r="BW9" s="48" t="s">
        <v>107</v>
      </c>
      <c r="BX9" s="48" t="s">
        <v>103</v>
      </c>
      <c r="BY9" s="48" t="s">
        <v>84</v>
      </c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9"/>
        <v/>
      </c>
      <c r="C10" s="18" t="str">
        <f t="shared" si="11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78" t="str">
        <f t="shared" si="0"/>
        <v/>
      </c>
      <c r="V10" s="79" t="str">
        <f t="shared" si="1"/>
        <v/>
      </c>
      <c r="W10" s="80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9"/>
        <v/>
      </c>
      <c r="C11" s="18" t="str">
        <f t="shared" si="11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78" t="str">
        <f t="shared" si="0"/>
        <v/>
      </c>
      <c r="V11" s="79" t="str">
        <f t="shared" si="1"/>
        <v/>
      </c>
      <c r="W11" s="80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78" t="str">
        <f t="shared" si="0"/>
        <v/>
      </c>
      <c r="V12" s="79" t="str">
        <f t="shared" si="1"/>
        <v/>
      </c>
      <c r="W12" s="80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78" t="str">
        <f t="shared" si="0"/>
        <v/>
      </c>
      <c r="V13" s="79" t="str">
        <f t="shared" si="1"/>
        <v/>
      </c>
      <c r="W13" s="80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78" t="str">
        <f t="shared" si="0"/>
        <v/>
      </c>
      <c r="V14" s="79" t="str">
        <f t="shared" si="1"/>
        <v/>
      </c>
      <c r="W14" s="80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78" t="str">
        <f t="shared" si="0"/>
        <v/>
      </c>
      <c r="V15" s="79" t="str">
        <f t="shared" si="1"/>
        <v/>
      </c>
      <c r="W15" s="80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78" t="str">
        <f t="shared" si="0"/>
        <v/>
      </c>
      <c r="V16" s="79" t="str">
        <f t="shared" si="1"/>
        <v/>
      </c>
      <c r="W16" s="80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78" t="str">
        <f t="shared" si="0"/>
        <v/>
      </c>
      <c r="V17" s="79" t="str">
        <f t="shared" si="1"/>
        <v/>
      </c>
      <c r="W17" s="80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78" t="str">
        <f t="shared" si="0"/>
        <v/>
      </c>
      <c r="V18" s="79" t="str">
        <f t="shared" si="1"/>
        <v/>
      </c>
      <c r="W18" s="80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78" t="str">
        <f t="shared" si="0"/>
        <v/>
      </c>
      <c r="V19" s="79" t="str">
        <f t="shared" si="1"/>
        <v/>
      </c>
      <c r="W19" s="80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78" t="str">
        <f t="shared" si="0"/>
        <v/>
      </c>
      <c r="V20" s="79" t="str">
        <f t="shared" si="1"/>
        <v/>
      </c>
      <c r="W20" s="80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78" t="str">
        <f t="shared" si="0"/>
        <v/>
      </c>
      <c r="V21" s="79" t="str">
        <f t="shared" si="1"/>
        <v/>
      </c>
      <c r="W21" s="80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78" t="str">
        <f t="shared" si="0"/>
        <v/>
      </c>
      <c r="V22" s="79" t="str">
        <f t="shared" si="1"/>
        <v/>
      </c>
      <c r="W22" s="80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78" t="str">
        <f t="shared" si="0"/>
        <v/>
      </c>
      <c r="V23" s="79" t="str">
        <f t="shared" si="1"/>
        <v/>
      </c>
      <c r="W23" s="80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78" t="str">
        <f t="shared" si="0"/>
        <v/>
      </c>
      <c r="V24" s="79" t="str">
        <f t="shared" si="1"/>
        <v/>
      </c>
      <c r="W24" s="80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78" t="str">
        <f t="shared" si="0"/>
        <v/>
      </c>
      <c r="V25" s="79" t="str">
        <f t="shared" si="1"/>
        <v/>
      </c>
      <c r="W25" s="80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78" t="str">
        <f t="shared" si="0"/>
        <v/>
      </c>
      <c r="V26" s="79" t="str">
        <f t="shared" si="1"/>
        <v/>
      </c>
      <c r="W26" s="80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78" t="str">
        <f t="shared" si="0"/>
        <v/>
      </c>
      <c r="V27" s="79" t="str">
        <f t="shared" si="1"/>
        <v/>
      </c>
      <c r="W27" s="80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78" t="str">
        <f t="shared" si="0"/>
        <v/>
      </c>
      <c r="V28" s="79" t="str">
        <f t="shared" si="1"/>
        <v/>
      </c>
      <c r="W28" s="80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78" t="str">
        <f t="shared" si="0"/>
        <v/>
      </c>
      <c r="V29" s="79" t="str">
        <f t="shared" si="1"/>
        <v/>
      </c>
      <c r="W29" s="80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81" t="str">
        <f t="shared" si="0"/>
        <v/>
      </c>
      <c r="V30" s="82" t="str">
        <f t="shared" si="1"/>
        <v/>
      </c>
      <c r="W30" s="83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87715-52CD-472D-8F50-C33DD72642BB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22</v>
      </c>
      <c r="E1" s="93" t="s">
        <v>3</v>
      </c>
      <c r="F1" s="84" t="s">
        <v>148</v>
      </c>
      <c r="G1" s="86"/>
      <c r="H1" s="86"/>
      <c r="I1" s="95"/>
      <c r="J1" s="87"/>
      <c r="K1" s="84" t="s">
        <v>150</v>
      </c>
      <c r="L1" s="86"/>
      <c r="M1" s="86"/>
      <c r="N1" s="95"/>
      <c r="O1" s="87"/>
      <c r="P1" s="84" t="s">
        <v>140</v>
      </c>
      <c r="Q1" s="86"/>
      <c r="R1" s="86"/>
      <c r="S1" s="95"/>
      <c r="T1" s="87"/>
      <c r="U1" s="84" t="s">
        <v>6</v>
      </c>
      <c r="V1" s="86"/>
      <c r="W1" s="87"/>
      <c r="Y1" s="84" t="str">
        <f>F1</f>
        <v>れんたろう</v>
      </c>
      <c r="Z1" s="85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7"/>
      <c r="AT1" s="84" t="str">
        <f>K1</f>
        <v>ただ</v>
      </c>
      <c r="AU1" s="85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7"/>
      <c r="BO1" s="84" t="str">
        <f>P1</f>
        <v>りくと</v>
      </c>
      <c r="BP1" s="85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61" t="str">
        <f>$F$1</f>
        <v>れんたろう</v>
      </c>
      <c r="V2" s="62" t="str">
        <f>$K$1</f>
        <v>ただ</v>
      </c>
      <c r="W2" s="16" t="str">
        <f>$P$1</f>
        <v>りくと</v>
      </c>
      <c r="Y2" s="57" t="s">
        <v>24</v>
      </c>
      <c r="Z2" s="58" t="s">
        <v>27</v>
      </c>
      <c r="AA2" s="59" t="s">
        <v>25</v>
      </c>
      <c r="AB2" s="59" t="s">
        <v>128</v>
      </c>
      <c r="AC2" s="59" t="s">
        <v>19</v>
      </c>
      <c r="AD2" s="60" t="s">
        <v>20</v>
      </c>
      <c r="AE2" s="88" t="s">
        <v>21</v>
      </c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57" t="s">
        <v>24</v>
      </c>
      <c r="AU2" s="58" t="s">
        <v>27</v>
      </c>
      <c r="AV2" s="59" t="s">
        <v>25</v>
      </c>
      <c r="AW2" s="59" t="s">
        <v>129</v>
      </c>
      <c r="AX2" s="59" t="s">
        <v>19</v>
      </c>
      <c r="AY2" s="60" t="s">
        <v>20</v>
      </c>
      <c r="AZ2" s="88" t="s">
        <v>21</v>
      </c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57" t="s">
        <v>24</v>
      </c>
      <c r="BP2" s="58" t="s">
        <v>27</v>
      </c>
      <c r="BQ2" s="59" t="s">
        <v>25</v>
      </c>
      <c r="BR2" s="59" t="s">
        <v>129</v>
      </c>
      <c r="BS2" s="59" t="s">
        <v>19</v>
      </c>
      <c r="BT2" s="60" t="s">
        <v>20</v>
      </c>
      <c r="BU2" s="88" t="s">
        <v>21</v>
      </c>
      <c r="BV2" s="88"/>
      <c r="BW2" s="88"/>
      <c r="BX2" s="88"/>
      <c r="BY2" s="88"/>
      <c r="BZ2" s="88"/>
      <c r="CA2" s="88"/>
      <c r="CB2" s="88"/>
      <c r="CC2" s="88"/>
      <c r="CD2" s="88"/>
      <c r="CE2" s="88"/>
      <c r="CF2" s="88"/>
      <c r="CG2" s="88"/>
      <c r="CH2" s="88"/>
      <c r="CI2" s="88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75">
        <f t="shared" ref="U3:U30" si="0">IF($J3="","",ROUND(($J3-$J$3)/1000,1))</f>
        <v>0</v>
      </c>
      <c r="V3" s="76">
        <f t="shared" ref="V3:V30" si="1">IF($O3="","",ROUND(($O3-$O$3)/1000,1))</f>
        <v>0</v>
      </c>
      <c r="W3" s="77">
        <f t="shared" ref="W3:W30" si="2"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147</v>
      </c>
      <c r="F4" s="8" t="s">
        <v>142</v>
      </c>
      <c r="G4" s="9">
        <v>-5200</v>
      </c>
      <c r="H4" s="9"/>
      <c r="I4" s="55">
        <v>0</v>
      </c>
      <c r="J4" s="21">
        <f>IF(COUNTA($F4,$K4,$P4)&gt;0,J3+SUM(G4:I4),"")</f>
        <v>29800</v>
      </c>
      <c r="K4" s="8" t="s">
        <v>141</v>
      </c>
      <c r="L4" s="9">
        <v>5200</v>
      </c>
      <c r="M4" s="9"/>
      <c r="N4" s="55">
        <v>0</v>
      </c>
      <c r="O4" s="21">
        <f>IF(COUNTA($F4,$K4,$P4)&gt;0,O3+SUM(L4:N4),"")</f>
        <v>40200</v>
      </c>
      <c r="P4" s="8"/>
      <c r="Q4" s="9"/>
      <c r="R4" s="9"/>
      <c r="S4" s="55"/>
      <c r="T4" s="21">
        <f>IF(COUNTA($F4,$K4,$P4)&gt;0,T3+SUM(Q4:S4),"")</f>
        <v>35000</v>
      </c>
      <c r="U4" s="78">
        <f t="shared" si="0"/>
        <v>-5.2</v>
      </c>
      <c r="V4" s="79">
        <f t="shared" si="1"/>
        <v>5.2</v>
      </c>
      <c r="W4" s="80">
        <f t="shared" si="2"/>
        <v>0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40</v>
      </c>
      <c r="AZ4" s="47" t="s">
        <v>144</v>
      </c>
      <c r="BA4" s="48" t="s">
        <v>87</v>
      </c>
      <c r="BB4" s="48" t="s">
        <v>80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149</v>
      </c>
      <c r="F5" s="8" t="s">
        <v>141</v>
      </c>
      <c r="G5" s="9">
        <v>1000</v>
      </c>
      <c r="H5" s="9"/>
      <c r="I5" s="55">
        <v>0</v>
      </c>
      <c r="J5" s="21">
        <f t="shared" ref="J5:J30" si="6">IF(COUNTA($F5,$K5,$P5)&gt;0,J4+SUM(G5:I5),"")</f>
        <v>30800</v>
      </c>
      <c r="K5" s="8"/>
      <c r="L5" s="9"/>
      <c r="M5" s="9"/>
      <c r="N5" s="55"/>
      <c r="O5" s="21">
        <f t="shared" ref="O5:O30" si="7">IF(COUNTA($F5,$K5,$P5)&gt;0,O4+SUM(L5:N5),"")</f>
        <v>40200</v>
      </c>
      <c r="P5" s="8" t="s">
        <v>142</v>
      </c>
      <c r="Q5" s="9">
        <v>-1000</v>
      </c>
      <c r="R5" s="9"/>
      <c r="S5" s="55">
        <v>0</v>
      </c>
      <c r="T5" s="21">
        <f t="shared" ref="T5:T30" si="8">IF(COUNTA($F5,$K5,$P5)&gt;0,T4+SUM(Q5:S5),"")</f>
        <v>34000</v>
      </c>
      <c r="U5" s="78">
        <f t="shared" si="0"/>
        <v>-4.2</v>
      </c>
      <c r="V5" s="79">
        <f t="shared" si="1"/>
        <v>5.2</v>
      </c>
      <c r="W5" s="80">
        <f t="shared" si="2"/>
        <v>-1</v>
      </c>
      <c r="Y5" s="8"/>
      <c r="Z5" s="41"/>
      <c r="AA5" s="32"/>
      <c r="AB5" s="32">
        <v>1</v>
      </c>
      <c r="AC5" s="32">
        <v>1</v>
      </c>
      <c r="AD5" s="36">
        <v>30</v>
      </c>
      <c r="AE5" s="47" t="s">
        <v>87</v>
      </c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139</v>
      </c>
      <c r="F6" s="8"/>
      <c r="G6" s="9"/>
      <c r="H6" s="9"/>
      <c r="I6" s="55"/>
      <c r="J6" s="21">
        <f t="shared" si="6"/>
        <v>30800</v>
      </c>
      <c r="K6" s="8" t="s">
        <v>142</v>
      </c>
      <c r="L6" s="9">
        <v>-12000</v>
      </c>
      <c r="M6" s="9">
        <v>-1000</v>
      </c>
      <c r="N6" s="55">
        <v>0</v>
      </c>
      <c r="O6" s="21">
        <f t="shared" si="7"/>
        <v>27200</v>
      </c>
      <c r="P6" s="8" t="s">
        <v>141</v>
      </c>
      <c r="Q6" s="9">
        <v>12000</v>
      </c>
      <c r="R6" s="9">
        <v>1000</v>
      </c>
      <c r="S6" s="55">
        <v>0</v>
      </c>
      <c r="T6" s="21">
        <f t="shared" si="8"/>
        <v>47000</v>
      </c>
      <c r="U6" s="78">
        <f t="shared" si="0"/>
        <v>-4.2</v>
      </c>
      <c r="V6" s="79">
        <f t="shared" si="1"/>
        <v>-7.8</v>
      </c>
      <c r="W6" s="80">
        <f t="shared" si="2"/>
        <v>12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4</v>
      </c>
      <c r="BT6" s="36">
        <v>40</v>
      </c>
      <c r="BU6" s="47" t="s">
        <v>144</v>
      </c>
      <c r="BV6" s="48" t="s">
        <v>82</v>
      </c>
      <c r="BW6" s="48" t="s">
        <v>82</v>
      </c>
      <c r="BX6" s="48" t="s">
        <v>80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1</v>
      </c>
      <c r="D7" s="18">
        <f t="shared" si="5"/>
        <v>0</v>
      </c>
      <c r="E7" s="4" t="s">
        <v>139</v>
      </c>
      <c r="F7" s="8" t="s">
        <v>141</v>
      </c>
      <c r="G7" s="9">
        <v>2000</v>
      </c>
      <c r="H7" s="9"/>
      <c r="I7" s="55">
        <v>1000</v>
      </c>
      <c r="J7" s="21">
        <f t="shared" si="6"/>
        <v>33800</v>
      </c>
      <c r="K7" s="8" t="s">
        <v>142</v>
      </c>
      <c r="L7" s="9">
        <v>-2000</v>
      </c>
      <c r="M7" s="9"/>
      <c r="N7" s="55">
        <v>-1000</v>
      </c>
      <c r="O7" s="21">
        <f t="shared" si="7"/>
        <v>24200</v>
      </c>
      <c r="P7" s="8"/>
      <c r="Q7" s="9"/>
      <c r="R7" s="9"/>
      <c r="S7" s="55"/>
      <c r="T7" s="21">
        <f t="shared" si="8"/>
        <v>47000</v>
      </c>
      <c r="U7" s="78">
        <f t="shared" si="0"/>
        <v>-1.2</v>
      </c>
      <c r="V7" s="79">
        <f t="shared" si="1"/>
        <v>-10.8</v>
      </c>
      <c r="W7" s="80">
        <f t="shared" si="2"/>
        <v>12</v>
      </c>
      <c r="Y7" s="8"/>
      <c r="Z7" s="41"/>
      <c r="AA7" s="32"/>
      <c r="AB7" s="32">
        <v>1</v>
      </c>
      <c r="AC7" s="32">
        <v>2</v>
      </c>
      <c r="AD7" s="36">
        <v>30</v>
      </c>
      <c r="AE7" s="47" t="s">
        <v>87</v>
      </c>
      <c r="AF7" s="48" t="s">
        <v>87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147</v>
      </c>
      <c r="F8" s="8" t="s">
        <v>142</v>
      </c>
      <c r="G8" s="9">
        <v>-8000</v>
      </c>
      <c r="H8" s="9"/>
      <c r="I8" s="55">
        <v>0</v>
      </c>
      <c r="J8" s="21">
        <f t="shared" si="6"/>
        <v>25800</v>
      </c>
      <c r="K8" s="8" t="s">
        <v>141</v>
      </c>
      <c r="L8" s="9">
        <v>8000</v>
      </c>
      <c r="M8" s="9"/>
      <c r="N8" s="55">
        <v>0</v>
      </c>
      <c r="O8" s="21">
        <f t="shared" si="7"/>
        <v>32200</v>
      </c>
      <c r="P8" s="8"/>
      <c r="Q8" s="9"/>
      <c r="R8" s="9"/>
      <c r="S8" s="55"/>
      <c r="T8" s="21">
        <f t="shared" si="8"/>
        <v>47000</v>
      </c>
      <c r="U8" s="78">
        <f t="shared" si="0"/>
        <v>-9.1999999999999993</v>
      </c>
      <c r="V8" s="79">
        <f t="shared" si="1"/>
        <v>-2.8</v>
      </c>
      <c r="W8" s="80">
        <f t="shared" si="2"/>
        <v>12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5</v>
      </c>
      <c r="AY8" s="36" t="s">
        <v>143</v>
      </c>
      <c r="AZ8" s="47" t="s">
        <v>87</v>
      </c>
      <c r="BA8" s="48" t="s">
        <v>87</v>
      </c>
      <c r="BB8" s="48" t="s">
        <v>82</v>
      </c>
      <c r="BC8" s="48" t="s">
        <v>80</v>
      </c>
      <c r="BD8" s="48" t="s">
        <v>80</v>
      </c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0</v>
      </c>
      <c r="D9" s="18">
        <f t="shared" si="5"/>
        <v>0</v>
      </c>
      <c r="E9" s="4" t="s">
        <v>149</v>
      </c>
      <c r="F9" s="8" t="s">
        <v>153</v>
      </c>
      <c r="G9" s="9">
        <v>-3000</v>
      </c>
      <c r="H9" s="9"/>
      <c r="I9" s="55"/>
      <c r="J9" s="21">
        <f t="shared" si="6"/>
        <v>22800</v>
      </c>
      <c r="K9" s="8" t="s">
        <v>153</v>
      </c>
      <c r="L9" s="9">
        <v>1500</v>
      </c>
      <c r="M9" s="9"/>
      <c r="N9" s="55"/>
      <c r="O9" s="21">
        <f t="shared" si="7"/>
        <v>33700</v>
      </c>
      <c r="P9" s="8" t="s">
        <v>153</v>
      </c>
      <c r="Q9" s="9">
        <v>1500</v>
      </c>
      <c r="R9" s="9"/>
      <c r="S9" s="55"/>
      <c r="T9" s="21">
        <f t="shared" si="8"/>
        <v>48500</v>
      </c>
      <c r="U9" s="78">
        <f t="shared" si="0"/>
        <v>-12.2</v>
      </c>
      <c r="V9" s="79">
        <f t="shared" si="1"/>
        <v>-1.3</v>
      </c>
      <c r="W9" s="80">
        <f t="shared" si="2"/>
        <v>13.5</v>
      </c>
      <c r="Y9" s="8" t="s">
        <v>151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152</v>
      </c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152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1</v>
      </c>
      <c r="D10" s="18">
        <f t="shared" si="5"/>
        <v>0</v>
      </c>
      <c r="E10" s="4" t="s">
        <v>149</v>
      </c>
      <c r="F10" s="8" t="s">
        <v>153</v>
      </c>
      <c r="G10" s="9">
        <v>1500</v>
      </c>
      <c r="H10" s="9"/>
      <c r="I10" s="55"/>
      <c r="J10" s="21">
        <f t="shared" si="6"/>
        <v>24300</v>
      </c>
      <c r="K10" s="8" t="s">
        <v>153</v>
      </c>
      <c r="L10" s="9">
        <v>1500</v>
      </c>
      <c r="M10" s="9"/>
      <c r="N10" s="55"/>
      <c r="O10" s="21">
        <f t="shared" si="7"/>
        <v>35200</v>
      </c>
      <c r="P10" s="8" t="s">
        <v>153</v>
      </c>
      <c r="Q10" s="9">
        <v>-3000</v>
      </c>
      <c r="R10" s="9"/>
      <c r="S10" s="55"/>
      <c r="T10" s="21">
        <f t="shared" si="8"/>
        <v>45500</v>
      </c>
      <c r="U10" s="78">
        <f t="shared" si="0"/>
        <v>-10.7</v>
      </c>
      <c r="V10" s="79">
        <f t="shared" si="1"/>
        <v>0.2</v>
      </c>
      <c r="W10" s="80">
        <f t="shared" si="2"/>
        <v>10.5</v>
      </c>
      <c r="Y10" s="8" t="s">
        <v>152</v>
      </c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152</v>
      </c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151</v>
      </c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2</v>
      </c>
      <c r="D11" s="18">
        <f t="shared" si="5"/>
        <v>0</v>
      </c>
      <c r="E11" s="4" t="s">
        <v>149</v>
      </c>
      <c r="F11" s="8" t="s">
        <v>153</v>
      </c>
      <c r="G11" s="9">
        <v>-3000</v>
      </c>
      <c r="H11" s="9"/>
      <c r="I11" s="55"/>
      <c r="J11" s="21">
        <f t="shared" si="6"/>
        <v>21300</v>
      </c>
      <c r="K11" s="8" t="s">
        <v>153</v>
      </c>
      <c r="L11" s="9">
        <v>1500</v>
      </c>
      <c r="M11" s="9"/>
      <c r="N11" s="55"/>
      <c r="O11" s="21">
        <f t="shared" si="7"/>
        <v>36700</v>
      </c>
      <c r="P11" s="8" t="s">
        <v>153</v>
      </c>
      <c r="Q11" s="9">
        <v>1500</v>
      </c>
      <c r="R11" s="9"/>
      <c r="S11" s="55"/>
      <c r="T11" s="21">
        <f t="shared" si="8"/>
        <v>47000</v>
      </c>
      <c r="U11" s="78">
        <f t="shared" si="0"/>
        <v>-13.7</v>
      </c>
      <c r="V11" s="79">
        <f t="shared" si="1"/>
        <v>1.7</v>
      </c>
      <c r="W11" s="80">
        <f t="shared" si="2"/>
        <v>12</v>
      </c>
      <c r="Y11" s="8" t="s">
        <v>151</v>
      </c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152</v>
      </c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152</v>
      </c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3</v>
      </c>
      <c r="D12" s="18">
        <f t="shared" si="5"/>
        <v>0</v>
      </c>
      <c r="E12" s="4" t="s">
        <v>149</v>
      </c>
      <c r="F12" s="8" t="s">
        <v>142</v>
      </c>
      <c r="G12" s="9">
        <v>-18000</v>
      </c>
      <c r="H12" s="9"/>
      <c r="I12" s="55">
        <v>-3000</v>
      </c>
      <c r="J12" s="21">
        <f t="shared" si="6"/>
        <v>300</v>
      </c>
      <c r="K12" s="8" t="s">
        <v>141</v>
      </c>
      <c r="L12" s="9">
        <v>18000</v>
      </c>
      <c r="M12" s="9"/>
      <c r="N12" s="55">
        <v>3000</v>
      </c>
      <c r="O12" s="21">
        <f t="shared" si="7"/>
        <v>57700</v>
      </c>
      <c r="P12" s="8"/>
      <c r="Q12" s="9"/>
      <c r="R12" s="9"/>
      <c r="S12" s="55"/>
      <c r="T12" s="21">
        <f t="shared" si="8"/>
        <v>47000</v>
      </c>
      <c r="U12" s="78">
        <f t="shared" si="0"/>
        <v>-34.700000000000003</v>
      </c>
      <c r="V12" s="79">
        <f t="shared" si="1"/>
        <v>22.7</v>
      </c>
      <c r="W12" s="80">
        <f t="shared" si="2"/>
        <v>12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7</v>
      </c>
      <c r="AY12" s="36" t="s">
        <v>143</v>
      </c>
      <c r="AZ12" s="47" t="s">
        <v>87</v>
      </c>
      <c r="BA12" s="48" t="s">
        <v>87</v>
      </c>
      <c r="BB12" s="48" t="s">
        <v>87</v>
      </c>
      <c r="BC12" s="48" t="s">
        <v>105</v>
      </c>
      <c r="BD12" s="48" t="s">
        <v>80</v>
      </c>
      <c r="BE12" s="48" t="s">
        <v>80</v>
      </c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2</v>
      </c>
      <c r="C13" s="18">
        <f t="shared" si="4"/>
        <v>4</v>
      </c>
      <c r="D13" s="18">
        <f t="shared" si="5"/>
        <v>0</v>
      </c>
      <c r="E13" s="4" t="s">
        <v>149</v>
      </c>
      <c r="F13" s="8" t="s">
        <v>145</v>
      </c>
      <c r="G13" s="9">
        <v>-12000</v>
      </c>
      <c r="H13" s="9"/>
      <c r="I13" s="55">
        <v>-2000</v>
      </c>
      <c r="J13" s="21">
        <f t="shared" si="6"/>
        <v>-13700</v>
      </c>
      <c r="K13" s="8" t="s">
        <v>145</v>
      </c>
      <c r="L13" s="9">
        <v>-20000</v>
      </c>
      <c r="M13" s="9"/>
      <c r="N13" s="55">
        <v>-2000</v>
      </c>
      <c r="O13" s="21">
        <f t="shared" si="7"/>
        <v>35700</v>
      </c>
      <c r="P13" s="8" t="s">
        <v>146</v>
      </c>
      <c r="Q13" s="9">
        <v>32000</v>
      </c>
      <c r="R13" s="9"/>
      <c r="S13" s="55">
        <v>4000</v>
      </c>
      <c r="T13" s="21">
        <f t="shared" si="8"/>
        <v>83000</v>
      </c>
      <c r="U13" s="78">
        <f t="shared" si="0"/>
        <v>-48.7</v>
      </c>
      <c r="V13" s="79">
        <f t="shared" si="1"/>
        <v>0.7</v>
      </c>
      <c r="W13" s="80">
        <f t="shared" si="2"/>
        <v>48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>
        <v>13</v>
      </c>
      <c r="BT13" s="36" t="s">
        <v>143</v>
      </c>
      <c r="BU13" s="47" t="s">
        <v>108</v>
      </c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78" t="str">
        <f t="shared" si="0"/>
        <v/>
      </c>
      <c r="V14" s="79" t="str">
        <f t="shared" si="1"/>
        <v/>
      </c>
      <c r="W14" s="80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78" t="str">
        <f t="shared" si="0"/>
        <v/>
      </c>
      <c r="V15" s="79" t="str">
        <f t="shared" si="1"/>
        <v/>
      </c>
      <c r="W15" s="80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78" t="str">
        <f t="shared" si="0"/>
        <v/>
      </c>
      <c r="V16" s="79" t="str">
        <f t="shared" si="1"/>
        <v/>
      </c>
      <c r="W16" s="80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78" t="str">
        <f t="shared" si="0"/>
        <v/>
      </c>
      <c r="V17" s="79" t="str">
        <f t="shared" si="1"/>
        <v/>
      </c>
      <c r="W17" s="80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78" t="str">
        <f t="shared" si="0"/>
        <v/>
      </c>
      <c r="V18" s="79" t="str">
        <f t="shared" si="1"/>
        <v/>
      </c>
      <c r="W18" s="80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78" t="str">
        <f t="shared" si="0"/>
        <v/>
      </c>
      <c r="V19" s="79" t="str">
        <f t="shared" si="1"/>
        <v/>
      </c>
      <c r="W19" s="80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78" t="str">
        <f t="shared" si="0"/>
        <v/>
      </c>
      <c r="V20" s="79" t="str">
        <f t="shared" si="1"/>
        <v/>
      </c>
      <c r="W20" s="80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78" t="str">
        <f t="shared" si="0"/>
        <v/>
      </c>
      <c r="V21" s="79" t="str">
        <f t="shared" si="1"/>
        <v/>
      </c>
      <c r="W21" s="80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78" t="str">
        <f t="shared" si="0"/>
        <v/>
      </c>
      <c r="V22" s="79" t="str">
        <f t="shared" si="1"/>
        <v/>
      </c>
      <c r="W22" s="80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78" t="str">
        <f t="shared" si="0"/>
        <v/>
      </c>
      <c r="V23" s="79" t="str">
        <f t="shared" si="1"/>
        <v/>
      </c>
      <c r="W23" s="80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78" t="str">
        <f t="shared" si="0"/>
        <v/>
      </c>
      <c r="V24" s="79" t="str">
        <f t="shared" si="1"/>
        <v/>
      </c>
      <c r="W24" s="80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78" t="str">
        <f t="shared" si="0"/>
        <v/>
      </c>
      <c r="V25" s="79" t="str">
        <f t="shared" si="1"/>
        <v/>
      </c>
      <c r="W25" s="80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78" t="str">
        <f t="shared" si="0"/>
        <v/>
      </c>
      <c r="V26" s="79" t="str">
        <f t="shared" si="1"/>
        <v/>
      </c>
      <c r="W26" s="80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78" t="str">
        <f t="shared" si="0"/>
        <v/>
      </c>
      <c r="V27" s="79" t="str">
        <f t="shared" si="1"/>
        <v/>
      </c>
      <c r="W27" s="80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78" t="str">
        <f t="shared" si="0"/>
        <v/>
      </c>
      <c r="V28" s="79" t="str">
        <f t="shared" si="1"/>
        <v/>
      </c>
      <c r="W28" s="80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78" t="str">
        <f t="shared" si="0"/>
        <v/>
      </c>
      <c r="V29" s="79" t="str">
        <f t="shared" si="1"/>
        <v/>
      </c>
      <c r="W29" s="80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81" t="str">
        <f t="shared" si="0"/>
        <v/>
      </c>
      <c r="V30" s="82" t="str">
        <f t="shared" si="1"/>
        <v/>
      </c>
      <c r="W30" s="83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5A811F60-938D-420B-8C45-F57F97CE0E4A}">
      <formula1>$U$2:$W$2</formula1>
    </dataValidation>
    <dataValidation type="list" showInputMessage="1" showErrorMessage="1" sqref="K4:K30 P4:P30 F4:F30" xr:uid="{E34F0719-9B87-4B75-A623-18C15E06CCC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F81D6-9D6F-42CD-B8A8-C58224EAABE5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22</v>
      </c>
      <c r="E1" s="93" t="s">
        <v>3</v>
      </c>
      <c r="F1" s="84" t="s">
        <v>138</v>
      </c>
      <c r="G1" s="86"/>
      <c r="H1" s="86"/>
      <c r="I1" s="95"/>
      <c r="J1" s="87"/>
      <c r="K1" s="84" t="s">
        <v>150</v>
      </c>
      <c r="L1" s="86"/>
      <c r="M1" s="86"/>
      <c r="N1" s="95"/>
      <c r="O1" s="87"/>
      <c r="P1" s="84" t="s">
        <v>140</v>
      </c>
      <c r="Q1" s="86"/>
      <c r="R1" s="86"/>
      <c r="S1" s="95"/>
      <c r="T1" s="87"/>
      <c r="U1" s="84" t="s">
        <v>6</v>
      </c>
      <c r="V1" s="86"/>
      <c r="W1" s="87"/>
      <c r="Y1" s="84" t="str">
        <f>F1</f>
        <v>たかの</v>
      </c>
      <c r="Z1" s="85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7"/>
      <c r="AT1" s="84" t="str">
        <f>K1</f>
        <v>ただ</v>
      </c>
      <c r="AU1" s="85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7"/>
      <c r="BO1" s="84" t="str">
        <f>P1</f>
        <v>りくと</v>
      </c>
      <c r="BP1" s="85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67" t="str">
        <f>$F$1</f>
        <v>たかの</v>
      </c>
      <c r="V2" s="68" t="str">
        <f>$K$1</f>
        <v>ただ</v>
      </c>
      <c r="W2" s="16" t="str">
        <f>$P$1</f>
        <v>りくと</v>
      </c>
      <c r="Y2" s="63" t="s">
        <v>24</v>
      </c>
      <c r="Z2" s="64" t="s">
        <v>27</v>
      </c>
      <c r="AA2" s="65" t="s">
        <v>25</v>
      </c>
      <c r="AB2" s="65" t="s">
        <v>128</v>
      </c>
      <c r="AC2" s="65" t="s">
        <v>19</v>
      </c>
      <c r="AD2" s="66" t="s">
        <v>20</v>
      </c>
      <c r="AE2" s="88" t="s">
        <v>21</v>
      </c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63" t="s">
        <v>24</v>
      </c>
      <c r="AU2" s="64" t="s">
        <v>27</v>
      </c>
      <c r="AV2" s="65" t="s">
        <v>25</v>
      </c>
      <c r="AW2" s="65" t="s">
        <v>129</v>
      </c>
      <c r="AX2" s="65" t="s">
        <v>19</v>
      </c>
      <c r="AY2" s="66" t="s">
        <v>20</v>
      </c>
      <c r="AZ2" s="88" t="s">
        <v>21</v>
      </c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63" t="s">
        <v>24</v>
      </c>
      <c r="BP2" s="64" t="s">
        <v>27</v>
      </c>
      <c r="BQ2" s="65" t="s">
        <v>25</v>
      </c>
      <c r="BR2" s="65" t="s">
        <v>129</v>
      </c>
      <c r="BS2" s="65" t="s">
        <v>19</v>
      </c>
      <c r="BT2" s="66" t="s">
        <v>20</v>
      </c>
      <c r="BU2" s="88" t="s">
        <v>21</v>
      </c>
      <c r="BV2" s="88"/>
      <c r="BW2" s="88"/>
      <c r="BX2" s="88"/>
      <c r="BY2" s="88"/>
      <c r="BZ2" s="88"/>
      <c r="CA2" s="88"/>
      <c r="CB2" s="88"/>
      <c r="CC2" s="88"/>
      <c r="CD2" s="88"/>
      <c r="CE2" s="88"/>
      <c r="CF2" s="88"/>
      <c r="CG2" s="88"/>
      <c r="CH2" s="88"/>
      <c r="CI2" s="88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75">
        <f t="shared" ref="U3:U30" si="0">IF($J3="","",ROUND(($J3-$J$3)/1000,1))</f>
        <v>0</v>
      </c>
      <c r="V3" s="76">
        <f t="shared" ref="V3:V30" si="1">IF($O3="","",ROUND(($O3-$O$3)/1000,1))</f>
        <v>0</v>
      </c>
      <c r="W3" s="77">
        <f t="shared" ref="W3:W30" si="2"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149</v>
      </c>
      <c r="F4" s="8" t="s">
        <v>142</v>
      </c>
      <c r="G4" s="9">
        <v>-7700</v>
      </c>
      <c r="H4" s="9"/>
      <c r="I4" s="55">
        <v>0</v>
      </c>
      <c r="J4" s="21">
        <f>IF(COUNTA($F4,$K4,$P4)&gt;0,J3+SUM(G4:I4),"")</f>
        <v>27300</v>
      </c>
      <c r="K4" s="8" t="s">
        <v>141</v>
      </c>
      <c r="L4" s="9">
        <v>7700</v>
      </c>
      <c r="M4" s="9"/>
      <c r="N4" s="55">
        <v>0</v>
      </c>
      <c r="O4" s="21">
        <f>IF(COUNTA($F4,$K4,$P4)&gt;0,O3+SUM(L4:N4),"")</f>
        <v>42700</v>
      </c>
      <c r="P4" s="8"/>
      <c r="Q4" s="9"/>
      <c r="R4" s="9"/>
      <c r="S4" s="55"/>
      <c r="T4" s="21">
        <f>IF(COUNTA($F4,$K4,$P4)&gt;0,T3+SUM(Q4:S4),"")</f>
        <v>35000</v>
      </c>
      <c r="U4" s="78">
        <f t="shared" si="0"/>
        <v>-7.7</v>
      </c>
      <c r="V4" s="79">
        <f t="shared" si="1"/>
        <v>7.7</v>
      </c>
      <c r="W4" s="80">
        <f t="shared" si="2"/>
        <v>0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40</v>
      </c>
      <c r="AZ4" s="47" t="s">
        <v>144</v>
      </c>
      <c r="BA4" s="48" t="s">
        <v>87</v>
      </c>
      <c r="BB4" s="48" t="s">
        <v>82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149</v>
      </c>
      <c r="F5" s="8" t="s">
        <v>141</v>
      </c>
      <c r="G5" s="9">
        <v>5200</v>
      </c>
      <c r="H5" s="9"/>
      <c r="I5" s="55">
        <v>1000</v>
      </c>
      <c r="J5" s="21">
        <f t="shared" ref="J5:J30" si="6">IF(COUNTA($F5,$K5,$P5)&gt;0,J4+SUM(G5:I5),"")</f>
        <v>33500</v>
      </c>
      <c r="K5" s="8"/>
      <c r="L5" s="9"/>
      <c r="M5" s="9"/>
      <c r="N5" s="55"/>
      <c r="O5" s="21">
        <f t="shared" ref="O5:O30" si="7">IF(COUNTA($F5,$K5,$P5)&gt;0,O4+SUM(L5:N5),"")</f>
        <v>42700</v>
      </c>
      <c r="P5" s="8" t="s">
        <v>142</v>
      </c>
      <c r="Q5" s="9">
        <v>-5200</v>
      </c>
      <c r="R5" s="9"/>
      <c r="S5" s="55">
        <v>-1000</v>
      </c>
      <c r="T5" s="21">
        <f t="shared" ref="T5:T30" si="8">IF(COUNTA($F5,$K5,$P5)&gt;0,T4+SUM(Q5:S5),"")</f>
        <v>28800</v>
      </c>
      <c r="U5" s="78">
        <f t="shared" si="0"/>
        <v>-1.5</v>
      </c>
      <c r="V5" s="79">
        <f t="shared" si="1"/>
        <v>7.7</v>
      </c>
      <c r="W5" s="80">
        <f t="shared" si="2"/>
        <v>-6.2</v>
      </c>
      <c r="Y5" s="8"/>
      <c r="Z5" s="41"/>
      <c r="AA5" s="32">
        <v>1</v>
      </c>
      <c r="AB5" s="32"/>
      <c r="AC5" s="32">
        <v>3</v>
      </c>
      <c r="AD5" s="36">
        <v>40</v>
      </c>
      <c r="AE5" s="47" t="s">
        <v>144</v>
      </c>
      <c r="AF5" s="48" t="s">
        <v>154</v>
      </c>
      <c r="AG5" s="48" t="s">
        <v>85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139</v>
      </c>
      <c r="F6" s="8" t="s">
        <v>145</v>
      </c>
      <c r="G6" s="9">
        <v>-1500</v>
      </c>
      <c r="H6" s="9"/>
      <c r="I6" s="55">
        <v>0</v>
      </c>
      <c r="J6" s="21">
        <f t="shared" si="6"/>
        <v>32000</v>
      </c>
      <c r="K6" s="8" t="s">
        <v>146</v>
      </c>
      <c r="L6" s="9">
        <v>4000</v>
      </c>
      <c r="M6" s="9"/>
      <c r="N6" s="55">
        <v>0</v>
      </c>
      <c r="O6" s="21">
        <f t="shared" si="7"/>
        <v>46700</v>
      </c>
      <c r="P6" s="8" t="s">
        <v>145</v>
      </c>
      <c r="Q6" s="9">
        <v>-2500</v>
      </c>
      <c r="R6" s="9"/>
      <c r="S6" s="55">
        <v>0</v>
      </c>
      <c r="T6" s="21">
        <f t="shared" si="8"/>
        <v>26300</v>
      </c>
      <c r="U6" s="78">
        <f t="shared" si="0"/>
        <v>-3</v>
      </c>
      <c r="V6" s="79">
        <f t="shared" si="1"/>
        <v>11.7</v>
      </c>
      <c r="W6" s="80">
        <f t="shared" si="2"/>
        <v>-8.6999999999999993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3</v>
      </c>
      <c r="AY6" s="36">
        <v>30</v>
      </c>
      <c r="AZ6" s="47" t="s">
        <v>87</v>
      </c>
      <c r="BA6" s="48" t="s">
        <v>82</v>
      </c>
      <c r="BB6" s="48" t="s">
        <v>82</v>
      </c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137</v>
      </c>
      <c r="F7" s="8"/>
      <c r="G7" s="9"/>
      <c r="H7" s="9"/>
      <c r="I7" s="55"/>
      <c r="J7" s="21">
        <f t="shared" si="6"/>
        <v>32000</v>
      </c>
      <c r="K7" s="8" t="s">
        <v>141</v>
      </c>
      <c r="L7" s="9">
        <v>3900</v>
      </c>
      <c r="M7" s="9"/>
      <c r="N7" s="55">
        <v>0</v>
      </c>
      <c r="O7" s="21">
        <f t="shared" si="7"/>
        <v>50600</v>
      </c>
      <c r="P7" s="8" t="s">
        <v>142</v>
      </c>
      <c r="Q7" s="9">
        <v>-3900</v>
      </c>
      <c r="R7" s="9"/>
      <c r="S7" s="55">
        <v>0</v>
      </c>
      <c r="T7" s="21">
        <f t="shared" si="8"/>
        <v>22400</v>
      </c>
      <c r="U7" s="78">
        <f t="shared" si="0"/>
        <v>-3</v>
      </c>
      <c r="V7" s="79">
        <f t="shared" si="1"/>
        <v>15.6</v>
      </c>
      <c r="W7" s="80">
        <f t="shared" si="2"/>
        <v>-12.6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3</v>
      </c>
      <c r="AY7" s="36">
        <v>30</v>
      </c>
      <c r="AZ7" s="47" t="s">
        <v>87</v>
      </c>
      <c r="BA7" s="48" t="s">
        <v>82</v>
      </c>
      <c r="BB7" s="48" t="s">
        <v>80</v>
      </c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149</v>
      </c>
      <c r="F8" s="8"/>
      <c r="G8" s="9"/>
      <c r="H8" s="9"/>
      <c r="I8" s="55"/>
      <c r="J8" s="21">
        <f t="shared" si="6"/>
        <v>32000</v>
      </c>
      <c r="K8" s="8" t="s">
        <v>142</v>
      </c>
      <c r="L8" s="9">
        <v>-8000</v>
      </c>
      <c r="M8" s="9"/>
      <c r="N8" s="55">
        <v>0</v>
      </c>
      <c r="O8" s="21">
        <f t="shared" si="7"/>
        <v>42600</v>
      </c>
      <c r="P8" s="8" t="s">
        <v>141</v>
      </c>
      <c r="Q8" s="9">
        <v>8000</v>
      </c>
      <c r="R8" s="9"/>
      <c r="S8" s="55">
        <v>0</v>
      </c>
      <c r="T8" s="21">
        <f t="shared" si="8"/>
        <v>30400</v>
      </c>
      <c r="U8" s="78">
        <f t="shared" si="0"/>
        <v>-3</v>
      </c>
      <c r="V8" s="79">
        <f t="shared" si="1"/>
        <v>7.6</v>
      </c>
      <c r="W8" s="80">
        <f t="shared" si="2"/>
        <v>-4.5999999999999996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4</v>
      </c>
      <c r="BT8" s="36">
        <v>40</v>
      </c>
      <c r="BU8" s="47" t="s">
        <v>144</v>
      </c>
      <c r="BV8" s="48" t="s">
        <v>82</v>
      </c>
      <c r="BW8" s="48" t="s">
        <v>80</v>
      </c>
      <c r="BX8" s="48" t="s">
        <v>81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0</v>
      </c>
      <c r="D9" s="18">
        <f t="shared" si="5"/>
        <v>0</v>
      </c>
      <c r="E9" s="4" t="s">
        <v>139</v>
      </c>
      <c r="F9" s="8" t="s">
        <v>153</v>
      </c>
      <c r="G9" s="9">
        <v>-3000</v>
      </c>
      <c r="H9" s="9"/>
      <c r="I9" s="55"/>
      <c r="J9" s="21">
        <f t="shared" si="6"/>
        <v>29000</v>
      </c>
      <c r="K9" s="8" t="s">
        <v>153</v>
      </c>
      <c r="L9" s="9">
        <v>1500</v>
      </c>
      <c r="M9" s="9"/>
      <c r="N9" s="55"/>
      <c r="O9" s="21">
        <f t="shared" si="7"/>
        <v>44100</v>
      </c>
      <c r="P9" s="8" t="s">
        <v>153</v>
      </c>
      <c r="Q9" s="9">
        <v>1500</v>
      </c>
      <c r="R9" s="9"/>
      <c r="S9" s="55"/>
      <c r="T9" s="21">
        <f t="shared" si="8"/>
        <v>31900</v>
      </c>
      <c r="U9" s="78">
        <f t="shared" si="0"/>
        <v>-6</v>
      </c>
      <c r="V9" s="79">
        <f t="shared" si="1"/>
        <v>9.1</v>
      </c>
      <c r="W9" s="80">
        <f t="shared" si="2"/>
        <v>-3.1</v>
      </c>
      <c r="Y9" s="8" t="s">
        <v>151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152</v>
      </c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152</v>
      </c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1</v>
      </c>
      <c r="D10" s="18">
        <f t="shared" si="5"/>
        <v>0</v>
      </c>
      <c r="E10" s="4" t="s">
        <v>139</v>
      </c>
      <c r="F10" s="8" t="s">
        <v>145</v>
      </c>
      <c r="G10" s="9">
        <v>-9000</v>
      </c>
      <c r="H10" s="9"/>
      <c r="I10" s="55">
        <v>-500</v>
      </c>
      <c r="J10" s="21">
        <f t="shared" si="6"/>
        <v>19500</v>
      </c>
      <c r="K10" s="8" t="s">
        <v>145</v>
      </c>
      <c r="L10" s="9">
        <v>-9000</v>
      </c>
      <c r="M10" s="9"/>
      <c r="N10" s="55">
        <v>-500</v>
      </c>
      <c r="O10" s="21">
        <f t="shared" si="7"/>
        <v>34600</v>
      </c>
      <c r="P10" s="8" t="s">
        <v>146</v>
      </c>
      <c r="Q10" s="9">
        <v>18000</v>
      </c>
      <c r="R10" s="9"/>
      <c r="S10" s="55">
        <v>1000</v>
      </c>
      <c r="T10" s="21">
        <f t="shared" si="8"/>
        <v>50900</v>
      </c>
      <c r="U10" s="78">
        <f t="shared" si="0"/>
        <v>-15.5</v>
      </c>
      <c r="V10" s="79">
        <f t="shared" si="1"/>
        <v>-0.4</v>
      </c>
      <c r="W10" s="80">
        <f t="shared" si="2"/>
        <v>15.9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7</v>
      </c>
      <c r="BT10" s="36" t="s">
        <v>143</v>
      </c>
      <c r="BU10" s="47" t="s">
        <v>144</v>
      </c>
      <c r="BV10" s="48" t="s">
        <v>83</v>
      </c>
      <c r="BW10" s="48" t="s">
        <v>154</v>
      </c>
      <c r="BX10" s="48" t="s">
        <v>80</v>
      </c>
      <c r="BY10" s="48" t="s">
        <v>80</v>
      </c>
      <c r="BZ10" s="48" t="s">
        <v>81</v>
      </c>
      <c r="CA10" s="48" t="s">
        <v>82</v>
      </c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2</v>
      </c>
      <c r="D11" s="18">
        <f t="shared" si="5"/>
        <v>0</v>
      </c>
      <c r="E11" s="4" t="s">
        <v>139</v>
      </c>
      <c r="F11" s="8"/>
      <c r="G11" s="9"/>
      <c r="H11" s="9"/>
      <c r="I11" s="55"/>
      <c r="J11" s="21">
        <f t="shared" si="6"/>
        <v>19500</v>
      </c>
      <c r="K11" s="8" t="s">
        <v>142</v>
      </c>
      <c r="L11" s="9">
        <v>-2400</v>
      </c>
      <c r="M11" s="9"/>
      <c r="N11" s="55">
        <v>-2000</v>
      </c>
      <c r="O11" s="21">
        <f t="shared" si="7"/>
        <v>30200</v>
      </c>
      <c r="P11" s="8" t="s">
        <v>141</v>
      </c>
      <c r="Q11" s="9">
        <v>2400</v>
      </c>
      <c r="R11" s="9"/>
      <c r="S11" s="55">
        <v>2000</v>
      </c>
      <c r="T11" s="21">
        <f t="shared" si="8"/>
        <v>55300</v>
      </c>
      <c r="U11" s="78">
        <f t="shared" si="0"/>
        <v>-15.5</v>
      </c>
      <c r="V11" s="79">
        <f t="shared" si="1"/>
        <v>-4.8</v>
      </c>
      <c r="W11" s="80">
        <f t="shared" si="2"/>
        <v>20.3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>
        <v>2</v>
      </c>
      <c r="BT11" s="36">
        <v>25</v>
      </c>
      <c r="BU11" s="47" t="s">
        <v>102</v>
      </c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3</v>
      </c>
      <c r="D12" s="18">
        <f t="shared" si="5"/>
        <v>0</v>
      </c>
      <c r="E12" s="4" t="s">
        <v>139</v>
      </c>
      <c r="F12" s="8" t="s">
        <v>155</v>
      </c>
      <c r="G12" s="9">
        <v>6000</v>
      </c>
      <c r="H12" s="9"/>
      <c r="I12" s="55"/>
      <c r="J12" s="21">
        <f t="shared" si="6"/>
        <v>25500</v>
      </c>
      <c r="K12" s="8" t="s">
        <v>155</v>
      </c>
      <c r="L12" s="9">
        <v>6000</v>
      </c>
      <c r="M12" s="9"/>
      <c r="N12" s="55"/>
      <c r="O12" s="21">
        <f t="shared" si="7"/>
        <v>36200</v>
      </c>
      <c r="P12" s="8" t="s">
        <v>155</v>
      </c>
      <c r="Q12" s="9">
        <v>-12000</v>
      </c>
      <c r="R12" s="9"/>
      <c r="S12" s="55"/>
      <c r="T12" s="21">
        <f t="shared" si="8"/>
        <v>43300</v>
      </c>
      <c r="U12" s="78">
        <f t="shared" si="0"/>
        <v>-9.5</v>
      </c>
      <c r="V12" s="79">
        <f t="shared" si="1"/>
        <v>1.2</v>
      </c>
      <c r="W12" s="80">
        <f t="shared" si="2"/>
        <v>8.3000000000000007</v>
      </c>
      <c r="Y12" s="8"/>
      <c r="Z12" s="41"/>
      <c r="AA12" s="32"/>
      <c r="AB12" s="32">
        <v>1</v>
      </c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>
        <v>1</v>
      </c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3</v>
      </c>
      <c r="D13" s="18">
        <f t="shared" si="5"/>
        <v>0</v>
      </c>
      <c r="E13" s="4" t="s">
        <v>137</v>
      </c>
      <c r="F13" s="8" t="s">
        <v>145</v>
      </c>
      <c r="G13" s="9">
        <v>-5000</v>
      </c>
      <c r="H13" s="9"/>
      <c r="I13" s="55">
        <v>-1500</v>
      </c>
      <c r="J13" s="21">
        <f t="shared" si="6"/>
        <v>19000</v>
      </c>
      <c r="K13" s="8" t="s">
        <v>146</v>
      </c>
      <c r="L13" s="9">
        <v>8000</v>
      </c>
      <c r="M13" s="9"/>
      <c r="N13" s="55">
        <v>3000</v>
      </c>
      <c r="O13" s="21">
        <f t="shared" si="7"/>
        <v>47200</v>
      </c>
      <c r="P13" s="8" t="s">
        <v>145</v>
      </c>
      <c r="Q13" s="9">
        <v>-3000</v>
      </c>
      <c r="R13" s="9"/>
      <c r="S13" s="55">
        <v>-1500</v>
      </c>
      <c r="T13" s="21">
        <f t="shared" si="8"/>
        <v>38800</v>
      </c>
      <c r="U13" s="78">
        <f t="shared" si="0"/>
        <v>-16</v>
      </c>
      <c r="V13" s="79">
        <f t="shared" si="1"/>
        <v>12.2</v>
      </c>
      <c r="W13" s="80">
        <f t="shared" si="2"/>
        <v>3.8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>
        <v>4</v>
      </c>
      <c r="AY13" s="36">
        <v>30</v>
      </c>
      <c r="AZ13" s="47" t="s">
        <v>87</v>
      </c>
      <c r="BA13" s="48" t="s">
        <v>80</v>
      </c>
      <c r="BB13" s="48" t="s">
        <v>80</v>
      </c>
      <c r="BC13" s="48" t="s">
        <v>80</v>
      </c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78" t="str">
        <f t="shared" si="0"/>
        <v/>
      </c>
      <c r="V14" s="79" t="str">
        <f t="shared" si="1"/>
        <v/>
      </c>
      <c r="W14" s="80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78" t="str">
        <f t="shared" si="0"/>
        <v/>
      </c>
      <c r="V15" s="79" t="str">
        <f t="shared" si="1"/>
        <v/>
      </c>
      <c r="W15" s="80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78" t="str">
        <f t="shared" si="0"/>
        <v/>
      </c>
      <c r="V16" s="79" t="str">
        <f t="shared" si="1"/>
        <v/>
      </c>
      <c r="W16" s="80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78" t="str">
        <f t="shared" si="0"/>
        <v/>
      </c>
      <c r="V17" s="79" t="str">
        <f t="shared" si="1"/>
        <v/>
      </c>
      <c r="W17" s="80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78" t="str">
        <f t="shared" si="0"/>
        <v/>
      </c>
      <c r="V18" s="79" t="str">
        <f t="shared" si="1"/>
        <v/>
      </c>
      <c r="W18" s="80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78" t="str">
        <f t="shared" si="0"/>
        <v/>
      </c>
      <c r="V19" s="79" t="str">
        <f t="shared" si="1"/>
        <v/>
      </c>
      <c r="W19" s="80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78" t="str">
        <f t="shared" si="0"/>
        <v/>
      </c>
      <c r="V20" s="79" t="str">
        <f t="shared" si="1"/>
        <v/>
      </c>
      <c r="W20" s="80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78" t="str">
        <f t="shared" si="0"/>
        <v/>
      </c>
      <c r="V21" s="79" t="str">
        <f t="shared" si="1"/>
        <v/>
      </c>
      <c r="W21" s="80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78" t="str">
        <f t="shared" si="0"/>
        <v/>
      </c>
      <c r="V22" s="79" t="str">
        <f t="shared" si="1"/>
        <v/>
      </c>
      <c r="W22" s="80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78" t="str">
        <f t="shared" si="0"/>
        <v/>
      </c>
      <c r="V23" s="79" t="str">
        <f t="shared" si="1"/>
        <v/>
      </c>
      <c r="W23" s="80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78" t="str">
        <f t="shared" si="0"/>
        <v/>
      </c>
      <c r="V24" s="79" t="str">
        <f t="shared" si="1"/>
        <v/>
      </c>
      <c r="W24" s="80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78" t="str">
        <f t="shared" si="0"/>
        <v/>
      </c>
      <c r="V25" s="79" t="str">
        <f t="shared" si="1"/>
        <v/>
      </c>
      <c r="W25" s="80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78" t="str">
        <f t="shared" si="0"/>
        <v/>
      </c>
      <c r="V26" s="79" t="str">
        <f t="shared" si="1"/>
        <v/>
      </c>
      <c r="W26" s="80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78" t="str">
        <f t="shared" si="0"/>
        <v/>
      </c>
      <c r="V27" s="79" t="str">
        <f t="shared" si="1"/>
        <v/>
      </c>
      <c r="W27" s="80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78" t="str">
        <f t="shared" si="0"/>
        <v/>
      </c>
      <c r="V28" s="79" t="str">
        <f t="shared" si="1"/>
        <v/>
      </c>
      <c r="W28" s="80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78" t="str">
        <f t="shared" si="0"/>
        <v/>
      </c>
      <c r="V29" s="79" t="str">
        <f t="shared" si="1"/>
        <v/>
      </c>
      <c r="W29" s="80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81" t="str">
        <f t="shared" si="0"/>
        <v/>
      </c>
      <c r="V30" s="82" t="str">
        <f t="shared" si="1"/>
        <v/>
      </c>
      <c r="W30" s="83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40BCA3F1-56EF-4619-8612-718E9AAA1339}">
      <formula1>"ロン,ツモ,放銃,ツモ支払,流局,チョンボ"</formula1>
    </dataValidation>
    <dataValidation type="list" allowBlank="1" showInputMessage="1" showErrorMessage="1" sqref="E4:E30" xr:uid="{C561ACDD-C34C-493C-B760-8E4A4181EA2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D5649-F0B9-42C8-B3E1-80278250F12D}">
  <sheetPr codeName="Sheet12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22</v>
      </c>
      <c r="E1" s="93" t="s">
        <v>3</v>
      </c>
      <c r="F1" s="84" t="s">
        <v>136</v>
      </c>
      <c r="G1" s="86"/>
      <c r="H1" s="86"/>
      <c r="I1" s="95"/>
      <c r="J1" s="87"/>
      <c r="K1" s="84" t="s">
        <v>150</v>
      </c>
      <c r="L1" s="86"/>
      <c r="M1" s="86"/>
      <c r="N1" s="95"/>
      <c r="O1" s="87"/>
      <c r="P1" s="84" t="s">
        <v>138</v>
      </c>
      <c r="Q1" s="86"/>
      <c r="R1" s="86"/>
      <c r="S1" s="95"/>
      <c r="T1" s="87"/>
      <c r="U1" s="84" t="s">
        <v>6</v>
      </c>
      <c r="V1" s="86"/>
      <c r="W1" s="87"/>
      <c r="Y1" s="84" t="str">
        <f>F1</f>
        <v>だいち</v>
      </c>
      <c r="Z1" s="85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7"/>
      <c r="AT1" s="84" t="str">
        <f>K1</f>
        <v>ただ</v>
      </c>
      <c r="AU1" s="85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7"/>
      <c r="BO1" s="84" t="str">
        <f>P1</f>
        <v>たかの</v>
      </c>
      <c r="BP1" s="85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3" t="str">
        <f>$F$1</f>
        <v>だいち</v>
      </c>
      <c r="V2" s="74" t="str">
        <f>$K$1</f>
        <v>ただ</v>
      </c>
      <c r="W2" s="16" t="str">
        <f>$P$1</f>
        <v>たかの</v>
      </c>
      <c r="Y2" s="69" t="s">
        <v>24</v>
      </c>
      <c r="Z2" s="70" t="s">
        <v>27</v>
      </c>
      <c r="AA2" s="71" t="s">
        <v>25</v>
      </c>
      <c r="AB2" s="71" t="s">
        <v>128</v>
      </c>
      <c r="AC2" s="71" t="s">
        <v>19</v>
      </c>
      <c r="AD2" s="72" t="s">
        <v>20</v>
      </c>
      <c r="AE2" s="88" t="s">
        <v>21</v>
      </c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69" t="s">
        <v>24</v>
      </c>
      <c r="AU2" s="70" t="s">
        <v>27</v>
      </c>
      <c r="AV2" s="71" t="s">
        <v>25</v>
      </c>
      <c r="AW2" s="71" t="s">
        <v>129</v>
      </c>
      <c r="AX2" s="71" t="s">
        <v>19</v>
      </c>
      <c r="AY2" s="72" t="s">
        <v>20</v>
      </c>
      <c r="AZ2" s="88" t="s">
        <v>21</v>
      </c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69" t="s">
        <v>24</v>
      </c>
      <c r="BP2" s="70" t="s">
        <v>27</v>
      </c>
      <c r="BQ2" s="71" t="s">
        <v>25</v>
      </c>
      <c r="BR2" s="71" t="s">
        <v>129</v>
      </c>
      <c r="BS2" s="71" t="s">
        <v>19</v>
      </c>
      <c r="BT2" s="72" t="s">
        <v>20</v>
      </c>
      <c r="BU2" s="88" t="s">
        <v>21</v>
      </c>
      <c r="BV2" s="88"/>
      <c r="BW2" s="88"/>
      <c r="BX2" s="88"/>
      <c r="BY2" s="88"/>
      <c r="BZ2" s="88"/>
      <c r="CA2" s="88"/>
      <c r="CB2" s="88"/>
      <c r="CC2" s="88"/>
      <c r="CD2" s="88"/>
      <c r="CE2" s="88"/>
      <c r="CF2" s="88"/>
      <c r="CG2" s="88"/>
      <c r="CH2" s="88"/>
      <c r="CI2" s="88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75">
        <f t="shared" ref="U3:U30" si="0">IF($J3="","",ROUND(($J3-$J$3)/1000,1))</f>
        <v>0</v>
      </c>
      <c r="V3" s="76">
        <f t="shared" ref="V3:V30" si="1">IF($O3="","",ROUND(($O3-$O$3)/1000,1))</f>
        <v>0</v>
      </c>
      <c r="W3" s="77">
        <f t="shared" ref="W3:W30" si="2"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146</v>
      </c>
      <c r="G4" s="9">
        <v>6000</v>
      </c>
      <c r="H4" s="9">
        <v>1000</v>
      </c>
      <c r="I4" s="55">
        <v>0</v>
      </c>
      <c r="J4" s="21">
        <f>IF(COUNTA($F4,$K4,$P4)&gt;0,J3+SUM(G4:I4),"")</f>
        <v>42000</v>
      </c>
      <c r="K4" s="8" t="s">
        <v>145</v>
      </c>
      <c r="L4" s="9">
        <v>-3000</v>
      </c>
      <c r="M4" s="9"/>
      <c r="N4" s="55">
        <v>0</v>
      </c>
      <c r="O4" s="21">
        <f>IF(COUNTA($F4,$K4,$P4)&gt;0,O3+SUM(L4:N4),"")</f>
        <v>32000</v>
      </c>
      <c r="P4" s="8" t="s">
        <v>145</v>
      </c>
      <c r="Q4" s="9">
        <v>-3000</v>
      </c>
      <c r="R4" s="9">
        <v>-1000</v>
      </c>
      <c r="S4" s="55">
        <v>0</v>
      </c>
      <c r="T4" s="21">
        <f>IF(COUNTA($F4,$K4,$P4)&gt;0,T3+SUM(Q4:S4),"")</f>
        <v>31000</v>
      </c>
      <c r="U4" s="78">
        <f t="shared" si="0"/>
        <v>7</v>
      </c>
      <c r="V4" s="79">
        <f t="shared" si="1"/>
        <v>-3</v>
      </c>
      <c r="W4" s="80">
        <f t="shared" si="2"/>
        <v>-4</v>
      </c>
      <c r="Y4" s="8"/>
      <c r="Z4" s="41"/>
      <c r="AA4" s="32"/>
      <c r="AB4" s="32">
        <v>1</v>
      </c>
      <c r="AC4" s="32">
        <v>3</v>
      </c>
      <c r="AD4" s="36">
        <v>30</v>
      </c>
      <c r="AE4" s="47" t="s">
        <v>87</v>
      </c>
      <c r="AF4" s="48" t="s">
        <v>87</v>
      </c>
      <c r="AG4" s="48" t="s">
        <v>80</v>
      </c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135</v>
      </c>
      <c r="F5" s="8" t="s">
        <v>146</v>
      </c>
      <c r="G5" s="9">
        <v>18000</v>
      </c>
      <c r="H5" s="9"/>
      <c r="I5" s="55">
        <v>1000</v>
      </c>
      <c r="J5" s="21">
        <f t="shared" ref="J5:J30" si="6">IF(COUNTA($F5,$K5,$P5)&gt;0,J4+SUM(G5:I5),"")</f>
        <v>61000</v>
      </c>
      <c r="K5" s="8" t="s">
        <v>145</v>
      </c>
      <c r="L5" s="9">
        <v>-9000</v>
      </c>
      <c r="M5" s="9"/>
      <c r="N5" s="55">
        <v>-500</v>
      </c>
      <c r="O5" s="21">
        <f t="shared" ref="O5:O30" si="7">IF(COUNTA($F5,$K5,$P5)&gt;0,O4+SUM(L5:N5),"")</f>
        <v>22500</v>
      </c>
      <c r="P5" s="8" t="s">
        <v>145</v>
      </c>
      <c r="Q5" s="9">
        <v>-9000</v>
      </c>
      <c r="R5" s="9"/>
      <c r="S5" s="55">
        <v>-500</v>
      </c>
      <c r="T5" s="21">
        <f t="shared" ref="T5:T30" si="8">IF(COUNTA($F5,$K5,$P5)&gt;0,T4+SUM(Q5:S5),"")</f>
        <v>21500</v>
      </c>
      <c r="U5" s="78">
        <f t="shared" si="0"/>
        <v>26</v>
      </c>
      <c r="V5" s="79">
        <f t="shared" si="1"/>
        <v>-12.5</v>
      </c>
      <c r="W5" s="80">
        <f t="shared" si="2"/>
        <v>-13.5</v>
      </c>
      <c r="Y5" s="8"/>
      <c r="Z5" s="41"/>
      <c r="AA5" s="32"/>
      <c r="AB5" s="32">
        <v>1</v>
      </c>
      <c r="AC5" s="32">
        <v>7</v>
      </c>
      <c r="AD5" s="36" t="s">
        <v>143</v>
      </c>
      <c r="AE5" s="47" t="s">
        <v>105</v>
      </c>
      <c r="AF5" s="48" t="s">
        <v>99</v>
      </c>
      <c r="AG5" s="48" t="s">
        <v>82</v>
      </c>
      <c r="AH5" s="48" t="s">
        <v>82</v>
      </c>
      <c r="AI5" s="48" t="s">
        <v>87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1</v>
      </c>
      <c r="C6" s="18">
        <f t="shared" si="4"/>
        <v>2</v>
      </c>
      <c r="D6" s="18">
        <f t="shared" si="5"/>
        <v>0</v>
      </c>
      <c r="E6" s="4" t="s">
        <v>135</v>
      </c>
      <c r="F6" s="8" t="s">
        <v>141</v>
      </c>
      <c r="G6" s="9">
        <v>9600</v>
      </c>
      <c r="H6" s="9"/>
      <c r="I6" s="55">
        <v>2000</v>
      </c>
      <c r="J6" s="21">
        <f t="shared" si="6"/>
        <v>72600</v>
      </c>
      <c r="K6" s="8"/>
      <c r="L6" s="9"/>
      <c r="M6" s="9"/>
      <c r="N6" s="55"/>
      <c r="O6" s="21">
        <f t="shared" si="7"/>
        <v>22500</v>
      </c>
      <c r="P6" s="8" t="s">
        <v>142</v>
      </c>
      <c r="Q6" s="9">
        <v>-9600</v>
      </c>
      <c r="R6" s="9"/>
      <c r="S6" s="55">
        <v>-2000</v>
      </c>
      <c r="T6" s="21">
        <f t="shared" si="8"/>
        <v>9900</v>
      </c>
      <c r="U6" s="78">
        <f t="shared" si="0"/>
        <v>37.6</v>
      </c>
      <c r="V6" s="79">
        <f t="shared" si="1"/>
        <v>-12.5</v>
      </c>
      <c r="W6" s="80">
        <f t="shared" si="2"/>
        <v>-25.1</v>
      </c>
      <c r="Y6" s="8"/>
      <c r="Z6" s="41"/>
      <c r="AA6" s="32">
        <v>1</v>
      </c>
      <c r="AB6" s="32"/>
      <c r="AC6" s="32">
        <v>4</v>
      </c>
      <c r="AD6" s="36">
        <v>25</v>
      </c>
      <c r="AE6" s="47" t="s">
        <v>144</v>
      </c>
      <c r="AF6" s="48" t="s">
        <v>102</v>
      </c>
      <c r="AG6" s="48" t="s">
        <v>82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1</v>
      </c>
      <c r="C7" s="18">
        <f t="shared" si="4"/>
        <v>3</v>
      </c>
      <c r="D7" s="18">
        <f t="shared" si="5"/>
        <v>0</v>
      </c>
      <c r="E7" s="4" t="s">
        <v>135</v>
      </c>
      <c r="F7" s="8" t="s">
        <v>153</v>
      </c>
      <c r="G7" s="9">
        <v>1500</v>
      </c>
      <c r="H7" s="9"/>
      <c r="I7" s="55"/>
      <c r="J7" s="21">
        <f t="shared" si="6"/>
        <v>74100</v>
      </c>
      <c r="K7" s="8" t="s">
        <v>153</v>
      </c>
      <c r="L7" s="9">
        <v>1500</v>
      </c>
      <c r="M7" s="9">
        <v>-1000</v>
      </c>
      <c r="N7" s="55"/>
      <c r="O7" s="21">
        <f t="shared" si="7"/>
        <v>23000</v>
      </c>
      <c r="P7" s="8" t="s">
        <v>153</v>
      </c>
      <c r="Q7" s="9">
        <v>-3000</v>
      </c>
      <c r="R7" s="9"/>
      <c r="S7" s="55"/>
      <c r="T7" s="21">
        <f t="shared" si="8"/>
        <v>6900</v>
      </c>
      <c r="U7" s="78">
        <f t="shared" si="0"/>
        <v>39.1</v>
      </c>
      <c r="V7" s="79">
        <f t="shared" si="1"/>
        <v>-12</v>
      </c>
      <c r="W7" s="80">
        <f t="shared" si="2"/>
        <v>-28.1</v>
      </c>
      <c r="Y7" s="8" t="s">
        <v>152</v>
      </c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152</v>
      </c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151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1</v>
      </c>
      <c r="C8" s="18">
        <f t="shared" si="4"/>
        <v>4</v>
      </c>
      <c r="D8" s="18">
        <f t="shared" si="5"/>
        <v>1</v>
      </c>
      <c r="E8" s="4" t="s">
        <v>135</v>
      </c>
      <c r="F8" s="8"/>
      <c r="G8" s="9"/>
      <c r="H8" s="9">
        <v>-1000</v>
      </c>
      <c r="I8" s="55"/>
      <c r="J8" s="21">
        <f t="shared" si="6"/>
        <v>73100</v>
      </c>
      <c r="K8" s="8" t="s">
        <v>142</v>
      </c>
      <c r="L8" s="9">
        <v>-16000</v>
      </c>
      <c r="M8" s="9">
        <v>-1000</v>
      </c>
      <c r="N8" s="55">
        <v>-4000</v>
      </c>
      <c r="O8" s="21">
        <f t="shared" si="7"/>
        <v>2000</v>
      </c>
      <c r="P8" s="8" t="s">
        <v>141</v>
      </c>
      <c r="Q8" s="9">
        <v>16000</v>
      </c>
      <c r="R8" s="9">
        <v>3000</v>
      </c>
      <c r="S8" s="55">
        <v>4000</v>
      </c>
      <c r="T8" s="21">
        <f t="shared" si="8"/>
        <v>29900</v>
      </c>
      <c r="U8" s="78">
        <f t="shared" si="0"/>
        <v>38.1</v>
      </c>
      <c r="V8" s="79">
        <f t="shared" si="1"/>
        <v>-33</v>
      </c>
      <c r="W8" s="80">
        <f t="shared" si="2"/>
        <v>-5.0999999999999996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>
        <v>8</v>
      </c>
      <c r="BT8" s="36" t="s">
        <v>143</v>
      </c>
      <c r="BU8" s="47" t="s">
        <v>144</v>
      </c>
      <c r="BV8" s="48" t="s">
        <v>154</v>
      </c>
      <c r="BW8" s="48" t="s">
        <v>82</v>
      </c>
      <c r="BX8" s="48" t="s">
        <v>82</v>
      </c>
      <c r="BY8" s="48" t="s">
        <v>82</v>
      </c>
      <c r="BZ8" s="48" t="s">
        <v>82</v>
      </c>
      <c r="CA8" s="48" t="s">
        <v>84</v>
      </c>
      <c r="CB8" s="48" t="s">
        <v>80</v>
      </c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2</v>
      </c>
      <c r="C9" s="18">
        <f t="shared" si="4"/>
        <v>0</v>
      </c>
      <c r="D9" s="18">
        <f t="shared" si="5"/>
        <v>0</v>
      </c>
      <c r="E9" s="4" t="s">
        <v>149</v>
      </c>
      <c r="F9" s="8" t="s">
        <v>145</v>
      </c>
      <c r="G9" s="9">
        <v>-3000</v>
      </c>
      <c r="H9" s="9"/>
      <c r="I9" s="55">
        <v>0</v>
      </c>
      <c r="J9" s="21">
        <f t="shared" si="6"/>
        <v>70100</v>
      </c>
      <c r="K9" s="8" t="s">
        <v>146</v>
      </c>
      <c r="L9" s="9">
        <v>6000</v>
      </c>
      <c r="M9" s="9"/>
      <c r="N9" s="55">
        <v>0</v>
      </c>
      <c r="O9" s="21">
        <f t="shared" si="7"/>
        <v>8000</v>
      </c>
      <c r="P9" s="8" t="s">
        <v>145</v>
      </c>
      <c r="Q9" s="9">
        <v>-3000</v>
      </c>
      <c r="R9" s="9"/>
      <c r="S9" s="55">
        <v>0</v>
      </c>
      <c r="T9" s="21">
        <f t="shared" si="8"/>
        <v>26900</v>
      </c>
      <c r="U9" s="78">
        <f t="shared" si="0"/>
        <v>35.1</v>
      </c>
      <c r="V9" s="79">
        <f t="shared" si="1"/>
        <v>-27</v>
      </c>
      <c r="W9" s="80">
        <f t="shared" si="2"/>
        <v>-8.1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3</v>
      </c>
      <c r="AY9" s="36">
        <v>30</v>
      </c>
      <c r="AZ9" s="47" t="s">
        <v>105</v>
      </c>
      <c r="BA9" s="48" t="s">
        <v>87</v>
      </c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9"/>
        <v>2</v>
      </c>
      <c r="C10" s="18">
        <f t="shared" si="4"/>
        <v>1</v>
      </c>
      <c r="D10" s="18">
        <f t="shared" si="5"/>
        <v>0</v>
      </c>
      <c r="E10" s="4" t="s">
        <v>149</v>
      </c>
      <c r="F10" s="8" t="s">
        <v>141</v>
      </c>
      <c r="G10" s="9">
        <v>8000</v>
      </c>
      <c r="H10" s="9"/>
      <c r="I10" s="55"/>
      <c r="J10" s="21">
        <f t="shared" si="6"/>
        <v>78100</v>
      </c>
      <c r="K10" s="8" t="s">
        <v>142</v>
      </c>
      <c r="L10" s="9">
        <v>-9300</v>
      </c>
      <c r="M10" s="9"/>
      <c r="N10" s="55">
        <v>-1000</v>
      </c>
      <c r="O10" s="21">
        <f t="shared" si="7"/>
        <v>-2300</v>
      </c>
      <c r="P10" s="8" t="s">
        <v>141</v>
      </c>
      <c r="Q10" s="9">
        <v>1300</v>
      </c>
      <c r="R10" s="9"/>
      <c r="S10" s="55">
        <v>1000</v>
      </c>
      <c r="T10" s="21">
        <f t="shared" si="8"/>
        <v>29200</v>
      </c>
      <c r="U10" s="78">
        <f t="shared" si="0"/>
        <v>43.1</v>
      </c>
      <c r="V10" s="79">
        <f t="shared" si="1"/>
        <v>-37.299999999999997</v>
      </c>
      <c r="W10" s="80">
        <f t="shared" si="2"/>
        <v>-5.8</v>
      </c>
      <c r="Y10" s="8"/>
      <c r="Z10" s="41"/>
      <c r="AA10" s="32">
        <v>1</v>
      </c>
      <c r="AB10" s="32"/>
      <c r="AC10" s="32">
        <v>4</v>
      </c>
      <c r="AD10" s="36">
        <v>40</v>
      </c>
      <c r="AE10" s="47" t="s">
        <v>144</v>
      </c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1</v>
      </c>
      <c r="BT10" s="36">
        <v>40</v>
      </c>
      <c r="BU10" s="47" t="s">
        <v>144</v>
      </c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78" t="str">
        <f t="shared" si="0"/>
        <v/>
      </c>
      <c r="V11" s="79" t="str">
        <f t="shared" si="1"/>
        <v/>
      </c>
      <c r="W11" s="80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78" t="str">
        <f t="shared" si="0"/>
        <v/>
      </c>
      <c r="V12" s="79" t="str">
        <f t="shared" si="1"/>
        <v/>
      </c>
      <c r="W12" s="80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78" t="str">
        <f t="shared" si="0"/>
        <v/>
      </c>
      <c r="V13" s="79" t="str">
        <f t="shared" si="1"/>
        <v/>
      </c>
      <c r="W13" s="80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78" t="str">
        <f t="shared" si="0"/>
        <v/>
      </c>
      <c r="V14" s="79" t="str">
        <f t="shared" si="1"/>
        <v/>
      </c>
      <c r="W14" s="80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78" t="str">
        <f t="shared" si="0"/>
        <v/>
      </c>
      <c r="V15" s="79" t="str">
        <f t="shared" si="1"/>
        <v/>
      </c>
      <c r="W15" s="80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78" t="str">
        <f t="shared" si="0"/>
        <v/>
      </c>
      <c r="V16" s="79" t="str">
        <f t="shared" si="1"/>
        <v/>
      </c>
      <c r="W16" s="80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78" t="str">
        <f t="shared" si="0"/>
        <v/>
      </c>
      <c r="V17" s="79" t="str">
        <f t="shared" si="1"/>
        <v/>
      </c>
      <c r="W17" s="80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78" t="str">
        <f t="shared" si="0"/>
        <v/>
      </c>
      <c r="V18" s="79" t="str">
        <f t="shared" si="1"/>
        <v/>
      </c>
      <c r="W18" s="80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78" t="str">
        <f t="shared" si="0"/>
        <v/>
      </c>
      <c r="V19" s="79" t="str">
        <f t="shared" si="1"/>
        <v/>
      </c>
      <c r="W19" s="80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78" t="str">
        <f t="shared" si="0"/>
        <v/>
      </c>
      <c r="V20" s="79" t="str">
        <f t="shared" si="1"/>
        <v/>
      </c>
      <c r="W20" s="80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78" t="str">
        <f t="shared" si="0"/>
        <v/>
      </c>
      <c r="V21" s="79" t="str">
        <f t="shared" si="1"/>
        <v/>
      </c>
      <c r="W21" s="80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78" t="str">
        <f t="shared" si="0"/>
        <v/>
      </c>
      <c r="V22" s="79" t="str">
        <f t="shared" si="1"/>
        <v/>
      </c>
      <c r="W22" s="80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78" t="str">
        <f t="shared" si="0"/>
        <v/>
      </c>
      <c r="V23" s="79" t="str">
        <f t="shared" si="1"/>
        <v/>
      </c>
      <c r="W23" s="80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78" t="str">
        <f t="shared" si="0"/>
        <v/>
      </c>
      <c r="V24" s="79" t="str">
        <f t="shared" si="1"/>
        <v/>
      </c>
      <c r="W24" s="80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78" t="str">
        <f t="shared" si="0"/>
        <v/>
      </c>
      <c r="V25" s="79" t="str">
        <f t="shared" si="1"/>
        <v/>
      </c>
      <c r="W25" s="80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78" t="str">
        <f t="shared" si="0"/>
        <v/>
      </c>
      <c r="V26" s="79" t="str">
        <f t="shared" si="1"/>
        <v/>
      </c>
      <c r="W26" s="80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78" t="str">
        <f t="shared" si="0"/>
        <v/>
      </c>
      <c r="V27" s="79" t="str">
        <f t="shared" si="1"/>
        <v/>
      </c>
      <c r="W27" s="80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78" t="str">
        <f t="shared" si="0"/>
        <v/>
      </c>
      <c r="V28" s="79" t="str">
        <f t="shared" si="1"/>
        <v/>
      </c>
      <c r="W28" s="80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78" t="str">
        <f t="shared" si="0"/>
        <v/>
      </c>
      <c r="V29" s="79" t="str">
        <f t="shared" si="1"/>
        <v/>
      </c>
      <c r="W29" s="80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81" t="str">
        <f t="shared" si="0"/>
        <v/>
      </c>
      <c r="V30" s="82" t="str">
        <f t="shared" si="1"/>
        <v/>
      </c>
      <c r="W30" s="83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57DC20EA-CC9B-4096-9568-26E4A00F14AE}">
      <formula1>$U$2:$W$2</formula1>
    </dataValidation>
    <dataValidation type="list" showInputMessage="1" showErrorMessage="1" sqref="K4:K30 P4:P30 F4:F30" xr:uid="{05E0C3B7-C515-4FD3-9F0C-931FF42C480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2018-12-20T05:40:16Z</dcterms:modified>
</cp:coreProperties>
</file>