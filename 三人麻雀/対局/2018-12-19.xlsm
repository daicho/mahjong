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728D263B-543A-4C17-8BEA-2D86C87561A2}" xr6:coauthVersionLast="31" xr6:coauthVersionMax="31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" r:id="rId1"/>
    <sheet name="Sheet2" sheetId="17" r:id="rId2"/>
    <sheet name="Sheet3" sheetId="18" r:id="rId3"/>
    <sheet name="Sheet4" sheetId="19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D13" i="19"/>
  <c r="D12" i="19"/>
  <c r="D11" i="19"/>
  <c r="C10" i="19"/>
  <c r="C11" i="19" s="1"/>
  <c r="C12" i="19" s="1"/>
  <c r="C13" i="19" s="1"/>
  <c r="D9" i="19"/>
  <c r="D10" i="19" s="1"/>
  <c r="C9" i="19"/>
  <c r="D8" i="19"/>
  <c r="C8" i="19"/>
  <c r="D7" i="19"/>
  <c r="C7" i="19"/>
  <c r="D6" i="19"/>
  <c r="C6" i="19"/>
  <c r="B6" i="19"/>
  <c r="B7" i="19" s="1"/>
  <c r="J5" i="19"/>
  <c r="J6" i="19" s="1"/>
  <c r="D5" i="19"/>
  <c r="C5" i="19"/>
  <c r="B5" i="19"/>
  <c r="A6" i="19" s="1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A5" i="19" l="1"/>
  <c r="W4" i="19"/>
  <c r="U5" i="19"/>
  <c r="U6" i="19"/>
  <c r="J7" i="19"/>
  <c r="W5" i="19"/>
  <c r="T6" i="19"/>
  <c r="B8" i="19"/>
  <c r="A7" i="19"/>
  <c r="O5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 s="1"/>
  <c r="D13" i="18"/>
  <c r="D10" i="18"/>
  <c r="D11" i="18" s="1"/>
  <c r="D12" i="18" s="1"/>
  <c r="C10" i="18"/>
  <c r="C11" i="18" s="1"/>
  <c r="C12" i="18" s="1"/>
  <c r="C13" i="18" s="1"/>
  <c r="D9" i="18"/>
  <c r="C9" i="18"/>
  <c r="D8" i="18"/>
  <c r="C8" i="18"/>
  <c r="D7" i="18"/>
  <c r="D6" i="18"/>
  <c r="C6" i="18"/>
  <c r="C7" i="18" s="1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V5" i="19" l="1"/>
  <c r="O6" i="19"/>
  <c r="T7" i="19"/>
  <c r="W6" i="19"/>
  <c r="B9" i="19"/>
  <c r="A9" i="19" s="1"/>
  <c r="J8" i="19"/>
  <c r="U7" i="19"/>
  <c r="A8" i="19"/>
  <c r="A5" i="18"/>
  <c r="V5" i="18"/>
  <c r="V6" i="18"/>
  <c r="O7" i="18"/>
  <c r="B7" i="18"/>
  <c r="A7" i="18" s="1"/>
  <c r="J6" i="18"/>
  <c r="T5" i="18"/>
  <c r="A6" i="18"/>
  <c r="U8" i="19" l="1"/>
  <c r="J9" i="19"/>
  <c r="W7" i="19"/>
  <c r="T8" i="19"/>
  <c r="V6" i="19"/>
  <c r="O7" i="19"/>
  <c r="B10" i="19"/>
  <c r="A10" i="19" s="1"/>
  <c r="B8" i="18"/>
  <c r="A8" i="18" s="1"/>
  <c r="J7" i="18"/>
  <c r="U6" i="18"/>
  <c r="W5" i="18"/>
  <c r="T6" i="18"/>
  <c r="O8" i="18"/>
  <c r="V7" i="18"/>
  <c r="W8" i="19" l="1"/>
  <c r="T9" i="19"/>
  <c r="O8" i="19"/>
  <c r="V7" i="19"/>
  <c r="U9" i="19"/>
  <c r="J10" i="19"/>
  <c r="B11" i="19"/>
  <c r="A11" i="19" s="1"/>
  <c r="W6" i="18"/>
  <c r="T7" i="18"/>
  <c r="V8" i="18"/>
  <c r="O9" i="18"/>
  <c r="U7" i="18"/>
  <c r="J8" i="18"/>
  <c r="B9" i="18"/>
  <c r="A9" i="18" s="1"/>
  <c r="V8" i="19" l="1"/>
  <c r="O9" i="19"/>
  <c r="U10" i="19"/>
  <c r="J11" i="19"/>
  <c r="B12" i="19"/>
  <c r="A12" i="19" s="1"/>
  <c r="W9" i="19"/>
  <c r="T10" i="19"/>
  <c r="O10" i="18"/>
  <c r="V9" i="18"/>
  <c r="B10" i="18"/>
  <c r="A10" i="18" s="1"/>
  <c r="J9" i="18"/>
  <c r="U8" i="18"/>
  <c r="W7" i="18"/>
  <c r="T8" i="18"/>
  <c r="J12" i="19" l="1"/>
  <c r="U11" i="19"/>
  <c r="V9" i="19"/>
  <c r="O10" i="19"/>
  <c r="T11" i="19"/>
  <c r="W10" i="19"/>
  <c r="B13" i="19"/>
  <c r="A13" i="19" s="1"/>
  <c r="W8" i="18"/>
  <c r="T9" i="18"/>
  <c r="B11" i="18"/>
  <c r="U9" i="18"/>
  <c r="J10" i="18"/>
  <c r="V10" i="18"/>
  <c r="O11" i="18"/>
  <c r="V10" i="19" l="1"/>
  <c r="O11" i="19"/>
  <c r="W11" i="19"/>
  <c r="T12" i="19"/>
  <c r="U12" i="19"/>
  <c r="J13" i="19"/>
  <c r="B12" i="18"/>
  <c r="A12" i="18" s="1"/>
  <c r="A11" i="18"/>
  <c r="O12" i="18"/>
  <c r="V11" i="18"/>
  <c r="J11" i="18"/>
  <c r="U10" i="18"/>
  <c r="T10" i="18"/>
  <c r="W9" i="18"/>
  <c r="U13" i="19" l="1"/>
  <c r="W12" i="19"/>
  <c r="T13" i="19"/>
  <c r="V11" i="19"/>
  <c r="O12" i="19"/>
  <c r="W10" i="18"/>
  <c r="T11" i="18"/>
  <c r="V12" i="18"/>
  <c r="O13" i="18"/>
  <c r="U11" i="18"/>
  <c r="J12" i="18"/>
  <c r="B13" i="18"/>
  <c r="A13" i="18" s="1"/>
  <c r="W13" i="19" l="1"/>
  <c r="V12" i="19"/>
  <c r="O13" i="19"/>
  <c r="V13" i="18"/>
  <c r="U12" i="18"/>
  <c r="J13" i="18"/>
  <c r="T12" i="18"/>
  <c r="W11" i="18"/>
  <c r="V13" i="19" l="1"/>
  <c r="U13" i="18"/>
  <c r="W12" i="18"/>
  <c r="T13" i="18"/>
  <c r="W13" i="18" l="1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 s="1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 s="1"/>
  <c r="T11" i="17"/>
  <c r="W11" i="17" s="1"/>
  <c r="O11" i="17"/>
  <c r="V11" i="17" s="1"/>
  <c r="J11" i="17"/>
  <c r="U11" i="17" s="1"/>
  <c r="D11" i="17"/>
  <c r="C11" i="17"/>
  <c r="B11" i="17"/>
  <c r="A11" i="17"/>
  <c r="T10" i="17"/>
  <c r="W10" i="17" s="1"/>
  <c r="O10" i="17"/>
  <c r="V10" i="17" s="1"/>
  <c r="J10" i="17"/>
  <c r="U10" i="17" s="1"/>
  <c r="D10" i="17"/>
  <c r="C10" i="17"/>
  <c r="B10" i="17"/>
  <c r="A10" i="17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A5" i="17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V5" i="17" l="1"/>
  <c r="B7" i="17"/>
  <c r="O7" i="17"/>
  <c r="V6" i="17"/>
  <c r="T5" i="17"/>
  <c r="A6" i="17"/>
  <c r="J6" i="17"/>
  <c r="A7" i="17" l="1"/>
  <c r="U6" i="17"/>
  <c r="J7" i="17"/>
  <c r="O8" i="17"/>
  <c r="V7" i="17"/>
  <c r="W5" i="17"/>
  <c r="T6" i="17"/>
  <c r="B8" i="17"/>
  <c r="A8" i="17" s="1"/>
  <c r="B9" i="17" l="1"/>
  <c r="A9" i="17" s="1"/>
  <c r="W6" i="17"/>
  <c r="T7" i="17"/>
  <c r="U7" i="17"/>
  <c r="J8" i="17"/>
  <c r="V8" i="17"/>
  <c r="O9" i="17"/>
  <c r="V9" i="17" s="1"/>
  <c r="W7" i="17" l="1"/>
  <c r="T8" i="17"/>
  <c r="U8" i="17"/>
  <c r="J9" i="17"/>
  <c r="U9" i="17" s="1"/>
  <c r="W8" i="17" l="1"/>
  <c r="T9" i="17"/>
  <c r="W9" i="17" s="1"/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J6" i="1"/>
  <c r="V4" i="1"/>
  <c r="W4" i="1"/>
  <c r="T5" i="1"/>
  <c r="O6" i="1"/>
  <c r="B10" i="1"/>
  <c r="O7" i="1" l="1"/>
  <c r="J7" i="1"/>
  <c r="U6" i="1"/>
  <c r="J8" i="1"/>
  <c r="U8" i="1" s="1"/>
  <c r="B11" i="1"/>
  <c r="A11" i="1" s="1"/>
  <c r="A10" i="1"/>
  <c r="O8" i="1"/>
  <c r="V6" i="1"/>
  <c r="W5" i="1"/>
  <c r="T6" i="1"/>
  <c r="B12" i="1"/>
  <c r="A12" i="1" s="1"/>
  <c r="U7" i="1" l="1"/>
  <c r="V7" i="1"/>
  <c r="T7" i="1"/>
  <c r="J9" i="1"/>
  <c r="T8" i="1"/>
  <c r="V8" i="1"/>
  <c r="O9" i="1"/>
  <c r="W6" i="1"/>
  <c r="B13" i="1"/>
  <c r="A13" i="1" s="1"/>
  <c r="U9" i="1" l="1"/>
  <c r="W7" i="1"/>
  <c r="J10" i="1"/>
  <c r="J11" i="1"/>
  <c r="V9" i="1"/>
  <c r="O10" i="1"/>
  <c r="W8" i="1"/>
  <c r="T9" i="1"/>
  <c r="B14" i="1"/>
  <c r="A14" i="1" s="1"/>
  <c r="U10" i="1" l="1"/>
  <c r="V10" i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<sst xmlns="http://schemas.openxmlformats.org/spreadsheetml/2006/main" count="869" uniqueCount="156">
  <si>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</si>
  <si>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</si>
  <si>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</si>
  <si>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</si>
  <si>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</si>
  <si>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</si>
  <si>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</si>
  <si>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</si>
  <si>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</si>
  <si>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</si>
  <si>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</si>
  <si>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</si>
  <si>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</si>
  <si>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</si>
  <si>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</si>
  <si>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</si>
  <si>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</si>
  <si>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</si>
  <si>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</si>
  <si>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</si>
  <si>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</si>
  <si>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</si>
  <si>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</si>
  <si>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</si>
  <si>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</si>
  <si>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</si>
  <si>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</si>
  <si>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</si>
  <si>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</si>
  <si>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</si>
  <si>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</si>
  <si>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</si>
  <si>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</si>
  <si>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</si>
  <si>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</si>
  <si>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</si>
  <si>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</si>
  <si>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</si>
  <si>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</si>
  <si>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</si>
  <si>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</si>
  <si>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</si>
  <si>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</si>
  <si>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</si>
  <si>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</si>
  <si>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</si>
  <si>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</si>
  <si>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</si>
  <si>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</si>
  <si>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</si>
  <si>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</si>
  <si>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</si>
  <si>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</si>
  <si>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</si>
  <si>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</si>
  <si>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</si>
  <si>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</si>
  <si>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</si>
  <si>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</si>
  <si>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</si>
  <si>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</si>
  <si>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</si>
  <si>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</si>
  <si>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</si>
  <si>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</si>
  <si>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</si>
  <si>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</si>
  <si>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</si>
  <si>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</si>
  <si>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</si>
  <si>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</si>
  <si>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</si>
  <si>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</si>
  <si>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</si>
  <si>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</si>
  <si>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</si>
  <si>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</si>
  <si>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</si>
  <si>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</si>
  <si>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</si>
  <si>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</si>
  <si>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</si>
  <si>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</si>
  <si>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</si>
  <si>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</si>
  <si>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</si>
  <si>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</si>
  <si>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</si>
  <si>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</si>
  <si>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</si>
  <si>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</si>
  <si>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</si>
  <si>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</si>
  <si>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</si>
  <si>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</si>
  <si>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</si>
  <si>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</si>
  <si>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</si>
  <si>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</si>
  <si>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</si>
  <si>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</si>
  <si>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</si>
  <si>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</si>
  <si>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</si>
  <si>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</si>
  <si>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</si>
  <si>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</si>
  <si>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</si>
  <si>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</si>
  <si>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</si>
  <si>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</si>
  <si>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</si>
  <si>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</si>
  <si>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</si>
  <si>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</si>
  <si>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</si>
  <si>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</si>
  <si>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</si>
  <si>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</si>
  <si>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</si>
  <si>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</si>
  <si>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</si>
  <si>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</si>
  <si>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</si>
  <si>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</si>
  <si>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</si>
  <si>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</si>
  <si>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</si>
  <si>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</si>
  <si>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</si>
  <si>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</si>
  <si>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</si>
  <si>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</si>
  <si>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</si>
  <si>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</si>
  <si>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</si>
  <si>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</si>
  <si>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</si>
  <si>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</si>
  <si>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りくと</t>
  </si>
  <si>
    <t>りくと</t>
    <phoneticPr fontId="1"/>
  </si>
  <si>
    <t>ロン</t>
  </si>
  <si>
    <t>放銃</t>
  </si>
  <si>
    <t>*</t>
  </si>
  <si>
    <t>01</t>
  </si>
  <si>
    <t>ツモ支払</t>
  </si>
  <si>
    <t>ツモ</t>
  </si>
  <si>
    <t>れんたろう</t>
  </si>
  <si>
    <t>れんたろう</t>
    <phoneticPr fontId="1"/>
  </si>
  <si>
    <t>ただ</t>
  </si>
  <si>
    <t>ただ</t>
    <phoneticPr fontId="1"/>
  </si>
  <si>
    <t>N</t>
  </si>
  <si>
    <t>T</t>
  </si>
  <si>
    <t>流局</t>
    <phoneticPr fontId="1"/>
  </si>
  <si>
    <t>02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</si>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</sst>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136</v>
      </c>
      <c r="G1" s="86"/>
      <c r="H1" s="86"/>
      <c r="I1" s="95"/>
      <c r="J1" s="87"/>
      <c r="K1" s="84" t="s">
        <v>138</v>
      </c>
      <c r="L1" s="86"/>
      <c r="M1" s="86"/>
      <c r="N1" s="95"/>
      <c r="O1" s="87"/>
      <c r="P1" s="84" t="s">
        <v>140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だいち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たかの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りくと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35" t="str">
        <f>$F$1</f>
        <v>だいち</v>
      </c>
      <c r="V2" s="36" t="str">
        <f>$K$1</f>
        <v>たかの</v>
      </c>
      <c r="W2" s="16" t="str">
        <f>$P$1</f>
        <v>りくと</v>
      </c>
      <c r="Y2" s="38" t="s">
        <v>24</v>
      </c>
      <c r="Z2" s="48" t="s">
        <v>27</v>
      </c>
      <c r="AA2" s="39" t="s">
        <v>25</v>
      </c>
      <c r="AB2" s="39" t="s">
        <v>128</v>
      </c>
      <c r="AC2" s="39" t="s">
        <v>19</v>
      </c>
      <c r="AD2" s="40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38" t="s">
        <v>24</v>
      </c>
      <c r="AU2" s="48" t="s">
        <v>27</v>
      </c>
      <c r="AV2" s="39" t="s">
        <v>25</v>
      </c>
      <c r="AW2" s="39" t="s">
        <v>129</v>
      </c>
      <c r="AX2" s="39" t="s">
        <v>19</v>
      </c>
      <c r="AY2" s="40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38" t="s">
        <v>24</v>
      </c>
      <c r="BP2" s="48" t="s">
        <v>27</v>
      </c>
      <c r="BQ2" s="39" t="s">
        <v>25</v>
      </c>
      <c r="BR2" s="39" t="s">
        <v>129</v>
      </c>
      <c r="BS2" s="39" t="s">
        <v>19</v>
      </c>
      <c r="BT2" s="40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134</v>
      </c>
      <c r="B4" s="27">
        <v>1</v>
      </c>
      <c r="C4" s="27">
        <v>0</v>
      </c>
      <c r="D4" s="27">
        <v>0</v>
      </c>
      <c r="E4" s="4" t="s">
        <v>135</v>
      </c>
      <c r="F4" s="8" t="s">
        <v>141</v>
      </c>
      <c r="G4" s="9">
        <v>18000</v>
      </c>
      <c r="H4" s="9">
        <v>1000</v>
      </c>
      <c r="I4" s="64">
        <v>0</v>
      </c>
      <c r="J4" s="30">
        <f>IF(COUNTA($F4,$K4,$P4)&gt;0,J3+SUM(G4:I4),"")</f>
        <v>54000</v>
      </c>
      <c r="K4" s="8" t="s">
        <v>142</v>
      </c>
      <c r="L4" s="9">
        <v>-18000</v>
      </c>
      <c r="M4" s="9">
        <v>-1000</v>
      </c>
      <c r="N4" s="64">
        <v>0</v>
      </c>
      <c r="O4" s="30">
        <f>IF(COUNTA($F4,$K4,$P4)&gt;0,O3+SUM(L4:N4),"")</f>
        <v>16000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19</v>
      </c>
      <c r="V4" s="21">
        <f t="shared" ref="V4:V30" si="0">IF($O4="","",ROUND(($O4-$O$3)/1000,0))</f>
        <v>-19</v>
      </c>
      <c r="W4" s="22">
        <f t="shared" ref="W4:W30" si="1">IF($T4="","",ROUND(($T4-$T$3)/1000,0))</f>
        <v>0</v>
      </c>
      <c r="Y4" s="8"/>
      <c r="Z4" s="50"/>
      <c r="AA4" s="41">
        <v>1</v>
      </c>
      <c r="AB4" s="41"/>
      <c r="AC4" s="41">
        <v>6</v>
      </c>
      <c r="AD4" s="45" t="s">
        <v>143</v>
      </c>
      <c r="AE4" s="56" t="s">
        <v>144</v>
      </c>
      <c r="AF4" s="57" t="s">
        <v>84</v>
      </c>
      <c r="AG4" s="57" t="s">
        <v>86</v>
      </c>
      <c r="AH4" s="57" t="s">
        <v>85</v>
      </c>
      <c r="AI4" s="57" t="s">
        <v>82</v>
      </c>
      <c r="AJ4" s="57" t="s">
        <v>82</v>
      </c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6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6" si="3">IF($E5="","",IF(F4="チョンボ",C4,IF($E4=$E5,C4+1,0)))</f>
        <v>1</v>
      </c>
      <c r="D5" s="27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5800</v>
      </c>
      <c r="H5" s="9">
        <v>1000</v>
      </c>
      <c r="I5" s="64">
        <v>1000</v>
      </c>
      <c r="J5" s="30">
        <f t="shared" ref="J5:J30" si="5">IF(COUNTA($F5,$K5,$P5)&gt;0,J4+SUM(G5:I5),"")</f>
        <v>61800</v>
      </c>
      <c r="K5" s="8" t="s">
        <v>142</v>
      </c>
      <c r="L5" s="9">
        <v>-5800</v>
      </c>
      <c r="M5" s="9">
        <v>-1000</v>
      </c>
      <c r="N5" s="64">
        <v>-1000</v>
      </c>
      <c r="O5" s="30">
        <f t="shared" ref="O5:O30" si="6">IF(COUNTA($F5,$K5,$P5)&gt;0,O4+SUM(L5:N5),"")</f>
        <v>8200</v>
      </c>
      <c r="P5" s="8"/>
      <c r="Q5" s="9"/>
      <c r="R5" s="9"/>
      <c r="S5" s="64"/>
      <c r="T5" s="30">
        <f t="shared" ref="T5:T30" si="7">IF(COUNTA($F5,$K5,$P5)&gt;0,T4+SUM(Q5:S5),"")</f>
        <v>35000</v>
      </c>
      <c r="U5" s="20">
        <f t="shared" ref="U5:U30" si="8">IF($J5="","",ROUND(($J5-$J$3)/1000,0))</f>
        <v>27</v>
      </c>
      <c r="V5" s="21">
        <f t="shared" si="0"/>
        <v>-27</v>
      </c>
      <c r="W5" s="22">
        <f t="shared" si="1"/>
        <v>0</v>
      </c>
      <c r="Y5" s="8"/>
      <c r="Z5" s="50"/>
      <c r="AA5" s="41"/>
      <c r="AB5" s="41">
        <v>1</v>
      </c>
      <c r="AC5" s="41">
        <v>3</v>
      </c>
      <c r="AD5" s="45">
        <v>30</v>
      </c>
      <c r="AE5" s="56" t="s">
        <v>87</v>
      </c>
      <c r="AF5" s="57" t="s">
        <v>82</v>
      </c>
      <c r="AG5" s="57" t="s">
        <v>80</v>
      </c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>
        <v>1</v>
      </c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1</v>
      </c>
      <c r="C6" s="27">
        <f t="shared" si="3"/>
        <v>2</v>
      </c>
      <c r="D6" s="27">
        <f t="shared" si="4"/>
        <v>0</v>
      </c>
      <c r="E6" s="4" t="s">
        <v>135</v>
      </c>
      <c r="F6" s="8" t="s">
        <v>145</v>
      </c>
      <c r="G6" s="9">
        <v>-1300</v>
      </c>
      <c r="H6" s="9"/>
      <c r="I6" s="64">
        <v>-1000</v>
      </c>
      <c r="J6" s="30">
        <f t="shared" si="5"/>
        <v>59500</v>
      </c>
      <c r="K6" s="8" t="s">
        <v>146</v>
      </c>
      <c r="L6" s="9">
        <v>2100</v>
      </c>
      <c r="M6" s="9"/>
      <c r="N6" s="64">
        <v>2000</v>
      </c>
      <c r="O6" s="30">
        <f t="shared" si="6"/>
        <v>12300</v>
      </c>
      <c r="P6" s="8" t="s">
        <v>145</v>
      </c>
      <c r="Q6" s="9">
        <v>-800</v>
      </c>
      <c r="R6" s="9"/>
      <c r="S6" s="64">
        <v>-1000</v>
      </c>
      <c r="T6" s="30">
        <f t="shared" si="7"/>
        <v>33200</v>
      </c>
      <c r="U6" s="20">
        <f t="shared" si="8"/>
        <v>25</v>
      </c>
      <c r="V6" s="21">
        <f t="shared" si="0"/>
        <v>-23</v>
      </c>
      <c r="W6" s="22">
        <f t="shared" si="1"/>
        <v>-2</v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>
        <v>2</v>
      </c>
      <c r="AY6" s="45">
        <v>30</v>
      </c>
      <c r="AZ6" s="56" t="s">
        <v>83</v>
      </c>
      <c r="BA6" s="57" t="s">
        <v>80</v>
      </c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>
        <v>1</v>
      </c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27">
        <f t="shared" si="9"/>
        <v>2</v>
      </c>
      <c r="C7" s="27">
        <f t="shared" ref="C7:C30" si="11">IF($E7="","",IF(F6="チョンボ",C6,IF($E6=$E7,C6+1,0)))</f>
        <v>0</v>
      </c>
      <c r="D7" s="27">
        <f t="shared" si="4"/>
        <v>0</v>
      </c>
      <c r="E7" s="4" t="s">
        <v>137</v>
      </c>
      <c r="F7" s="8" t="s">
        <v>141</v>
      </c>
      <c r="G7" s="9">
        <v>2600</v>
      </c>
      <c r="H7" s="9">
        <v>1000</v>
      </c>
      <c r="I7" s="64">
        <v>0</v>
      </c>
      <c r="J7" s="30">
        <f t="shared" si="5"/>
        <v>63100</v>
      </c>
      <c r="K7" s="8"/>
      <c r="L7" s="9"/>
      <c r="M7" s="9">
        <v>-1000</v>
      </c>
      <c r="N7" s="64"/>
      <c r="O7" s="30">
        <f t="shared" si="6"/>
        <v>11300</v>
      </c>
      <c r="P7" s="8" t="s">
        <v>142</v>
      </c>
      <c r="Q7" s="9">
        <v>-2600</v>
      </c>
      <c r="R7" s="9"/>
      <c r="S7" s="64">
        <v>0</v>
      </c>
      <c r="T7" s="30">
        <f t="shared" si="7"/>
        <v>30600</v>
      </c>
      <c r="U7" s="20">
        <f t="shared" si="8"/>
        <v>28</v>
      </c>
      <c r="V7" s="21">
        <f t="shared" si="0"/>
        <v>-24</v>
      </c>
      <c r="W7" s="22">
        <f t="shared" si="1"/>
        <v>-4</v>
      </c>
      <c r="Y7" s="8"/>
      <c r="Z7" s="50"/>
      <c r="AA7" s="41">
        <v>1</v>
      </c>
      <c r="AB7" s="41"/>
      <c r="AC7" s="41">
        <v>2</v>
      </c>
      <c r="AD7" s="45">
        <v>40</v>
      </c>
      <c r="AE7" s="56" t="s">
        <v>144</v>
      </c>
      <c r="AF7" s="57" t="s">
        <v>87</v>
      </c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>
        <v>1</v>
      </c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>東</v>
      </c>
      <c r="B8" s="27">
        <f t="shared" si="9"/>
        <v>3</v>
      </c>
      <c r="C8" s="27">
        <f t="shared" si="11"/>
        <v>0</v>
      </c>
      <c r="D8" s="27">
        <f t="shared" si="4"/>
        <v>0</v>
      </c>
      <c r="E8" s="4" t="s">
        <v>139</v>
      </c>
      <c r="F8" s="8" t="s">
        <v>146</v>
      </c>
      <c r="G8" s="9">
        <v>8000</v>
      </c>
      <c r="H8" s="9"/>
      <c r="I8" s="64">
        <v>0</v>
      </c>
      <c r="J8" s="30">
        <f t="shared" si="5"/>
        <v>71100</v>
      </c>
      <c r="K8" s="8" t="s">
        <v>145</v>
      </c>
      <c r="L8" s="9">
        <v>-3000</v>
      </c>
      <c r="M8" s="9"/>
      <c r="N8" s="64">
        <v>0</v>
      </c>
      <c r="O8" s="30">
        <f t="shared" si="6"/>
        <v>8300</v>
      </c>
      <c r="P8" s="8" t="s">
        <v>145</v>
      </c>
      <c r="Q8" s="9">
        <v>-5000</v>
      </c>
      <c r="R8" s="9"/>
      <c r="S8" s="64">
        <v>0</v>
      </c>
      <c r="T8" s="30">
        <f t="shared" si="7"/>
        <v>25600</v>
      </c>
      <c r="U8" s="20">
        <f t="shared" si="8"/>
        <v>36</v>
      </c>
      <c r="V8" s="21">
        <f t="shared" si="0"/>
        <v>-27</v>
      </c>
      <c r="W8" s="22">
        <f t="shared" si="1"/>
        <v>-9</v>
      </c>
      <c r="Y8" s="8"/>
      <c r="Z8" s="50"/>
      <c r="AA8" s="41">
        <v>1</v>
      </c>
      <c r="AB8" s="41"/>
      <c r="AC8" s="41">
        <v>4</v>
      </c>
      <c r="AD8" s="45">
        <v>30</v>
      </c>
      <c r="AE8" s="56" t="s">
        <v>144</v>
      </c>
      <c r="AF8" s="57" t="s">
        <v>83</v>
      </c>
      <c r="AG8" s="57" t="s">
        <v>80</v>
      </c>
      <c r="AH8" s="57" t="s">
        <v>82</v>
      </c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>南</v>
      </c>
      <c r="B9" s="27">
        <f t="shared" si="9"/>
        <v>1</v>
      </c>
      <c r="C9" s="27">
        <f t="shared" si="11"/>
        <v>0</v>
      </c>
      <c r="D9" s="27">
        <f t="shared" si="4"/>
        <v>0</v>
      </c>
      <c r="E9" s="4" t="s">
        <v>135</v>
      </c>
      <c r="F9" s="8" t="s">
        <v>145</v>
      </c>
      <c r="G9" s="9">
        <v>-15000</v>
      </c>
      <c r="H9" s="9"/>
      <c r="I9" s="64">
        <v>0</v>
      </c>
      <c r="J9" s="30">
        <f t="shared" si="5"/>
        <v>56100</v>
      </c>
      <c r="K9" s="8" t="s">
        <v>145</v>
      </c>
      <c r="L9" s="9">
        <v>-9000</v>
      </c>
      <c r="M9" s="9"/>
      <c r="N9" s="64">
        <v>0</v>
      </c>
      <c r="O9" s="30">
        <f t="shared" si="6"/>
        <v>-700</v>
      </c>
      <c r="P9" s="8" t="s">
        <v>146</v>
      </c>
      <c r="Q9" s="9">
        <v>24000</v>
      </c>
      <c r="R9" s="9"/>
      <c r="S9" s="64">
        <v>0</v>
      </c>
      <c r="T9" s="30">
        <f t="shared" si="7"/>
        <v>49600</v>
      </c>
      <c r="U9" s="20">
        <f t="shared" si="8"/>
        <v>21</v>
      </c>
      <c r="V9" s="21">
        <f t="shared" si="0"/>
        <v>-36</v>
      </c>
      <c r="W9" s="22">
        <f t="shared" si="1"/>
        <v>15</v>
      </c>
      <c r="Y9" s="8"/>
      <c r="Z9" s="50"/>
      <c r="AA9" s="41"/>
      <c r="AB9" s="41">
        <v>1</v>
      </c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>
        <v>1</v>
      </c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>
        <v>1</v>
      </c>
      <c r="BR9" s="41"/>
      <c r="BS9" s="41">
        <v>12</v>
      </c>
      <c r="BT9" s="45" t="s">
        <v>143</v>
      </c>
      <c r="BU9" s="56" t="s">
        <v>144</v>
      </c>
      <c r="BV9" s="57" t="s">
        <v>83</v>
      </c>
      <c r="BW9" s="57" t="s">
        <v>107</v>
      </c>
      <c r="BX9" s="57" t="s">
        <v>103</v>
      </c>
      <c r="BY9" s="57" t="s">
        <v>84</v>
      </c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10"/>
        <v/>
      </c>
      <c r="B10" s="27" t="str">
        <f t="shared" si="9"/>
        <v/>
      </c>
      <c r="C10" s="27" t="str">
        <f t="shared" si="11"/>
        <v/>
      </c>
      <c r="D10" s="27" t="str">
        <f t="shared" si="4"/>
        <v/>
      </c>
      <c r="E10" s="4"/>
      <c r="F10" s="8"/>
      <c r="G10" s="9"/>
      <c r="H10" s="9"/>
      <c r="I10" s="64"/>
      <c r="J10" s="30" t="str">
        <f t="shared" si="5"/>
        <v/>
      </c>
      <c r="K10" s="8"/>
      <c r="L10" s="9"/>
      <c r="M10" s="9"/>
      <c r="N10" s="64"/>
      <c r="O10" s="30" t="str">
        <f t="shared" si="6"/>
        <v/>
      </c>
      <c r="P10" s="8"/>
      <c r="Q10" s="9"/>
      <c r="R10" s="9"/>
      <c r="S10" s="64"/>
      <c r="T10" s="30" t="str">
        <f t="shared" si="7"/>
        <v/>
      </c>
      <c r="U10" s="20" t="str">
        <f t="shared" si="8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87715-52CD-472D-8F50-C33DD72642BB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148</v>
      </c>
      <c r="G1" s="86"/>
      <c r="H1" s="86"/>
      <c r="I1" s="95"/>
      <c r="J1" s="87"/>
      <c r="K1" s="84" t="s">
        <v>150</v>
      </c>
      <c r="L1" s="86"/>
      <c r="M1" s="86"/>
      <c r="N1" s="95"/>
      <c r="O1" s="87"/>
      <c r="P1" s="84" t="s">
        <v>140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れんたろう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ただ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りくと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70" t="str">
        <f>$F$1</f>
        <v>れんたろう</v>
      </c>
      <c r="V2" s="71" t="str">
        <f>$K$1</f>
        <v>ただ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134</v>
      </c>
      <c r="B4" s="27">
        <v>1</v>
      </c>
      <c r="C4" s="27">
        <v>0</v>
      </c>
      <c r="D4" s="27">
        <v>0</v>
      </c>
      <c r="E4" s="4" t="s">
        <v>147</v>
      </c>
      <c r="F4" s="8" t="s">
        <v>142</v>
      </c>
      <c r="G4" s="9">
        <v>-5200</v>
      </c>
      <c r="H4" s="9"/>
      <c r="I4" s="64">
        <v>0</v>
      </c>
      <c r="J4" s="30">
        <f>IF(COUNTA($F4,$K4,$P4)&gt;0,J3+SUM(G4:I4),"")</f>
        <v>29800</v>
      </c>
      <c r="K4" s="8" t="s">
        <v>141</v>
      </c>
      <c r="L4" s="9">
        <v>5200</v>
      </c>
      <c r="M4" s="9"/>
      <c r="N4" s="64">
        <v>0</v>
      </c>
      <c r="O4" s="30">
        <f>IF(COUNTA($F4,$K4,$P4)&gt;0,O3+SUM(L4:N4),"")</f>
        <v>40200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-5</v>
      </c>
      <c r="V4" s="21">
        <f t="shared" ref="V4:V30" si="0">IF($O4="","",ROUND(($O4-$O$3)/1000,0))</f>
        <v>5</v>
      </c>
      <c r="W4" s="22">
        <f t="shared" ref="W4:W30" si="1">IF($T4="","",ROUND(($T4-$T$3)/1000,0))</f>
        <v>0</v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>
        <v>3</v>
      </c>
      <c r="AY4" s="45">
        <v>40</v>
      </c>
      <c r="AZ4" s="56" t="s">
        <v>144</v>
      </c>
      <c r="BA4" s="57" t="s">
        <v>87</v>
      </c>
      <c r="BB4" s="57" t="s">
        <v>80</v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2</v>
      </c>
      <c r="C5" s="27">
        <f t="shared" ref="C5:C30" si="3">IF($E5="","",IF(F4="チョンボ",C4,IF($E4=$E5,C4+1,0)))</f>
        <v>0</v>
      </c>
      <c r="D5" s="27">
        <f t="shared" ref="D5:D30" si="4">IF($E5="","",IF(OR($F4="流局",$F4="チョンボ"),D4+($H4+$M4+$R4)/-1000,0))</f>
        <v>0</v>
      </c>
      <c r="E5" s="4" t="s">
        <v>149</v>
      </c>
      <c r="F5" s="8" t="s">
        <v>141</v>
      </c>
      <c r="G5" s="9">
        <v>1000</v>
      </c>
      <c r="H5" s="9"/>
      <c r="I5" s="64">
        <v>0</v>
      </c>
      <c r="J5" s="30">
        <f t="shared" ref="J5:J30" si="5">IF(COUNTA($F5,$K5,$P5)&gt;0,J4+SUM(G5:I5),"")</f>
        <v>30800</v>
      </c>
      <c r="K5" s="8"/>
      <c r="L5" s="9"/>
      <c r="M5" s="9"/>
      <c r="N5" s="64"/>
      <c r="O5" s="30">
        <f t="shared" ref="O5:O30" si="6">IF(COUNTA($F5,$K5,$P5)&gt;0,O4+SUM(L5:N5),"")</f>
        <v>40200</v>
      </c>
      <c r="P5" s="8" t="s">
        <v>142</v>
      </c>
      <c r="Q5" s="9">
        <v>-1000</v>
      </c>
      <c r="R5" s="9"/>
      <c r="S5" s="64">
        <v>0</v>
      </c>
      <c r="T5" s="30">
        <f t="shared" ref="T5:T30" si="7">IF(COUNTA($F5,$K5,$P5)&gt;0,T4+SUM(Q5:S5),"")</f>
        <v>34000</v>
      </c>
      <c r="U5" s="20">
        <f t="shared" ref="U5:U30" si="8">IF($J5="","",ROUND(($J5-$J$3)/1000,0))</f>
        <v>-4</v>
      </c>
      <c r="V5" s="21">
        <f t="shared" si="0"/>
        <v>5</v>
      </c>
      <c r="W5" s="22">
        <f t="shared" si="1"/>
        <v>-1</v>
      </c>
      <c r="Y5" s="8"/>
      <c r="Z5" s="50"/>
      <c r="AA5" s="41"/>
      <c r="AB5" s="41">
        <v>1</v>
      </c>
      <c r="AC5" s="41">
        <v>1</v>
      </c>
      <c r="AD5" s="45">
        <v>30</v>
      </c>
      <c r="AE5" s="56" t="s">
        <v>87</v>
      </c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3</v>
      </c>
      <c r="C6" s="27">
        <f t="shared" si="3"/>
        <v>0</v>
      </c>
      <c r="D6" s="27">
        <f t="shared" si="4"/>
        <v>0</v>
      </c>
      <c r="E6" s="4" t="s">
        <v>139</v>
      </c>
      <c r="F6" s="8"/>
      <c r="G6" s="9"/>
      <c r="H6" s="9"/>
      <c r="I6" s="64"/>
      <c r="J6" s="30">
        <f t="shared" si="5"/>
        <v>30800</v>
      </c>
      <c r="K6" s="8" t="s">
        <v>142</v>
      </c>
      <c r="L6" s="9">
        <v>-12000</v>
      </c>
      <c r="M6" s="9">
        <v>-1000</v>
      </c>
      <c r="N6" s="64">
        <v>0</v>
      </c>
      <c r="O6" s="30">
        <f t="shared" si="6"/>
        <v>27200</v>
      </c>
      <c r="P6" s="8" t="s">
        <v>141</v>
      </c>
      <c r="Q6" s="9">
        <v>12000</v>
      </c>
      <c r="R6" s="9">
        <v>1000</v>
      </c>
      <c r="S6" s="64">
        <v>0</v>
      </c>
      <c r="T6" s="30">
        <f t="shared" si="7"/>
        <v>47000</v>
      </c>
      <c r="U6" s="20">
        <f t="shared" si="8"/>
        <v>-4</v>
      </c>
      <c r="V6" s="21">
        <f t="shared" si="0"/>
        <v>-8</v>
      </c>
      <c r="W6" s="22">
        <f t="shared" si="1"/>
        <v>12</v>
      </c>
      <c r="Y6" s="8"/>
      <c r="Z6" s="50"/>
      <c r="AA6" s="41"/>
      <c r="AB6" s="41">
        <v>1</v>
      </c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>
        <v>1</v>
      </c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>
        <v>1</v>
      </c>
      <c r="BR6" s="41"/>
      <c r="BS6" s="41">
        <v>4</v>
      </c>
      <c r="BT6" s="45">
        <v>40</v>
      </c>
      <c r="BU6" s="56" t="s">
        <v>144</v>
      </c>
      <c r="BV6" s="57" t="s">
        <v>82</v>
      </c>
      <c r="BW6" s="57" t="s">
        <v>82</v>
      </c>
      <c r="BX6" s="57" t="s">
        <v>80</v>
      </c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2"/>
        <v>東</v>
      </c>
      <c r="B7" s="27">
        <f t="shared" si="9"/>
        <v>3</v>
      </c>
      <c r="C7" s="27">
        <f t="shared" si="3"/>
        <v>1</v>
      </c>
      <c r="D7" s="27">
        <f t="shared" si="4"/>
        <v>0</v>
      </c>
      <c r="E7" s="4" t="s">
        <v>139</v>
      </c>
      <c r="F7" s="8" t="s">
        <v>141</v>
      </c>
      <c r="G7" s="9">
        <v>2000</v>
      </c>
      <c r="H7" s="9"/>
      <c r="I7" s="64">
        <v>1000</v>
      </c>
      <c r="J7" s="30">
        <f t="shared" si="5"/>
        <v>33800</v>
      </c>
      <c r="K7" s="8" t="s">
        <v>142</v>
      </c>
      <c r="L7" s="9">
        <v>-2000</v>
      </c>
      <c r="M7" s="9"/>
      <c r="N7" s="64">
        <v>-1000</v>
      </c>
      <c r="O7" s="30">
        <f t="shared" si="6"/>
        <v>24200</v>
      </c>
      <c r="P7" s="8"/>
      <c r="Q7" s="9"/>
      <c r="R7" s="9"/>
      <c r="S7" s="64"/>
      <c r="T7" s="30">
        <f t="shared" si="7"/>
        <v>47000</v>
      </c>
      <c r="U7" s="20">
        <f t="shared" si="8"/>
        <v>-1</v>
      </c>
      <c r="V7" s="21">
        <f t="shared" si="0"/>
        <v>-11</v>
      </c>
      <c r="W7" s="22">
        <f t="shared" si="1"/>
        <v>12</v>
      </c>
      <c r="Y7" s="8"/>
      <c r="Z7" s="50"/>
      <c r="AA7" s="41"/>
      <c r="AB7" s="41">
        <v>1</v>
      </c>
      <c r="AC7" s="41">
        <v>2</v>
      </c>
      <c r="AD7" s="45">
        <v>30</v>
      </c>
      <c r="AE7" s="56" t="s">
        <v>87</v>
      </c>
      <c r="AF7" s="57" t="s">
        <v>87</v>
      </c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2"/>
        <v>南</v>
      </c>
      <c r="B8" s="27">
        <f t="shared" si="9"/>
        <v>1</v>
      </c>
      <c r="C8" s="27">
        <f t="shared" si="3"/>
        <v>0</v>
      </c>
      <c r="D8" s="27">
        <f t="shared" si="4"/>
        <v>0</v>
      </c>
      <c r="E8" s="4" t="s">
        <v>147</v>
      </c>
      <c r="F8" s="8" t="s">
        <v>142</v>
      </c>
      <c r="G8" s="9">
        <v>-8000</v>
      </c>
      <c r="H8" s="9"/>
      <c r="I8" s="64">
        <v>0</v>
      </c>
      <c r="J8" s="30">
        <f t="shared" si="5"/>
        <v>25800</v>
      </c>
      <c r="K8" s="8" t="s">
        <v>141</v>
      </c>
      <c r="L8" s="9">
        <v>8000</v>
      </c>
      <c r="M8" s="9"/>
      <c r="N8" s="64">
        <v>0</v>
      </c>
      <c r="O8" s="30">
        <f t="shared" si="6"/>
        <v>32200</v>
      </c>
      <c r="P8" s="8"/>
      <c r="Q8" s="9"/>
      <c r="R8" s="9"/>
      <c r="S8" s="64"/>
      <c r="T8" s="30">
        <f t="shared" si="7"/>
        <v>47000</v>
      </c>
      <c r="U8" s="20">
        <f t="shared" si="8"/>
        <v>-9</v>
      </c>
      <c r="V8" s="21">
        <f t="shared" si="0"/>
        <v>-3</v>
      </c>
      <c r="W8" s="22">
        <f t="shared" si="1"/>
        <v>12</v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>
        <v>1</v>
      </c>
      <c r="AW8" s="41"/>
      <c r="AX8" s="41">
        <v>5</v>
      </c>
      <c r="AY8" s="45" t="s">
        <v>143</v>
      </c>
      <c r="AZ8" s="56" t="s">
        <v>87</v>
      </c>
      <c r="BA8" s="57" t="s">
        <v>87</v>
      </c>
      <c r="BB8" s="57" t="s">
        <v>82</v>
      </c>
      <c r="BC8" s="57" t="s">
        <v>80</v>
      </c>
      <c r="BD8" s="57" t="s">
        <v>80</v>
      </c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2"/>
        <v>南</v>
      </c>
      <c r="B9" s="27">
        <f t="shared" si="9"/>
        <v>2</v>
      </c>
      <c r="C9" s="27">
        <f t="shared" si="3"/>
        <v>0</v>
      </c>
      <c r="D9" s="27">
        <f t="shared" si="4"/>
        <v>0</v>
      </c>
      <c r="E9" s="4" t="s">
        <v>149</v>
      </c>
      <c r="F9" s="8" t="s">
        <v>153</v>
      </c>
      <c r="G9" s="9">
        <v>-3000</v>
      </c>
      <c r="H9" s="9"/>
      <c r="I9" s="64"/>
      <c r="J9" s="30">
        <f t="shared" si="5"/>
        <v>22800</v>
      </c>
      <c r="K9" s="8" t="s">
        <v>153</v>
      </c>
      <c r="L9" s="9">
        <v>1500</v>
      </c>
      <c r="M9" s="9"/>
      <c r="N9" s="64"/>
      <c r="O9" s="30">
        <f t="shared" si="6"/>
        <v>33700</v>
      </c>
      <c r="P9" s="8" t="s">
        <v>153</v>
      </c>
      <c r="Q9" s="9">
        <v>1500</v>
      </c>
      <c r="R9" s="9"/>
      <c r="S9" s="64"/>
      <c r="T9" s="30">
        <f t="shared" si="7"/>
        <v>48500</v>
      </c>
      <c r="U9" s="20">
        <f t="shared" si="8"/>
        <v>-12</v>
      </c>
      <c r="V9" s="21">
        <f t="shared" si="0"/>
        <v>-1</v>
      </c>
      <c r="W9" s="22">
        <f t="shared" si="1"/>
        <v>14</v>
      </c>
      <c r="Y9" s="8" t="s">
        <v>151</v>
      </c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 t="s">
        <v>152</v>
      </c>
      <c r="AU9" s="50"/>
      <c r="AV9" s="41"/>
      <c r="AW9" s="41">
        <v>1</v>
      </c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 t="s">
        <v>152</v>
      </c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2"/>
        <v>南</v>
      </c>
      <c r="B10" s="27">
        <f t="shared" si="9"/>
        <v>2</v>
      </c>
      <c r="C10" s="27">
        <f t="shared" si="3"/>
        <v>1</v>
      </c>
      <c r="D10" s="27">
        <f t="shared" si="4"/>
        <v>0</v>
      </c>
      <c r="E10" s="4" t="s">
        <v>149</v>
      </c>
      <c r="F10" s="8" t="s">
        <v>153</v>
      </c>
      <c r="G10" s="9">
        <v>1500</v>
      </c>
      <c r="H10" s="9"/>
      <c r="I10" s="64"/>
      <c r="J10" s="30">
        <f t="shared" si="5"/>
        <v>24300</v>
      </c>
      <c r="K10" s="8" t="s">
        <v>153</v>
      </c>
      <c r="L10" s="9">
        <v>1500</v>
      </c>
      <c r="M10" s="9"/>
      <c r="N10" s="64"/>
      <c r="O10" s="30">
        <f t="shared" si="6"/>
        <v>35200</v>
      </c>
      <c r="P10" s="8" t="s">
        <v>153</v>
      </c>
      <c r="Q10" s="9">
        <v>-3000</v>
      </c>
      <c r="R10" s="9"/>
      <c r="S10" s="64"/>
      <c r="T10" s="30">
        <f t="shared" si="7"/>
        <v>45500</v>
      </c>
      <c r="U10" s="20">
        <f t="shared" si="8"/>
        <v>-11</v>
      </c>
      <c r="V10" s="21">
        <f t="shared" si="0"/>
        <v>0</v>
      </c>
      <c r="W10" s="22">
        <f t="shared" si="1"/>
        <v>11</v>
      </c>
      <c r="Y10" s="8" t="s">
        <v>152</v>
      </c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 t="s">
        <v>152</v>
      </c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 t="s">
        <v>151</v>
      </c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2"/>
        <v>南</v>
      </c>
      <c r="B11" s="27">
        <f t="shared" si="9"/>
        <v>2</v>
      </c>
      <c r="C11" s="27">
        <f t="shared" si="3"/>
        <v>2</v>
      </c>
      <c r="D11" s="27">
        <f t="shared" si="4"/>
        <v>0</v>
      </c>
      <c r="E11" s="4" t="s">
        <v>149</v>
      </c>
      <c r="F11" s="8" t="s">
        <v>153</v>
      </c>
      <c r="G11" s="9">
        <v>-3000</v>
      </c>
      <c r="H11" s="9"/>
      <c r="I11" s="64"/>
      <c r="J11" s="30">
        <f t="shared" si="5"/>
        <v>21300</v>
      </c>
      <c r="K11" s="8" t="s">
        <v>153</v>
      </c>
      <c r="L11" s="9">
        <v>1500</v>
      </c>
      <c r="M11" s="9"/>
      <c r="N11" s="64"/>
      <c r="O11" s="30">
        <f t="shared" si="6"/>
        <v>36700</v>
      </c>
      <c r="P11" s="8" t="s">
        <v>153</v>
      </c>
      <c r="Q11" s="9">
        <v>1500</v>
      </c>
      <c r="R11" s="9"/>
      <c r="S11" s="64"/>
      <c r="T11" s="30">
        <f t="shared" si="7"/>
        <v>47000</v>
      </c>
      <c r="U11" s="20">
        <f t="shared" si="8"/>
        <v>-14</v>
      </c>
      <c r="V11" s="21">
        <f t="shared" si="0"/>
        <v>2</v>
      </c>
      <c r="W11" s="22">
        <f t="shared" si="1"/>
        <v>12</v>
      </c>
      <c r="Y11" s="8" t="s">
        <v>151</v>
      </c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 t="s">
        <v>152</v>
      </c>
      <c r="AU11" s="50"/>
      <c r="AV11" s="41"/>
      <c r="AW11" s="41">
        <v>1</v>
      </c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 t="s">
        <v>152</v>
      </c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2"/>
        <v>南</v>
      </c>
      <c r="B12" s="27">
        <f t="shared" si="9"/>
        <v>2</v>
      </c>
      <c r="C12" s="27">
        <f t="shared" si="3"/>
        <v>3</v>
      </c>
      <c r="D12" s="27">
        <f t="shared" si="4"/>
        <v>0</v>
      </c>
      <c r="E12" s="4" t="s">
        <v>149</v>
      </c>
      <c r="F12" s="8" t="s">
        <v>142</v>
      </c>
      <c r="G12" s="9">
        <v>-18000</v>
      </c>
      <c r="H12" s="9"/>
      <c r="I12" s="64">
        <v>-3000</v>
      </c>
      <c r="J12" s="30">
        <f t="shared" si="5"/>
        <v>300</v>
      </c>
      <c r="K12" s="8" t="s">
        <v>141</v>
      </c>
      <c r="L12" s="9">
        <v>18000</v>
      </c>
      <c r="M12" s="9"/>
      <c r="N12" s="64">
        <v>3000</v>
      </c>
      <c r="O12" s="30">
        <f t="shared" si="6"/>
        <v>57700</v>
      </c>
      <c r="P12" s="8"/>
      <c r="Q12" s="9"/>
      <c r="R12" s="9"/>
      <c r="S12" s="64"/>
      <c r="T12" s="30">
        <f t="shared" si="7"/>
        <v>47000</v>
      </c>
      <c r="U12" s="20">
        <f t="shared" si="8"/>
        <v>-35</v>
      </c>
      <c r="V12" s="21">
        <f t="shared" si="0"/>
        <v>23</v>
      </c>
      <c r="W12" s="22">
        <f t="shared" si="1"/>
        <v>12</v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>
        <v>1</v>
      </c>
      <c r="AX12" s="41">
        <v>7</v>
      </c>
      <c r="AY12" s="45" t="s">
        <v>143</v>
      </c>
      <c r="AZ12" s="56" t="s">
        <v>87</v>
      </c>
      <c r="BA12" s="57" t="s">
        <v>87</v>
      </c>
      <c r="BB12" s="57" t="s">
        <v>87</v>
      </c>
      <c r="BC12" s="57" t="s">
        <v>105</v>
      </c>
      <c r="BD12" s="57" t="s">
        <v>80</v>
      </c>
      <c r="BE12" s="57" t="s">
        <v>80</v>
      </c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2"/>
        <v>南</v>
      </c>
      <c r="B13" s="27">
        <f t="shared" si="9"/>
        <v>2</v>
      </c>
      <c r="C13" s="27">
        <f t="shared" si="3"/>
        <v>4</v>
      </c>
      <c r="D13" s="27">
        <f t="shared" si="4"/>
        <v>0</v>
      </c>
      <c r="E13" s="4" t="s">
        <v>149</v>
      </c>
      <c r="F13" s="8" t="s">
        <v>145</v>
      </c>
      <c r="G13" s="9">
        <v>-12000</v>
      </c>
      <c r="H13" s="9"/>
      <c r="I13" s="64">
        <v>-2000</v>
      </c>
      <c r="J13" s="30">
        <f t="shared" si="5"/>
        <v>-13700</v>
      </c>
      <c r="K13" s="8" t="s">
        <v>145</v>
      </c>
      <c r="L13" s="9">
        <v>-20000</v>
      </c>
      <c r="M13" s="9"/>
      <c r="N13" s="64">
        <v>-2000</v>
      </c>
      <c r="O13" s="30">
        <f t="shared" si="6"/>
        <v>35700</v>
      </c>
      <c r="P13" s="8" t="s">
        <v>146</v>
      </c>
      <c r="Q13" s="9">
        <v>32000</v>
      </c>
      <c r="R13" s="9"/>
      <c r="S13" s="64">
        <v>4000</v>
      </c>
      <c r="T13" s="30">
        <f t="shared" si="7"/>
        <v>83000</v>
      </c>
      <c r="U13" s="20">
        <f t="shared" si="8"/>
        <v>-49</v>
      </c>
      <c r="V13" s="21">
        <f t="shared" si="0"/>
        <v>1</v>
      </c>
      <c r="W13" s="22">
        <f t="shared" si="1"/>
        <v>48</v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>
        <v>13</v>
      </c>
      <c r="BT13" s="45" t="s">
        <v>143</v>
      </c>
      <c r="BU13" s="56" t="s">
        <v>108</v>
      </c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/>
      </c>
      <c r="B14" s="27" t="str">
        <f t="shared" si="9"/>
        <v/>
      </c>
      <c r="C14" s="27" t="str">
        <f t="shared" si="3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/>
      </c>
      <c r="B15" s="27" t="str">
        <f t="shared" si="9"/>
        <v/>
      </c>
      <c r="C15" s="27" t="str">
        <f t="shared" si="3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/>
      </c>
      <c r="B16" s="27" t="str">
        <f t="shared" si="9"/>
        <v/>
      </c>
      <c r="C16" s="27" t="str">
        <f t="shared" si="3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5A811F60-938D-420B-8C45-F57F97CE0E4A}">
      <formula1>$U$2:$W$2</formula1>
    </dataValidation>
    <dataValidation type="list" showInputMessage="1" showErrorMessage="1" sqref="K4:K30 P4:P30 F4:F30" xr:uid="{E34F0719-9B87-4B75-A623-18C15E06CCC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F81D6-9D6F-42CD-B8A8-C58224EAABE5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138</v>
      </c>
      <c r="G1" s="86"/>
      <c r="H1" s="86"/>
      <c r="I1" s="95"/>
      <c r="J1" s="87"/>
      <c r="K1" s="84" t="s">
        <v>150</v>
      </c>
      <c r="L1" s="86"/>
      <c r="M1" s="86"/>
      <c r="N1" s="95"/>
      <c r="O1" s="87"/>
      <c r="P1" s="84" t="s">
        <v>140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たかの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ただ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りくと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76" t="str">
        <f>$F$1</f>
        <v>たかの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134</v>
      </c>
      <c r="B4" s="27">
        <v>1</v>
      </c>
      <c r="C4" s="27">
        <v>0</v>
      </c>
      <c r="D4" s="27">
        <v>0</v>
      </c>
      <c r="E4" s="4" t="s">
        <v>149</v>
      </c>
      <c r="F4" s="8" t="s">
        <v>142</v>
      </c>
      <c r="G4" s="9">
        <v>-7700</v>
      </c>
      <c r="H4" s="9"/>
      <c r="I4" s="64">
        <v>0</v>
      </c>
      <c r="J4" s="30">
        <f>IF(COUNTA($F4,$K4,$P4)&gt;0,J3+SUM(G4:I4),"")</f>
        <v>27300</v>
      </c>
      <c r="K4" s="8" t="s">
        <v>141</v>
      </c>
      <c r="L4" s="9">
        <v>7700</v>
      </c>
      <c r="M4" s="9"/>
      <c r="N4" s="64">
        <v>0</v>
      </c>
      <c r="O4" s="30">
        <f>IF(COUNTA($F4,$K4,$P4)&gt;0,O3+SUM(L4:N4),"")</f>
        <v>42700</v>
      </c>
      <c r="P4" s="8"/>
      <c r="Q4" s="9"/>
      <c r="R4" s="9"/>
      <c r="S4" s="64"/>
      <c r="T4" s="30">
        <f>IF(COUNTA($F4,$K4,$P4)&gt;0,T3+SUM(Q4:S4),"")</f>
        <v>35000</v>
      </c>
      <c r="U4" s="20">
        <f>IF($J4="","",ROUND(($J4-$J$3)/1000,0))</f>
        <v>-8</v>
      </c>
      <c r="V4" s="21">
        <f t="shared" ref="V4:V30" si="0">IF($O4="","",ROUND(($O4-$O$3)/1000,0))</f>
        <v>8</v>
      </c>
      <c r="W4" s="22">
        <f t="shared" ref="W4:W30" si="1">IF($T4="","",ROUND(($T4-$T$3)/1000,0))</f>
        <v>0</v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>
        <v>1</v>
      </c>
      <c r="AW4" s="41"/>
      <c r="AX4" s="41">
        <v>3</v>
      </c>
      <c r="AY4" s="45">
        <v>40</v>
      </c>
      <c r="AZ4" s="56" t="s">
        <v>144</v>
      </c>
      <c r="BA4" s="57" t="s">
        <v>87</v>
      </c>
      <c r="BB4" s="57" t="s">
        <v>82</v>
      </c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30" si="3">IF($E5="","",IF(F4="チョンボ",C4,IF($E4=$E5,C4+1,0)))</f>
        <v>1</v>
      </c>
      <c r="D5" s="27">
        <f t="shared" ref="D5:D30" si="4">IF($E5="","",IF(OR($F4="流局",$F4="チョンボ"),D4+($H4+$M4+$R4)/-1000,0))</f>
        <v>0</v>
      </c>
      <c r="E5" s="4" t="s">
        <v>149</v>
      </c>
      <c r="F5" s="8" t="s">
        <v>141</v>
      </c>
      <c r="G5" s="9">
        <v>5200</v>
      </c>
      <c r="H5" s="9"/>
      <c r="I5" s="64">
        <v>1000</v>
      </c>
      <c r="J5" s="30">
        <f t="shared" ref="J5:J30" si="5">IF(COUNTA($F5,$K5,$P5)&gt;0,J4+SUM(G5:I5),"")</f>
        <v>33500</v>
      </c>
      <c r="K5" s="8"/>
      <c r="L5" s="9"/>
      <c r="M5" s="9"/>
      <c r="N5" s="64"/>
      <c r="O5" s="30">
        <f t="shared" ref="O5:O30" si="6">IF(COUNTA($F5,$K5,$P5)&gt;0,O4+SUM(L5:N5),"")</f>
        <v>42700</v>
      </c>
      <c r="P5" s="8" t="s">
        <v>142</v>
      </c>
      <c r="Q5" s="9">
        <v>-5200</v>
      </c>
      <c r="R5" s="9"/>
      <c r="S5" s="64">
        <v>-1000</v>
      </c>
      <c r="T5" s="30">
        <f t="shared" ref="T5:T30" si="7">IF(COUNTA($F5,$K5,$P5)&gt;0,T4+SUM(Q5:S5),"")</f>
        <v>28800</v>
      </c>
      <c r="U5" s="20">
        <f t="shared" ref="U5:U30" si="8">IF($J5="","",ROUND(($J5-$J$3)/1000,0))</f>
        <v>-2</v>
      </c>
      <c r="V5" s="21">
        <f t="shared" si="0"/>
        <v>8</v>
      </c>
      <c r="W5" s="22">
        <f t="shared" si="1"/>
        <v>-6</v>
      </c>
      <c r="Y5" s="8"/>
      <c r="Z5" s="50"/>
      <c r="AA5" s="41">
        <v>1</v>
      </c>
      <c r="AB5" s="41"/>
      <c r="AC5" s="41">
        <v>3</v>
      </c>
      <c r="AD5" s="45">
        <v>40</v>
      </c>
      <c r="AE5" s="56" t="s">
        <v>144</v>
      </c>
      <c r="AF5" s="57" t="s">
        <v>154</v>
      </c>
      <c r="AG5" s="57" t="s">
        <v>85</v>
      </c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>
        <v>1</v>
      </c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2</v>
      </c>
      <c r="C6" s="27">
        <f t="shared" si="3"/>
        <v>0</v>
      </c>
      <c r="D6" s="27">
        <f t="shared" si="4"/>
        <v>0</v>
      </c>
      <c r="E6" s="4" t="s">
        <v>139</v>
      </c>
      <c r="F6" s="8" t="s">
        <v>145</v>
      </c>
      <c r="G6" s="9">
        <v>-1500</v>
      </c>
      <c r="H6" s="9"/>
      <c r="I6" s="64">
        <v>0</v>
      </c>
      <c r="J6" s="30">
        <f t="shared" si="5"/>
        <v>32000</v>
      </c>
      <c r="K6" s="8" t="s">
        <v>146</v>
      </c>
      <c r="L6" s="9">
        <v>4000</v>
      </c>
      <c r="M6" s="9"/>
      <c r="N6" s="64">
        <v>0</v>
      </c>
      <c r="O6" s="30">
        <f t="shared" si="6"/>
        <v>46700</v>
      </c>
      <c r="P6" s="8" t="s">
        <v>145</v>
      </c>
      <c r="Q6" s="9">
        <v>-2500</v>
      </c>
      <c r="R6" s="9"/>
      <c r="S6" s="64">
        <v>0</v>
      </c>
      <c r="T6" s="30">
        <f t="shared" si="7"/>
        <v>26300</v>
      </c>
      <c r="U6" s="20">
        <f t="shared" si="8"/>
        <v>-3</v>
      </c>
      <c r="V6" s="21">
        <f t="shared" si="0"/>
        <v>12</v>
      </c>
      <c r="W6" s="22">
        <f t="shared" si="1"/>
        <v>-9</v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>
        <v>1</v>
      </c>
      <c r="AX6" s="41">
        <v>3</v>
      </c>
      <c r="AY6" s="45">
        <v>30</v>
      </c>
      <c r="AZ6" s="56" t="s">
        <v>87</v>
      </c>
      <c r="BA6" s="57" t="s">
        <v>82</v>
      </c>
      <c r="BB6" s="57" t="s">
        <v>82</v>
      </c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2"/>
        <v>東</v>
      </c>
      <c r="B7" s="27">
        <f t="shared" si="9"/>
        <v>3</v>
      </c>
      <c r="C7" s="27">
        <f t="shared" si="3"/>
        <v>0</v>
      </c>
      <c r="D7" s="27">
        <f t="shared" si="4"/>
        <v>0</v>
      </c>
      <c r="E7" s="4" t="s">
        <v>137</v>
      </c>
      <c r="F7" s="8"/>
      <c r="G7" s="9"/>
      <c r="H7" s="9"/>
      <c r="I7" s="64"/>
      <c r="J7" s="30">
        <f t="shared" si="5"/>
        <v>32000</v>
      </c>
      <c r="K7" s="8" t="s">
        <v>141</v>
      </c>
      <c r="L7" s="9">
        <v>3900</v>
      </c>
      <c r="M7" s="9"/>
      <c r="N7" s="64">
        <v>0</v>
      </c>
      <c r="O7" s="30">
        <f t="shared" si="6"/>
        <v>50600</v>
      </c>
      <c r="P7" s="8" t="s">
        <v>142</v>
      </c>
      <c r="Q7" s="9">
        <v>-3900</v>
      </c>
      <c r="R7" s="9"/>
      <c r="S7" s="64">
        <v>0</v>
      </c>
      <c r="T7" s="30">
        <f t="shared" si="7"/>
        <v>22400</v>
      </c>
      <c r="U7" s="20">
        <f t="shared" si="8"/>
        <v>-3</v>
      </c>
      <c r="V7" s="21">
        <f t="shared" si="0"/>
        <v>16</v>
      </c>
      <c r="W7" s="22">
        <f t="shared" si="1"/>
        <v>-13</v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>
        <v>1</v>
      </c>
      <c r="AX7" s="41">
        <v>3</v>
      </c>
      <c r="AY7" s="45">
        <v>30</v>
      </c>
      <c r="AZ7" s="56" t="s">
        <v>87</v>
      </c>
      <c r="BA7" s="57" t="s">
        <v>82</v>
      </c>
      <c r="BB7" s="57" t="s">
        <v>80</v>
      </c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2"/>
        <v>南</v>
      </c>
      <c r="B8" s="27">
        <f t="shared" si="9"/>
        <v>1</v>
      </c>
      <c r="C8" s="27">
        <f t="shared" si="3"/>
        <v>0</v>
      </c>
      <c r="D8" s="27">
        <f t="shared" si="4"/>
        <v>0</v>
      </c>
      <c r="E8" s="4" t="s">
        <v>149</v>
      </c>
      <c r="F8" s="8"/>
      <c r="G8" s="9"/>
      <c r="H8" s="9"/>
      <c r="I8" s="64"/>
      <c r="J8" s="30">
        <f t="shared" si="5"/>
        <v>32000</v>
      </c>
      <c r="K8" s="8" t="s">
        <v>142</v>
      </c>
      <c r="L8" s="9">
        <v>-8000</v>
      </c>
      <c r="M8" s="9"/>
      <c r="N8" s="64">
        <v>0</v>
      </c>
      <c r="O8" s="30">
        <f t="shared" si="6"/>
        <v>42600</v>
      </c>
      <c r="P8" s="8" t="s">
        <v>141</v>
      </c>
      <c r="Q8" s="9">
        <v>8000</v>
      </c>
      <c r="R8" s="9"/>
      <c r="S8" s="64">
        <v>0</v>
      </c>
      <c r="T8" s="30">
        <f t="shared" si="7"/>
        <v>30400</v>
      </c>
      <c r="U8" s="20">
        <f t="shared" si="8"/>
        <v>-3</v>
      </c>
      <c r="V8" s="21">
        <f t="shared" si="0"/>
        <v>8</v>
      </c>
      <c r="W8" s="22">
        <f t="shared" si="1"/>
        <v>-5</v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>
        <v>1</v>
      </c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>
        <v>1</v>
      </c>
      <c r="BR8" s="41"/>
      <c r="BS8" s="41">
        <v>4</v>
      </c>
      <c r="BT8" s="45">
        <v>40</v>
      </c>
      <c r="BU8" s="56" t="s">
        <v>144</v>
      </c>
      <c r="BV8" s="57" t="s">
        <v>82</v>
      </c>
      <c r="BW8" s="57" t="s">
        <v>80</v>
      </c>
      <c r="BX8" s="57" t="s">
        <v>81</v>
      </c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2"/>
        <v>南</v>
      </c>
      <c r="B9" s="27">
        <f t="shared" si="9"/>
        <v>2</v>
      </c>
      <c r="C9" s="27">
        <f t="shared" si="3"/>
        <v>0</v>
      </c>
      <c r="D9" s="27">
        <f t="shared" si="4"/>
        <v>0</v>
      </c>
      <c r="E9" s="4" t="s">
        <v>139</v>
      </c>
      <c r="F9" s="8" t="s">
        <v>153</v>
      </c>
      <c r="G9" s="9">
        <v>-3000</v>
      </c>
      <c r="H9" s="9"/>
      <c r="I9" s="64"/>
      <c r="J9" s="30">
        <f t="shared" si="5"/>
        <v>29000</v>
      </c>
      <c r="K9" s="8" t="s">
        <v>153</v>
      </c>
      <c r="L9" s="9">
        <v>1500</v>
      </c>
      <c r="M9" s="9"/>
      <c r="N9" s="64"/>
      <c r="O9" s="30">
        <f t="shared" si="6"/>
        <v>44100</v>
      </c>
      <c r="P9" s="8" t="s">
        <v>153</v>
      </c>
      <c r="Q9" s="9">
        <v>1500</v>
      </c>
      <c r="R9" s="9"/>
      <c r="S9" s="64"/>
      <c r="T9" s="30">
        <f t="shared" si="7"/>
        <v>31900</v>
      </c>
      <c r="U9" s="20">
        <f t="shared" si="8"/>
        <v>-6</v>
      </c>
      <c r="V9" s="21">
        <f t="shared" si="0"/>
        <v>9</v>
      </c>
      <c r="W9" s="22">
        <f t="shared" si="1"/>
        <v>-3</v>
      </c>
      <c r="Y9" s="8" t="s">
        <v>151</v>
      </c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 t="s">
        <v>152</v>
      </c>
      <c r="AU9" s="50"/>
      <c r="AV9" s="41"/>
      <c r="AW9" s="41">
        <v>1</v>
      </c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 t="s">
        <v>152</v>
      </c>
      <c r="BP9" s="50"/>
      <c r="BQ9" s="41"/>
      <c r="BR9" s="41">
        <v>1</v>
      </c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2"/>
        <v>南</v>
      </c>
      <c r="B10" s="27">
        <f t="shared" si="9"/>
        <v>2</v>
      </c>
      <c r="C10" s="27">
        <f t="shared" si="3"/>
        <v>1</v>
      </c>
      <c r="D10" s="27">
        <f t="shared" si="4"/>
        <v>0</v>
      </c>
      <c r="E10" s="4" t="s">
        <v>139</v>
      </c>
      <c r="F10" s="8" t="s">
        <v>145</v>
      </c>
      <c r="G10" s="9">
        <v>-9000</v>
      </c>
      <c r="H10" s="9"/>
      <c r="I10" s="64">
        <v>-500</v>
      </c>
      <c r="J10" s="30">
        <f t="shared" si="5"/>
        <v>19500</v>
      </c>
      <c r="K10" s="8" t="s">
        <v>145</v>
      </c>
      <c r="L10" s="9">
        <v>-9000</v>
      </c>
      <c r="M10" s="9"/>
      <c r="N10" s="64">
        <v>-500</v>
      </c>
      <c r="O10" s="30">
        <f t="shared" si="6"/>
        <v>34600</v>
      </c>
      <c r="P10" s="8" t="s">
        <v>146</v>
      </c>
      <c r="Q10" s="9">
        <v>18000</v>
      </c>
      <c r="R10" s="9"/>
      <c r="S10" s="64">
        <v>1000</v>
      </c>
      <c r="T10" s="30">
        <f t="shared" si="7"/>
        <v>50900</v>
      </c>
      <c r="U10" s="20">
        <f t="shared" si="8"/>
        <v>-16</v>
      </c>
      <c r="V10" s="21">
        <f t="shared" si="0"/>
        <v>0</v>
      </c>
      <c r="W10" s="22">
        <f t="shared" si="1"/>
        <v>16</v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>
        <v>1</v>
      </c>
      <c r="BR10" s="41"/>
      <c r="BS10" s="41">
        <v>7</v>
      </c>
      <c r="BT10" s="45" t="s">
        <v>143</v>
      </c>
      <c r="BU10" s="56" t="s">
        <v>144</v>
      </c>
      <c r="BV10" s="57" t="s">
        <v>83</v>
      </c>
      <c r="BW10" s="57" t="s">
        <v>154</v>
      </c>
      <c r="BX10" s="57" t="s">
        <v>80</v>
      </c>
      <c r="BY10" s="57" t="s">
        <v>80</v>
      </c>
      <c r="BZ10" s="57" t="s">
        <v>81</v>
      </c>
      <c r="CA10" s="57" t="s">
        <v>82</v>
      </c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2"/>
        <v>南</v>
      </c>
      <c r="B11" s="27">
        <f t="shared" si="9"/>
        <v>2</v>
      </c>
      <c r="C11" s="27">
        <f t="shared" si="3"/>
        <v>2</v>
      </c>
      <c r="D11" s="27">
        <f t="shared" si="4"/>
        <v>0</v>
      </c>
      <c r="E11" s="4" t="s">
        <v>139</v>
      </c>
      <c r="F11" s="8"/>
      <c r="G11" s="9"/>
      <c r="H11" s="9"/>
      <c r="I11" s="64"/>
      <c r="J11" s="30">
        <f t="shared" si="5"/>
        <v>19500</v>
      </c>
      <c r="K11" s="8" t="s">
        <v>142</v>
      </c>
      <c r="L11" s="9">
        <v>-2400</v>
      </c>
      <c r="M11" s="9"/>
      <c r="N11" s="64">
        <v>-2000</v>
      </c>
      <c r="O11" s="30">
        <f t="shared" si="6"/>
        <v>30200</v>
      </c>
      <c r="P11" s="8" t="s">
        <v>141</v>
      </c>
      <c r="Q11" s="9">
        <v>2400</v>
      </c>
      <c r="R11" s="9"/>
      <c r="S11" s="64">
        <v>2000</v>
      </c>
      <c r="T11" s="30">
        <f t="shared" si="7"/>
        <v>55300</v>
      </c>
      <c r="U11" s="20">
        <f t="shared" si="8"/>
        <v>-16</v>
      </c>
      <c r="V11" s="21">
        <f t="shared" si="0"/>
        <v>-5</v>
      </c>
      <c r="W11" s="22">
        <f t="shared" si="1"/>
        <v>20</v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>
        <v>1</v>
      </c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>
        <v>2</v>
      </c>
      <c r="BT11" s="45">
        <v>25</v>
      </c>
      <c r="BU11" s="56" t="s">
        <v>102</v>
      </c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2"/>
        <v>南</v>
      </c>
      <c r="B12" s="27">
        <f t="shared" si="9"/>
        <v>2</v>
      </c>
      <c r="C12" s="27">
        <f t="shared" si="3"/>
        <v>3</v>
      </c>
      <c r="D12" s="27">
        <f t="shared" si="4"/>
        <v>0</v>
      </c>
      <c r="E12" s="4" t="s">
        <v>139</v>
      </c>
      <c r="F12" s="8" t="s">
        <v>155</v>
      </c>
      <c r="G12" s="9">
        <v>6000</v>
      </c>
      <c r="H12" s="9"/>
      <c r="I12" s="64"/>
      <c r="J12" s="30">
        <f t="shared" si="5"/>
        <v>25500</v>
      </c>
      <c r="K12" s="8" t="s">
        <v>155</v>
      </c>
      <c r="L12" s="9">
        <v>6000</v>
      </c>
      <c r="M12" s="9"/>
      <c r="N12" s="64"/>
      <c r="O12" s="30">
        <f t="shared" si="6"/>
        <v>36200</v>
      </c>
      <c r="P12" s="8" t="s">
        <v>155</v>
      </c>
      <c r="Q12" s="9">
        <v>-12000</v>
      </c>
      <c r="R12" s="9"/>
      <c r="S12" s="64"/>
      <c r="T12" s="30">
        <f t="shared" si="7"/>
        <v>43300</v>
      </c>
      <c r="U12" s="20">
        <f t="shared" si="8"/>
        <v>-10</v>
      </c>
      <c r="V12" s="21">
        <f t="shared" si="0"/>
        <v>1</v>
      </c>
      <c r="W12" s="22">
        <f t="shared" si="1"/>
        <v>8</v>
      </c>
      <c r="Y12" s="8"/>
      <c r="Z12" s="50"/>
      <c r="AA12" s="41"/>
      <c r="AB12" s="41">
        <v>1</v>
      </c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>
        <v>1</v>
      </c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2"/>
        <v>南</v>
      </c>
      <c r="B13" s="27">
        <f t="shared" si="9"/>
        <v>3</v>
      </c>
      <c r="C13" s="27">
        <f t="shared" si="3"/>
        <v>3</v>
      </c>
      <c r="D13" s="27">
        <f t="shared" si="4"/>
        <v>0</v>
      </c>
      <c r="E13" s="4" t="s">
        <v>137</v>
      </c>
      <c r="F13" s="8" t="s">
        <v>145</v>
      </c>
      <c r="G13" s="9">
        <v>-5000</v>
      </c>
      <c r="H13" s="9"/>
      <c r="I13" s="64">
        <v>-1500</v>
      </c>
      <c r="J13" s="30">
        <f t="shared" si="5"/>
        <v>19000</v>
      </c>
      <c r="K13" s="8" t="s">
        <v>146</v>
      </c>
      <c r="L13" s="9">
        <v>8000</v>
      </c>
      <c r="M13" s="9"/>
      <c r="N13" s="64">
        <v>3000</v>
      </c>
      <c r="O13" s="30">
        <f t="shared" si="6"/>
        <v>47200</v>
      </c>
      <c r="P13" s="8" t="s">
        <v>145</v>
      </c>
      <c r="Q13" s="9">
        <v>-3000</v>
      </c>
      <c r="R13" s="9"/>
      <c r="S13" s="64">
        <v>-1500</v>
      </c>
      <c r="T13" s="30">
        <f t="shared" si="7"/>
        <v>38800</v>
      </c>
      <c r="U13" s="20">
        <f t="shared" si="8"/>
        <v>-16</v>
      </c>
      <c r="V13" s="21">
        <f t="shared" si="0"/>
        <v>12</v>
      </c>
      <c r="W13" s="22">
        <f t="shared" si="1"/>
        <v>4</v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>
        <v>1</v>
      </c>
      <c r="AX13" s="41">
        <v>4</v>
      </c>
      <c r="AY13" s="45">
        <v>30</v>
      </c>
      <c r="AZ13" s="56" t="s">
        <v>87</v>
      </c>
      <c r="BA13" s="57" t="s">
        <v>80</v>
      </c>
      <c r="BB13" s="57" t="s">
        <v>80</v>
      </c>
      <c r="BC13" s="57" t="s">
        <v>80</v>
      </c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/>
      </c>
      <c r="B14" s="27" t="str">
        <f t="shared" si="9"/>
        <v/>
      </c>
      <c r="C14" s="27" t="str">
        <f t="shared" si="3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/>
      </c>
      <c r="B15" s="27" t="str">
        <f t="shared" si="9"/>
        <v/>
      </c>
      <c r="C15" s="27" t="str">
        <f t="shared" si="3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/>
      </c>
      <c r="B16" s="27" t="str">
        <f t="shared" si="9"/>
        <v/>
      </c>
      <c r="C16" s="27" t="str">
        <f t="shared" si="3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40BCA3F1-56EF-4619-8612-718E9AAA1339}">
      <formula1>"ロン,ツモ,放銃,ツモ支払,流局,チョンボ"</formula1>
    </dataValidation>
    <dataValidation type="list" allowBlank="1" showInputMessage="1" showErrorMessage="1" sqref="E4:E30" xr:uid="{C561ACDD-C34C-493C-B760-8E4A4181EA2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5649-F0B9-42C8-B3E1-80278250F12D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30" width="3.5" style="37" customWidth="1"/>
    <col min="31" max="45" width="3.5" style="37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22</v>
      </c>
      <c r="E1" s="93" t="s">
        <v>3</v>
      </c>
      <c r="F1" s="84" t="s">
        <v>136</v>
      </c>
      <c r="G1" s="86"/>
      <c r="H1" s="86"/>
      <c r="I1" s="95"/>
      <c r="J1" s="87"/>
      <c r="K1" s="84" t="s">
        <v>150</v>
      </c>
      <c r="L1" s="86"/>
      <c r="M1" s="86"/>
      <c r="N1" s="95"/>
      <c r="O1" s="87"/>
      <c r="P1" s="84" t="s">
        <v>138</v>
      </c>
      <c r="Q1" s="86"/>
      <c r="R1" s="86"/>
      <c r="S1" s="95"/>
      <c r="T1" s="87"/>
      <c r="U1" s="84" t="s">
        <v>6</v>
      </c>
      <c r="V1" s="86"/>
      <c r="W1" s="87"/>
      <c r="Y1" s="84" t="str">
        <f>F1</f>
        <v>だいち</v>
      </c>
      <c r="Z1" s="85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7"/>
      <c r="AT1" s="84" t="str">
        <f>K1</f>
        <v>ただ</v>
      </c>
      <c r="AU1" s="85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7"/>
      <c r="BO1" s="84" t="str">
        <f>P1</f>
        <v>たかの</v>
      </c>
      <c r="BP1" s="85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9</v>
      </c>
      <c r="H2" s="2" t="s">
        <v>23</v>
      </c>
      <c r="I2" s="62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62" t="s">
        <v>8</v>
      </c>
      <c r="T2" s="6" t="s">
        <v>4</v>
      </c>
      <c r="U2" s="82" t="str">
        <f>$F$1</f>
        <v>だいち</v>
      </c>
      <c r="V2" s="83" t="str">
        <f>$K$1</f>
        <v>ただ</v>
      </c>
      <c r="W2" s="16" t="str">
        <f>$P$1</f>
        <v>たかの</v>
      </c>
      <c r="Y2" s="78" t="s">
        <v>24</v>
      </c>
      <c r="Z2" s="79" t="s">
        <v>27</v>
      </c>
      <c r="AA2" s="80" t="s">
        <v>25</v>
      </c>
      <c r="AB2" s="80" t="s">
        <v>128</v>
      </c>
      <c r="AC2" s="80" t="s">
        <v>19</v>
      </c>
      <c r="AD2" s="81" t="s">
        <v>20</v>
      </c>
      <c r="AE2" s="88" t="s">
        <v>21</v>
      </c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78" t="s">
        <v>24</v>
      </c>
      <c r="AU2" s="79" t="s">
        <v>27</v>
      </c>
      <c r="AV2" s="80" t="s">
        <v>25</v>
      </c>
      <c r="AW2" s="80" t="s">
        <v>129</v>
      </c>
      <c r="AX2" s="80" t="s">
        <v>19</v>
      </c>
      <c r="AY2" s="81" t="s">
        <v>20</v>
      </c>
      <c r="AZ2" s="88" t="s">
        <v>21</v>
      </c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78" t="s">
        <v>24</v>
      </c>
      <c r="BP2" s="79" t="s">
        <v>27</v>
      </c>
      <c r="BQ2" s="80" t="s">
        <v>25</v>
      </c>
      <c r="BR2" s="80" t="s">
        <v>129</v>
      </c>
      <c r="BS2" s="80" t="s">
        <v>19</v>
      </c>
      <c r="BT2" s="81" t="s">
        <v>20</v>
      </c>
      <c r="BU2" s="88" t="s">
        <v>21</v>
      </c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134</v>
      </c>
      <c r="B4" s="27">
        <v>1</v>
      </c>
      <c r="C4" s="27">
        <v>0</v>
      </c>
      <c r="D4" s="27">
        <v>0</v>
      </c>
      <c r="E4" s="4" t="s">
        <v>135</v>
      </c>
      <c r="F4" s="8" t="s">
        <v>146</v>
      </c>
      <c r="G4" s="9">
        <v>6000</v>
      </c>
      <c r="H4" s="9">
        <v>1000</v>
      </c>
      <c r="I4" s="64">
        <v>0</v>
      </c>
      <c r="J4" s="30">
        <f>IF(COUNTA($F4,$K4,$P4)&gt;0,J3+SUM(G4:I4),"")</f>
        <v>42000</v>
      </c>
      <c r="K4" s="8" t="s">
        <v>145</v>
      </c>
      <c r="L4" s="9">
        <v>-3000</v>
      </c>
      <c r="M4" s="9"/>
      <c r="N4" s="64">
        <v>0</v>
      </c>
      <c r="O4" s="30">
        <f>IF(COUNTA($F4,$K4,$P4)&gt;0,O3+SUM(L4:N4),"")</f>
        <v>32000</v>
      </c>
      <c r="P4" s="8" t="s">
        <v>145</v>
      </c>
      <c r="Q4" s="9">
        <v>-3000</v>
      </c>
      <c r="R4" s="9">
        <v>-1000</v>
      </c>
      <c r="S4" s="64">
        <v>0</v>
      </c>
      <c r="T4" s="30">
        <f>IF(COUNTA($F4,$K4,$P4)&gt;0,T3+SUM(Q4:S4),"")</f>
        <v>31000</v>
      </c>
      <c r="U4" s="20">
        <f>IF($J4="","",ROUND(($J4-$J$3)/1000,0))</f>
        <v>7</v>
      </c>
      <c r="V4" s="21">
        <f t="shared" ref="V4:V30" si="0">IF($O4="","",ROUND(($O4-$O$3)/1000,0))</f>
        <v>-3</v>
      </c>
      <c r="W4" s="22">
        <f t="shared" ref="W4:W30" si="1">IF($T4="","",ROUND(($T4-$T$3)/1000,0))</f>
        <v>-4</v>
      </c>
      <c r="Y4" s="8"/>
      <c r="Z4" s="50"/>
      <c r="AA4" s="41"/>
      <c r="AB4" s="41">
        <v>1</v>
      </c>
      <c r="AC4" s="41">
        <v>3</v>
      </c>
      <c r="AD4" s="45">
        <v>30</v>
      </c>
      <c r="AE4" s="56" t="s">
        <v>87</v>
      </c>
      <c r="AF4" s="57" t="s">
        <v>87</v>
      </c>
      <c r="AG4" s="57" t="s">
        <v>80</v>
      </c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>
        <v>1</v>
      </c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>
        <v>1</v>
      </c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30" si="2">IF($E5="","",IF(AND(B4=3,B5=1),_xlfn.SWITCH(A4,"東","南","南","西","西","北","北","東"),A4))</f>
        <v>東</v>
      </c>
      <c r="B5" s="27">
        <f>IF($E5="","",IF($E4=$E5,B4,IF(B4=3,1,B4+1)))</f>
        <v>1</v>
      </c>
      <c r="C5" s="27">
        <f t="shared" ref="C5:C30" si="3">IF($E5="","",IF(F4="チョンボ",C4,IF($E4=$E5,C4+1,0)))</f>
        <v>1</v>
      </c>
      <c r="D5" s="27">
        <f t="shared" ref="D5:D30" si="4">IF($E5="","",IF(OR($F4="流局",$F4="チョンボ"),D4+($H4+$M4+$R4)/-1000,0))</f>
        <v>0</v>
      </c>
      <c r="E5" s="4" t="s">
        <v>135</v>
      </c>
      <c r="F5" s="8" t="s">
        <v>146</v>
      </c>
      <c r="G5" s="9">
        <v>18000</v>
      </c>
      <c r="H5" s="9"/>
      <c r="I5" s="64">
        <v>1000</v>
      </c>
      <c r="J5" s="30">
        <f t="shared" ref="J5:J30" si="5">IF(COUNTA($F5,$K5,$P5)&gt;0,J4+SUM(G5:I5),"")</f>
        <v>61000</v>
      </c>
      <c r="K5" s="8" t="s">
        <v>145</v>
      </c>
      <c r="L5" s="9">
        <v>-9000</v>
      </c>
      <c r="M5" s="9"/>
      <c r="N5" s="64">
        <v>-500</v>
      </c>
      <c r="O5" s="30">
        <f t="shared" ref="O5:O30" si="6">IF(COUNTA($F5,$K5,$P5)&gt;0,O4+SUM(L5:N5),"")</f>
        <v>22500</v>
      </c>
      <c r="P5" s="8" t="s">
        <v>145</v>
      </c>
      <c r="Q5" s="9">
        <v>-9000</v>
      </c>
      <c r="R5" s="9"/>
      <c r="S5" s="64">
        <v>-500</v>
      </c>
      <c r="T5" s="30">
        <f t="shared" ref="T5:T30" si="7">IF(COUNTA($F5,$K5,$P5)&gt;0,T4+SUM(Q5:S5),"")</f>
        <v>21500</v>
      </c>
      <c r="U5" s="20">
        <f t="shared" ref="U5:U30" si="8">IF($J5="","",ROUND(($J5-$J$3)/1000,0))</f>
        <v>26</v>
      </c>
      <c r="V5" s="21">
        <f t="shared" si="0"/>
        <v>-13</v>
      </c>
      <c r="W5" s="22">
        <f t="shared" si="1"/>
        <v>-14</v>
      </c>
      <c r="Y5" s="8"/>
      <c r="Z5" s="50"/>
      <c r="AA5" s="41"/>
      <c r="AB5" s="41">
        <v>1</v>
      </c>
      <c r="AC5" s="41">
        <v>7</v>
      </c>
      <c r="AD5" s="45" t="s">
        <v>143</v>
      </c>
      <c r="AE5" s="56" t="s">
        <v>105</v>
      </c>
      <c r="AF5" s="57" t="s">
        <v>99</v>
      </c>
      <c r="AG5" s="57" t="s">
        <v>82</v>
      </c>
      <c r="AH5" s="57" t="s">
        <v>82</v>
      </c>
      <c r="AI5" s="57" t="s">
        <v>87</v>
      </c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>
        <v>1</v>
      </c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>東</v>
      </c>
      <c r="B6" s="27">
        <f t="shared" ref="B6:B30" si="9">IF($E6="","",IF($E5=$E6,B5,IF(B5=3,1,B5+1)))</f>
        <v>1</v>
      </c>
      <c r="C6" s="27">
        <f t="shared" si="3"/>
        <v>2</v>
      </c>
      <c r="D6" s="27">
        <f t="shared" si="4"/>
        <v>0</v>
      </c>
      <c r="E6" s="4" t="s">
        <v>135</v>
      </c>
      <c r="F6" s="8" t="s">
        <v>141</v>
      </c>
      <c r="G6" s="9">
        <v>9600</v>
      </c>
      <c r="H6" s="9"/>
      <c r="I6" s="64">
        <v>2000</v>
      </c>
      <c r="J6" s="30">
        <f t="shared" si="5"/>
        <v>72600</v>
      </c>
      <c r="K6" s="8"/>
      <c r="L6" s="9"/>
      <c r="M6" s="9"/>
      <c r="N6" s="64"/>
      <c r="O6" s="30">
        <f t="shared" si="6"/>
        <v>22500</v>
      </c>
      <c r="P6" s="8" t="s">
        <v>142</v>
      </c>
      <c r="Q6" s="9">
        <v>-9600</v>
      </c>
      <c r="R6" s="9"/>
      <c r="S6" s="64">
        <v>-2000</v>
      </c>
      <c r="T6" s="30">
        <f t="shared" si="7"/>
        <v>9900</v>
      </c>
      <c r="U6" s="20">
        <f t="shared" si="8"/>
        <v>38</v>
      </c>
      <c r="V6" s="21">
        <f t="shared" si="0"/>
        <v>-13</v>
      </c>
      <c r="W6" s="22">
        <f t="shared" si="1"/>
        <v>-25</v>
      </c>
      <c r="Y6" s="8"/>
      <c r="Z6" s="50"/>
      <c r="AA6" s="41">
        <v>1</v>
      </c>
      <c r="AB6" s="41"/>
      <c r="AC6" s="41">
        <v>4</v>
      </c>
      <c r="AD6" s="45">
        <v>25</v>
      </c>
      <c r="AE6" s="56" t="s">
        <v>144</v>
      </c>
      <c r="AF6" s="57" t="s">
        <v>102</v>
      </c>
      <c r="AG6" s="57" t="s">
        <v>82</v>
      </c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2"/>
        <v>東</v>
      </c>
      <c r="B7" s="27">
        <f t="shared" si="9"/>
        <v>1</v>
      </c>
      <c r="C7" s="27">
        <f t="shared" si="3"/>
        <v>3</v>
      </c>
      <c r="D7" s="27">
        <f t="shared" si="4"/>
        <v>0</v>
      </c>
      <c r="E7" s="4" t="s">
        <v>135</v>
      </c>
      <c r="F7" s="8" t="s">
        <v>153</v>
      </c>
      <c r="G7" s="9">
        <v>1500</v>
      </c>
      <c r="H7" s="9"/>
      <c r="I7" s="64"/>
      <c r="J7" s="30">
        <f t="shared" si="5"/>
        <v>74100</v>
      </c>
      <c r="K7" s="8" t="s">
        <v>153</v>
      </c>
      <c r="L7" s="9">
        <v>1500</v>
      </c>
      <c r="M7" s="9">
        <v>-1000</v>
      </c>
      <c r="N7" s="64"/>
      <c r="O7" s="30">
        <f t="shared" si="6"/>
        <v>23000</v>
      </c>
      <c r="P7" s="8" t="s">
        <v>153</v>
      </c>
      <c r="Q7" s="9">
        <v>-3000</v>
      </c>
      <c r="R7" s="9"/>
      <c r="S7" s="64"/>
      <c r="T7" s="30">
        <f t="shared" si="7"/>
        <v>6900</v>
      </c>
      <c r="U7" s="20">
        <f t="shared" si="8"/>
        <v>39</v>
      </c>
      <c r="V7" s="21">
        <f t="shared" si="0"/>
        <v>-12</v>
      </c>
      <c r="W7" s="22">
        <f t="shared" si="1"/>
        <v>-28</v>
      </c>
      <c r="Y7" s="8" t="s">
        <v>152</v>
      </c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 t="s">
        <v>152</v>
      </c>
      <c r="AU7" s="50"/>
      <c r="AV7" s="41">
        <v>1</v>
      </c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 t="s">
        <v>151</v>
      </c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2"/>
        <v>東</v>
      </c>
      <c r="B8" s="27">
        <f t="shared" si="9"/>
        <v>1</v>
      </c>
      <c r="C8" s="27">
        <f t="shared" si="3"/>
        <v>4</v>
      </c>
      <c r="D8" s="27">
        <f t="shared" si="4"/>
        <v>1</v>
      </c>
      <c r="E8" s="4" t="s">
        <v>135</v>
      </c>
      <c r="F8" s="8"/>
      <c r="G8" s="9"/>
      <c r="H8" s="9">
        <v>-1000</v>
      </c>
      <c r="I8" s="64"/>
      <c r="J8" s="30">
        <f t="shared" si="5"/>
        <v>73100</v>
      </c>
      <c r="K8" s="8" t="s">
        <v>142</v>
      </c>
      <c r="L8" s="9">
        <v>-16000</v>
      </c>
      <c r="M8" s="9">
        <v>-1000</v>
      </c>
      <c r="N8" s="64">
        <v>-4000</v>
      </c>
      <c r="O8" s="30">
        <f t="shared" si="6"/>
        <v>2000</v>
      </c>
      <c r="P8" s="8" t="s">
        <v>141</v>
      </c>
      <c r="Q8" s="9">
        <v>16000</v>
      </c>
      <c r="R8" s="9">
        <v>3000</v>
      </c>
      <c r="S8" s="64">
        <v>4000</v>
      </c>
      <c r="T8" s="30">
        <f t="shared" si="7"/>
        <v>29900</v>
      </c>
      <c r="U8" s="20">
        <f t="shared" si="8"/>
        <v>38</v>
      </c>
      <c r="V8" s="21">
        <f t="shared" si="0"/>
        <v>-33</v>
      </c>
      <c r="W8" s="22">
        <f t="shared" si="1"/>
        <v>-5</v>
      </c>
      <c r="Y8" s="8"/>
      <c r="Z8" s="50"/>
      <c r="AA8" s="41">
        <v>1</v>
      </c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>
        <v>1</v>
      </c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>
        <v>8</v>
      </c>
      <c r="BT8" s="45" t="s">
        <v>143</v>
      </c>
      <c r="BU8" s="56" t="s">
        <v>144</v>
      </c>
      <c r="BV8" s="57" t="s">
        <v>154</v>
      </c>
      <c r="BW8" s="57" t="s">
        <v>82</v>
      </c>
      <c r="BX8" s="57" t="s">
        <v>82</v>
      </c>
      <c r="BY8" s="57" t="s">
        <v>82</v>
      </c>
      <c r="BZ8" s="57" t="s">
        <v>82</v>
      </c>
      <c r="CA8" s="57" t="s">
        <v>84</v>
      </c>
      <c r="CB8" s="57" t="s">
        <v>80</v>
      </c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2"/>
        <v>東</v>
      </c>
      <c r="B9" s="27">
        <f t="shared" si="9"/>
        <v>2</v>
      </c>
      <c r="C9" s="27">
        <f t="shared" si="3"/>
        <v>0</v>
      </c>
      <c r="D9" s="27">
        <f t="shared" si="4"/>
        <v>0</v>
      </c>
      <c r="E9" s="4" t="s">
        <v>149</v>
      </c>
      <c r="F9" s="8" t="s">
        <v>145</v>
      </c>
      <c r="G9" s="9">
        <v>-3000</v>
      </c>
      <c r="H9" s="9"/>
      <c r="I9" s="64">
        <v>0</v>
      </c>
      <c r="J9" s="30">
        <f t="shared" si="5"/>
        <v>70100</v>
      </c>
      <c r="K9" s="8" t="s">
        <v>146</v>
      </c>
      <c r="L9" s="9">
        <v>6000</v>
      </c>
      <c r="M9" s="9"/>
      <c r="N9" s="64">
        <v>0</v>
      </c>
      <c r="O9" s="30">
        <f t="shared" si="6"/>
        <v>8000</v>
      </c>
      <c r="P9" s="8" t="s">
        <v>145</v>
      </c>
      <c r="Q9" s="9">
        <v>-3000</v>
      </c>
      <c r="R9" s="9"/>
      <c r="S9" s="64">
        <v>0</v>
      </c>
      <c r="T9" s="30">
        <f t="shared" si="7"/>
        <v>26900</v>
      </c>
      <c r="U9" s="20">
        <f t="shared" si="8"/>
        <v>35</v>
      </c>
      <c r="V9" s="21">
        <f t="shared" si="0"/>
        <v>-27</v>
      </c>
      <c r="W9" s="22">
        <f t="shared" si="1"/>
        <v>-8</v>
      </c>
      <c r="Y9" s="8"/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>
        <v>1</v>
      </c>
      <c r="AX9" s="41">
        <v>3</v>
      </c>
      <c r="AY9" s="45">
        <v>30</v>
      </c>
      <c r="AZ9" s="56" t="s">
        <v>105</v>
      </c>
      <c r="BA9" s="57" t="s">
        <v>87</v>
      </c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2"/>
        <v>東</v>
      </c>
      <c r="B10" s="27">
        <f t="shared" si="9"/>
        <v>2</v>
      </c>
      <c r="C10" s="27">
        <f t="shared" si="3"/>
        <v>1</v>
      </c>
      <c r="D10" s="27">
        <f t="shared" si="4"/>
        <v>0</v>
      </c>
      <c r="E10" s="4" t="s">
        <v>149</v>
      </c>
      <c r="F10" s="8" t="s">
        <v>141</v>
      </c>
      <c r="G10" s="9">
        <v>8000</v>
      </c>
      <c r="H10" s="9"/>
      <c r="I10" s="64"/>
      <c r="J10" s="30">
        <f t="shared" si="5"/>
        <v>78100</v>
      </c>
      <c r="K10" s="8" t="s">
        <v>142</v>
      </c>
      <c r="L10" s="9">
        <v>-9300</v>
      </c>
      <c r="M10" s="9"/>
      <c r="N10" s="64">
        <v>-1000</v>
      </c>
      <c r="O10" s="30">
        <f t="shared" si="6"/>
        <v>-2300</v>
      </c>
      <c r="P10" s="8" t="s">
        <v>141</v>
      </c>
      <c r="Q10" s="9">
        <v>1300</v>
      </c>
      <c r="R10" s="9"/>
      <c r="S10" s="64">
        <v>1000</v>
      </c>
      <c r="T10" s="30">
        <f t="shared" si="7"/>
        <v>29200</v>
      </c>
      <c r="U10" s="20">
        <f t="shared" si="8"/>
        <v>43</v>
      </c>
      <c r="V10" s="21">
        <f t="shared" si="0"/>
        <v>-37</v>
      </c>
      <c r="W10" s="22">
        <f t="shared" si="1"/>
        <v>-6</v>
      </c>
      <c r="Y10" s="8"/>
      <c r="Z10" s="50"/>
      <c r="AA10" s="41">
        <v>1</v>
      </c>
      <c r="AB10" s="41"/>
      <c r="AC10" s="41">
        <v>4</v>
      </c>
      <c r="AD10" s="45">
        <v>40</v>
      </c>
      <c r="AE10" s="56" t="s">
        <v>144</v>
      </c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>
        <v>1</v>
      </c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>
        <v>1</v>
      </c>
      <c r="BR10" s="41"/>
      <c r="BS10" s="41">
        <v>1</v>
      </c>
      <c r="BT10" s="45">
        <v>40</v>
      </c>
      <c r="BU10" s="56" t="s">
        <v>144</v>
      </c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2"/>
        <v/>
      </c>
      <c r="B11" s="27" t="str">
        <f t="shared" si="9"/>
        <v/>
      </c>
      <c r="C11" s="27" t="str">
        <f t="shared" si="3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2"/>
        <v/>
      </c>
      <c r="B12" s="27" t="str">
        <f t="shared" si="9"/>
        <v/>
      </c>
      <c r="C12" s="27" t="str">
        <f t="shared" si="3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2"/>
        <v/>
      </c>
      <c r="B13" s="27" t="str">
        <f t="shared" si="9"/>
        <v/>
      </c>
      <c r="C13" s="27" t="str">
        <f t="shared" si="3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2"/>
        <v/>
      </c>
      <c r="B14" s="27" t="str">
        <f t="shared" si="9"/>
        <v/>
      </c>
      <c r="C14" s="27" t="str">
        <f t="shared" si="3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2"/>
        <v/>
      </c>
      <c r="B15" s="27" t="str">
        <f t="shared" si="9"/>
        <v/>
      </c>
      <c r="C15" s="27" t="str">
        <f t="shared" si="3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2"/>
        <v/>
      </c>
      <c r="B16" s="27" t="str">
        <f t="shared" si="9"/>
        <v/>
      </c>
      <c r="C16" s="27" t="str">
        <f t="shared" si="3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2"/>
        <v/>
      </c>
      <c r="B17" s="27" t="str">
        <f t="shared" si="9"/>
        <v/>
      </c>
      <c r="C17" s="27" t="str">
        <f t="shared" si="3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2"/>
        <v/>
      </c>
      <c r="B18" s="27" t="str">
        <f t="shared" si="9"/>
        <v/>
      </c>
      <c r="C18" s="27" t="str">
        <f t="shared" si="3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2"/>
        <v/>
      </c>
      <c r="B19" s="27" t="str">
        <f t="shared" si="9"/>
        <v/>
      </c>
      <c r="C19" s="27" t="str">
        <f t="shared" si="3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2"/>
        <v/>
      </c>
      <c r="B20" s="27" t="str">
        <f t="shared" si="9"/>
        <v/>
      </c>
      <c r="C20" s="27" t="str">
        <f t="shared" si="3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2"/>
        <v/>
      </c>
      <c r="B21" s="27" t="str">
        <f t="shared" si="9"/>
        <v/>
      </c>
      <c r="C21" s="27" t="str">
        <f t="shared" si="3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2"/>
        <v/>
      </c>
      <c r="B22" s="27" t="str">
        <f t="shared" si="9"/>
        <v/>
      </c>
      <c r="C22" s="27" t="str">
        <f t="shared" si="3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2"/>
        <v/>
      </c>
      <c r="B23" s="27" t="str">
        <f t="shared" si="9"/>
        <v/>
      </c>
      <c r="C23" s="27" t="str">
        <f t="shared" si="3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2"/>
        <v/>
      </c>
      <c r="B24" s="27" t="str">
        <f t="shared" si="9"/>
        <v/>
      </c>
      <c r="C24" s="27" t="str">
        <f t="shared" si="3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2"/>
        <v/>
      </c>
      <c r="B25" s="27" t="str">
        <f t="shared" si="9"/>
        <v/>
      </c>
      <c r="C25" s="27" t="str">
        <f t="shared" si="3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2"/>
        <v/>
      </c>
      <c r="B26" s="27" t="str">
        <f t="shared" si="9"/>
        <v/>
      </c>
      <c r="C26" s="27" t="str">
        <f t="shared" si="3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2"/>
        <v/>
      </c>
      <c r="B27" s="27" t="str">
        <f t="shared" si="9"/>
        <v/>
      </c>
      <c r="C27" s="27" t="str">
        <f t="shared" si="3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2"/>
        <v/>
      </c>
      <c r="B28" s="27" t="str">
        <f t="shared" si="9"/>
        <v/>
      </c>
      <c r="C28" s="27" t="str">
        <f t="shared" si="3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2"/>
        <v/>
      </c>
      <c r="B29" s="27" t="str">
        <f t="shared" si="9"/>
        <v/>
      </c>
      <c r="C29" s="27" t="str">
        <f t="shared" si="3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2"/>
        <v/>
      </c>
      <c r="B30" s="28" t="str">
        <f t="shared" si="9"/>
        <v/>
      </c>
      <c r="C30" s="28" t="str">
        <f t="shared" si="3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57DC20EA-CC9B-4096-9568-26E4A00F14AE}">
      <formula1>$U$2:$W$2</formula1>
    </dataValidation>
    <dataValidation type="list" showInputMessage="1" showErrorMessage="1" sqref="K4:K30 P4:P30 F4:F30" xr:uid="{05E0C3B7-C515-4FD3-9F0C-931FF42C480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</cols>
  <sheetData>
    <row r="1" spans="1:4" x14ac:dyDescent="0.4">
      <c r="A1" s="52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52" t="s">
        <v>78</v>
      </c>
      <c r="B2" s="15" t="s">
        <v>133</v>
      </c>
      <c r="C2" s="15">
        <v>1</v>
      </c>
    </row>
    <row r="3" spans="1:4" x14ac:dyDescent="0.4">
      <c r="A3" s="52" t="s">
        <v>79</v>
      </c>
      <c r="B3" s="15" t="s">
        <v>32</v>
      </c>
      <c r="C3" s="15">
        <v>1</v>
      </c>
    </row>
    <row r="4" spans="1:4" x14ac:dyDescent="0.4">
      <c r="A4" s="52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52" t="s">
        <v>81</v>
      </c>
      <c r="B5" s="15" t="s">
        <v>34</v>
      </c>
      <c r="C5" s="15">
        <v>1</v>
      </c>
    </row>
    <row r="6" spans="1:4" x14ac:dyDescent="0.4">
      <c r="A6" s="52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52" t="s">
        <v>83</v>
      </c>
      <c r="B7" s="15" t="s">
        <v>36</v>
      </c>
      <c r="C7" s="15">
        <v>1</v>
      </c>
    </row>
    <row r="8" spans="1:4" x14ac:dyDescent="0.4">
      <c r="A8" s="52" t="s">
        <v>84</v>
      </c>
      <c r="B8" s="15" t="s">
        <v>37</v>
      </c>
      <c r="C8" s="15">
        <v>1</v>
      </c>
    </row>
    <row r="9" spans="1:4" x14ac:dyDescent="0.4">
      <c r="A9" s="52" t="s">
        <v>85</v>
      </c>
      <c r="B9" s="15" t="s">
        <v>38</v>
      </c>
      <c r="C9" s="15">
        <v>1</v>
      </c>
    </row>
    <row r="10" spans="1:4" x14ac:dyDescent="0.4">
      <c r="A10" s="52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52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52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52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52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52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52" t="s">
        <v>92</v>
      </c>
      <c r="B16" s="15" t="s">
        <v>44</v>
      </c>
      <c r="C16" s="15">
        <v>2</v>
      </c>
    </row>
    <row r="17" spans="1:4" x14ac:dyDescent="0.4">
      <c r="A17" s="52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52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52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52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52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52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52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52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52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52" t="s">
        <v>102</v>
      </c>
      <c r="B26" s="15" t="s">
        <v>53</v>
      </c>
      <c r="C26" s="15">
        <v>2</v>
      </c>
    </row>
    <row r="27" spans="1:4" x14ac:dyDescent="0.4">
      <c r="A27" s="52" t="s">
        <v>103</v>
      </c>
      <c r="B27" s="15" t="s">
        <v>54</v>
      </c>
      <c r="C27" s="15">
        <v>3</v>
      </c>
    </row>
    <row r="28" spans="1:4" x14ac:dyDescent="0.4">
      <c r="A28" s="52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52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52" t="s">
        <v>106</v>
      </c>
      <c r="B30" s="15" t="s">
        <v>56</v>
      </c>
      <c r="C30" s="15">
        <v>5</v>
      </c>
    </row>
    <row r="31" spans="1:4" x14ac:dyDescent="0.4">
      <c r="A31" s="52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52" t="s">
        <v>108</v>
      </c>
      <c r="B32" s="15" t="s">
        <v>58</v>
      </c>
      <c r="C32" s="15">
        <v>13</v>
      </c>
    </row>
    <row r="33" spans="1:4" x14ac:dyDescent="0.4">
      <c r="A33" s="52" t="s">
        <v>109</v>
      </c>
      <c r="B33" s="15" t="s">
        <v>59</v>
      </c>
      <c r="C33" s="15">
        <v>13</v>
      </c>
    </row>
    <row r="34" spans="1:4" x14ac:dyDescent="0.4">
      <c r="A34" s="52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52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52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52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52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52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52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52" t="s">
        <v>117</v>
      </c>
      <c r="B41" s="15" t="s">
        <v>67</v>
      </c>
      <c r="C41" s="15">
        <v>13</v>
      </c>
    </row>
    <row r="42" spans="1:4" x14ac:dyDescent="0.4">
      <c r="A42" s="52" t="s">
        <v>118</v>
      </c>
      <c r="B42" s="15" t="s">
        <v>68</v>
      </c>
      <c r="C42" s="15">
        <v>13</v>
      </c>
    </row>
    <row r="43" spans="1:4" x14ac:dyDescent="0.4">
      <c r="A43" s="52" t="s">
        <v>119</v>
      </c>
      <c r="B43" s="15" t="s">
        <v>69</v>
      </c>
      <c r="C43" s="15">
        <v>13</v>
      </c>
    </row>
    <row r="44" spans="1:4" x14ac:dyDescent="0.4">
      <c r="A44" s="52" t="s">
        <v>120</v>
      </c>
      <c r="B44" s="15" t="s">
        <v>70</v>
      </c>
      <c r="C44" s="15">
        <v>13</v>
      </c>
    </row>
    <row r="45" spans="1:4" x14ac:dyDescent="0.4">
      <c r="A45" s="52" t="s">
        <v>121</v>
      </c>
      <c r="B45" s="15" t="s">
        <v>71</v>
      </c>
      <c r="C45" s="15">
        <v>26</v>
      </c>
    </row>
    <row r="46" spans="1:4" x14ac:dyDescent="0.4">
      <c r="A46" s="52" t="s">
        <v>122</v>
      </c>
      <c r="B46" s="15" t="s">
        <v>72</v>
      </c>
      <c r="C46" s="15">
        <v>26</v>
      </c>
    </row>
    <row r="47" spans="1:4" x14ac:dyDescent="0.4">
      <c r="A47" s="52" t="s">
        <v>123</v>
      </c>
      <c r="B47" s="15" t="s">
        <v>73</v>
      </c>
      <c r="C47" s="15">
        <v>26</v>
      </c>
    </row>
    <row r="48" spans="1:4" x14ac:dyDescent="0.4">
      <c r="A48" s="52" t="s">
        <v>124</v>
      </c>
      <c r="B48" s="15" t="s">
        <v>74</v>
      </c>
      <c r="C48" s="15">
        <v>13</v>
      </c>
    </row>
    <row r="49" spans="1:3" x14ac:dyDescent="0.4">
      <c r="A49" s="52" t="s">
        <v>125</v>
      </c>
      <c r="B49" s="15" t="s">
        <v>75</v>
      </c>
      <c r="C49" s="15">
        <v>13</v>
      </c>
    </row>
    <row r="50" spans="1:3" x14ac:dyDescent="0.4">
      <c r="A50" s="52" t="s">
        <v>126</v>
      </c>
      <c r="B50" s="15" t="s">
        <v>76</v>
      </c>
      <c r="C50" s="15">
        <v>13</v>
      </c>
    </row>
    <row r="51" spans="1:3" x14ac:dyDescent="0.4">
      <c r="A51" s="52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2018-12-19T17:11:32Z</dcterms:modified>
</cp:coreProperties>
</file>