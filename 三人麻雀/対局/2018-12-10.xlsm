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Desktop\三人麻雀\対局\"/>
    </mc:Choice>
  </mc:AlternateContent>
  <xr:revisionPtr revIDLastSave="0" documentId="10_ncr:100000_{DA9D46B5-84B7-4259-AD35-24F858F884EA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11" l="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T30" i="11"/>
  <c r="W30" i="11" s="1"/>
  <c r="S30" i="11"/>
  <c r="O30" i="11"/>
  <c r="V30" i="11" s="1"/>
  <c r="N30" i="11"/>
  <c r="J30" i="11"/>
  <c r="U30" i="11" s="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D15" i="11"/>
  <c r="C15" i="11"/>
  <c r="B15" i="11"/>
  <c r="A15" i="11"/>
  <c r="N14" i="11"/>
  <c r="D14" i="11"/>
  <c r="C14" i="11"/>
  <c r="S14" i="11" s="1"/>
  <c r="N13" i="11"/>
  <c r="D13" i="11"/>
  <c r="C13" i="11"/>
  <c r="S13" i="11" s="1"/>
  <c r="S12" i="11"/>
  <c r="D12" i="11"/>
  <c r="C12" i="11"/>
  <c r="N12" i="11" s="1"/>
  <c r="D11" i="11"/>
  <c r="C11" i="11"/>
  <c r="N11" i="11" s="1"/>
  <c r="S10" i="11"/>
  <c r="D10" i="11"/>
  <c r="D9" i="11"/>
  <c r="C9" i="11"/>
  <c r="C10" i="11" s="1"/>
  <c r="D8" i="11"/>
  <c r="C8" i="11"/>
  <c r="S8" i="11" s="1"/>
  <c r="D7" i="11"/>
  <c r="C7" i="11"/>
  <c r="S7" i="11" s="1"/>
  <c r="S6" i="11"/>
  <c r="D6" i="11"/>
  <c r="C6" i="11"/>
  <c r="N6" i="11" s="1"/>
  <c r="B6" i="11"/>
  <c r="B7" i="11" s="1"/>
  <c r="D5" i="11"/>
  <c r="C5" i="11"/>
  <c r="S5" i="11" s="1"/>
  <c r="B5" i="11"/>
  <c r="S4" i="11"/>
  <c r="T4" i="11" s="1"/>
  <c r="N4" i="11"/>
  <c r="O4" i="11" s="1"/>
  <c r="V4" i="11" s="1"/>
  <c r="J4" i="11"/>
  <c r="W3" i="11"/>
  <c r="V3" i="11"/>
  <c r="U3" i="11"/>
  <c r="W2" i="11"/>
  <c r="V2" i="11"/>
  <c r="U2" i="11"/>
  <c r="A6" i="11" l="1"/>
  <c r="A5" i="11"/>
  <c r="N5" i="11"/>
  <c r="O5" i="11" s="1"/>
  <c r="N9" i="11"/>
  <c r="N7" i="11"/>
  <c r="A7" i="11"/>
  <c r="B8" i="11"/>
  <c r="S11" i="11"/>
  <c r="J5" i="11"/>
  <c r="U4" i="11"/>
  <c r="T5" i="11"/>
  <c r="W4" i="11"/>
  <c r="N10" i="11"/>
  <c r="S9" i="11"/>
  <c r="N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W5" i="11" l="1"/>
  <c r="T6" i="11"/>
  <c r="V5" i="11"/>
  <c r="O6" i="11"/>
  <c r="J6" i="11"/>
  <c r="U5" i="11"/>
  <c r="B9" i="11"/>
  <c r="A9" i="11" s="1"/>
  <c r="A8" i="11"/>
  <c r="W3" i="1"/>
  <c r="V3" i="1"/>
  <c r="U3" i="1"/>
  <c r="O7" i="11" l="1"/>
  <c r="V6" i="11"/>
  <c r="T7" i="11"/>
  <c r="W6" i="11"/>
  <c r="B10" i="11"/>
  <c r="J7" i="11"/>
  <c r="U6" i="11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B11" i="11" l="1"/>
  <c r="J8" i="11"/>
  <c r="U7" i="11"/>
  <c r="A10" i="11"/>
  <c r="W7" i="11"/>
  <c r="T8" i="11"/>
  <c r="V7" i="11"/>
  <c r="O8" i="11"/>
  <c r="W2" i="1"/>
  <c r="V2" i="1"/>
  <c r="U2" i="1"/>
  <c r="A11" i="11" l="1"/>
  <c r="O9" i="11"/>
  <c r="V8" i="11"/>
  <c r="T9" i="11"/>
  <c r="W8" i="11"/>
  <c r="J9" i="11"/>
  <c r="U8" i="11"/>
  <c r="B12" i="11"/>
  <c r="B2" i="10"/>
  <c r="B13" i="11" l="1"/>
  <c r="A12" i="11"/>
  <c r="J10" i="11"/>
  <c r="U9" i="11"/>
  <c r="T10" i="11"/>
  <c r="W9" i="11"/>
  <c r="V9" i="11"/>
  <c r="O10" i="1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13" i="11" l="1"/>
  <c r="T11" i="11"/>
  <c r="W10" i="11"/>
  <c r="J11" i="11"/>
  <c r="U10" i="11"/>
  <c r="O11" i="11"/>
  <c r="V10" i="11"/>
  <c r="B14" i="11"/>
  <c r="A14" i="11" s="1"/>
  <c r="J5" i="1"/>
  <c r="U5" i="1" s="1"/>
  <c r="A5" i="1"/>
  <c r="U4" i="1"/>
  <c r="A6" i="1"/>
  <c r="A8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6" i="1"/>
  <c r="J7" i="1" s="1"/>
  <c r="U7" i="1" s="1"/>
  <c r="V11" i="11" l="1"/>
  <c r="O12" i="11"/>
  <c r="U11" i="11"/>
  <c r="J12" i="11"/>
  <c r="T12" i="11"/>
  <c r="W11" i="11"/>
  <c r="J8" i="1"/>
  <c r="U6" i="1"/>
  <c r="V4" i="1"/>
  <c r="W4" i="1"/>
  <c r="T5" i="1"/>
  <c r="O6" i="1"/>
  <c r="O7" i="1" s="1"/>
  <c r="B10" i="1"/>
  <c r="B11" i="1" s="1"/>
  <c r="J13" i="11" l="1"/>
  <c r="U12" i="11"/>
  <c r="O13" i="11"/>
  <c r="V12" i="11"/>
  <c r="T13" i="11"/>
  <c r="W12" i="11"/>
  <c r="V7" i="1"/>
  <c r="O8" i="1"/>
  <c r="U8" i="1"/>
  <c r="J9" i="1"/>
  <c r="V6" i="1"/>
  <c r="W5" i="1"/>
  <c r="T6" i="1"/>
  <c r="T7" i="1" s="1"/>
  <c r="A10" i="1"/>
  <c r="A11" i="1"/>
  <c r="B12" i="1"/>
  <c r="T14" i="11" l="1"/>
  <c r="W14" i="11" s="1"/>
  <c r="W13" i="11"/>
  <c r="V13" i="11"/>
  <c r="O14" i="11"/>
  <c r="V14" i="11" s="1"/>
  <c r="U13" i="11"/>
  <c r="J14" i="11"/>
  <c r="U14" i="11" s="1"/>
  <c r="W7" i="1"/>
  <c r="T8" i="1"/>
  <c r="U9" i="1"/>
  <c r="J10" i="1"/>
  <c r="U10" i="1" s="1"/>
  <c r="V8" i="1"/>
  <c r="O9" i="1"/>
  <c r="W6" i="1"/>
  <c r="B13" i="1"/>
  <c r="A13" i="1" s="1"/>
  <c r="A12" i="1"/>
  <c r="V9" i="1" l="1"/>
  <c r="O10" i="1"/>
  <c r="V10" i="1" s="1"/>
  <c r="W8" i="1"/>
  <c r="T9" i="1"/>
  <c r="B14" i="1"/>
  <c r="A14" i="1" s="1"/>
  <c r="W9" i="1" l="1"/>
  <c r="T10" i="1"/>
  <c r="W10" i="1" s="1"/>
</calcChain>
</file>

<file path=xl/sharedStrings.xml><?xml version="1.0" encoding="utf-8"?>
<sst xmlns="http://schemas.openxmlformats.org/spreadsheetml/2006/main" count="182" uniqueCount="32">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</sst>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たかの</v>
      </c>
      <c r="W2" s="22" t="str">
        <f>$P$1</f>
        <v>ただ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36">
        <f t="shared" ref="J4:J30" si="0">IF(COUNTA($F4,$K4,$P4)&gt;0,J3+SUM(G4:I4),"")</f>
        <v>35000</v>
      </c>
      <c r="K4" s="10" t="s">
        <v>29</v>
      </c>
      <c r="L4" s="11">
        <v>-18000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17000</v>
      </c>
      <c r="P4" s="10" t="s">
        <v>28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53000</v>
      </c>
      <c r="U4" s="26">
        <f t="shared" ref="U4:U30" si="3">IF($J4="","",ROUND(($J4-$J$3)/1000,0))</f>
        <v>0</v>
      </c>
      <c r="V4" s="27">
        <f t="shared" ref="V4:V30" si="4">IF($O4="","",ROUND(($O4-$O$3)/1000,0))</f>
        <v>-18</v>
      </c>
      <c r="W4" s="28">
        <f t="shared" ref="W4:W30" si="5">IF($T4="","",ROUND(($T4-$T$3)/1000,0))</f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36">
        <f t="shared" si="0"/>
        <v>35000</v>
      </c>
      <c r="K5" s="10" t="s">
        <v>28</v>
      </c>
      <c r="L5" s="11">
        <v>2000</v>
      </c>
      <c r="M5" s="11"/>
      <c r="N5" s="12">
        <f t="shared" ref="N5:N30" si="6">IF(OR(K5="ロン",K5="ツモ"),$C5*1000,IF(K5="放銃",$C5*-1000,IF(K5="ツモ支払",$C5*-500,"")))</f>
        <v>1000</v>
      </c>
      <c r="O5" s="36">
        <f t="shared" si="1"/>
        <v>20000</v>
      </c>
      <c r="P5" s="10" t="s">
        <v>29</v>
      </c>
      <c r="Q5" s="11">
        <v>-2000</v>
      </c>
      <c r="R5" s="11"/>
      <c r="S5" s="12">
        <f t="shared" ref="S5:S30" si="7">IF(OR(P5="ロン",P5="ツモ"),$C5*1000,IF(P5="放銃",$C5*-1000,IF(P5="ツモ支払",$C5*-500,"")))</f>
        <v>-1000</v>
      </c>
      <c r="T5" s="36">
        <f t="shared" si="2"/>
        <v>50000</v>
      </c>
      <c r="U5" s="26">
        <f t="shared" si="3"/>
        <v>0</v>
      </c>
      <c r="V5" s="27">
        <f t="shared" si="4"/>
        <v>-15</v>
      </c>
      <c r="W5" s="28">
        <f t="shared" si="5"/>
        <v>15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2</v>
      </c>
      <c r="C6" s="33">
        <f t="shared" ref="C6:C30" si="10">IF($E6="","",IF($E5=$E6,C5+1,0))</f>
        <v>0</v>
      </c>
      <c r="D6" s="33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18000</v>
      </c>
      <c r="H6" s="11"/>
      <c r="I6" s="12">
        <f t="shared" ref="I6:I30" si="12">IF(OR(F6="ロン",F6="ツモ"),$C6*1000,IF(F6="放銃",$C6*-1000,IF(F6="ツモ支払",$C6*-500,"")))</f>
        <v>0</v>
      </c>
      <c r="J6" s="36">
        <f t="shared" si="0"/>
        <v>53000</v>
      </c>
      <c r="K6" s="10" t="s">
        <v>29</v>
      </c>
      <c r="L6" s="11">
        <v>-18000</v>
      </c>
      <c r="M6" s="11"/>
      <c r="N6" s="12">
        <f t="shared" si="6"/>
        <v>0</v>
      </c>
      <c r="O6" s="36">
        <f t="shared" si="1"/>
        <v>2000</v>
      </c>
      <c r="P6" s="10"/>
      <c r="Q6" s="11"/>
      <c r="R6" s="11"/>
      <c r="S6" s="12" t="str">
        <f t="shared" si="7"/>
        <v/>
      </c>
      <c r="T6" s="36">
        <f t="shared" si="2"/>
        <v>50000</v>
      </c>
      <c r="U6" s="26">
        <f t="shared" si="3"/>
        <v>18</v>
      </c>
      <c r="V6" s="27">
        <f t="shared" si="4"/>
        <v>-33</v>
      </c>
      <c r="W6" s="28">
        <f t="shared" si="5"/>
        <v>15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1</v>
      </c>
      <c r="D7" s="33">
        <f t="shared" si="11"/>
        <v>0</v>
      </c>
      <c r="E7" s="5" t="s">
        <v>22</v>
      </c>
      <c r="F7" s="10" t="s">
        <v>31</v>
      </c>
      <c r="G7" s="11">
        <v>-5000</v>
      </c>
      <c r="H7" s="11"/>
      <c r="I7" s="12">
        <f t="shared" si="12"/>
        <v>-500</v>
      </c>
      <c r="J7" s="36">
        <f t="shared" si="0"/>
        <v>47500</v>
      </c>
      <c r="K7" s="10" t="s">
        <v>30</v>
      </c>
      <c r="L7" s="11">
        <v>8000</v>
      </c>
      <c r="M7" s="11"/>
      <c r="N7" s="12">
        <f t="shared" si="6"/>
        <v>1000</v>
      </c>
      <c r="O7" s="36">
        <f t="shared" si="1"/>
        <v>11000</v>
      </c>
      <c r="P7" s="10" t="s">
        <v>31</v>
      </c>
      <c r="Q7" s="11">
        <v>-3000</v>
      </c>
      <c r="R7" s="11"/>
      <c r="S7" s="12">
        <f t="shared" si="7"/>
        <v>-500</v>
      </c>
      <c r="T7" s="36">
        <f t="shared" si="2"/>
        <v>46500</v>
      </c>
      <c r="U7" s="26">
        <f t="shared" si="3"/>
        <v>13</v>
      </c>
      <c r="V7" s="27">
        <f t="shared" si="4"/>
        <v>-24</v>
      </c>
      <c r="W7" s="28">
        <f t="shared" si="5"/>
        <v>12</v>
      </c>
    </row>
    <row r="8" spans="1:23" x14ac:dyDescent="0.4">
      <c r="A8" s="17" t="str">
        <f t="shared" si="8"/>
        <v>東</v>
      </c>
      <c r="B8" s="33">
        <f t="shared" si="9"/>
        <v>3</v>
      </c>
      <c r="C8" s="33">
        <f t="shared" si="10"/>
        <v>0</v>
      </c>
      <c r="D8" s="33">
        <f t="shared" si="11"/>
        <v>0</v>
      </c>
      <c r="E8" s="5" t="s">
        <v>24</v>
      </c>
      <c r="F8" s="10"/>
      <c r="G8" s="11"/>
      <c r="H8" s="11"/>
      <c r="I8" s="12" t="str">
        <f t="shared" si="12"/>
        <v/>
      </c>
      <c r="J8" s="36">
        <f t="shared" si="0"/>
        <v>47500</v>
      </c>
      <c r="K8" s="10" t="s">
        <v>28</v>
      </c>
      <c r="L8" s="11">
        <v>18000</v>
      </c>
      <c r="M8" s="11"/>
      <c r="N8" s="12">
        <f t="shared" si="6"/>
        <v>0</v>
      </c>
      <c r="O8" s="36">
        <f t="shared" si="1"/>
        <v>29000</v>
      </c>
      <c r="P8" s="10" t="s">
        <v>29</v>
      </c>
      <c r="Q8" s="11">
        <v>-18000</v>
      </c>
      <c r="R8" s="11"/>
      <c r="S8" s="12">
        <f t="shared" si="7"/>
        <v>0</v>
      </c>
      <c r="T8" s="36">
        <f t="shared" si="2"/>
        <v>28500</v>
      </c>
      <c r="U8" s="26">
        <f t="shared" si="3"/>
        <v>13</v>
      </c>
      <c r="V8" s="27">
        <f t="shared" si="4"/>
        <v>-6</v>
      </c>
      <c r="W8" s="28">
        <f t="shared" si="5"/>
        <v>-7</v>
      </c>
    </row>
    <row r="9" spans="1:23" x14ac:dyDescent="0.4">
      <c r="A9" s="17" t="str">
        <f t="shared" si="8"/>
        <v>東</v>
      </c>
      <c r="B9" s="33">
        <f t="shared" si="9"/>
        <v>3</v>
      </c>
      <c r="C9" s="33">
        <f t="shared" si="10"/>
        <v>1</v>
      </c>
      <c r="D9" s="33">
        <f t="shared" si="11"/>
        <v>0</v>
      </c>
      <c r="E9" s="5" t="s">
        <v>24</v>
      </c>
      <c r="F9" s="10" t="s">
        <v>31</v>
      </c>
      <c r="G9" s="11">
        <v>-6000</v>
      </c>
      <c r="H9" s="11"/>
      <c r="I9" s="12">
        <f t="shared" si="12"/>
        <v>-500</v>
      </c>
      <c r="J9" s="36">
        <f t="shared" si="0"/>
        <v>41000</v>
      </c>
      <c r="K9" s="10" t="s">
        <v>30</v>
      </c>
      <c r="L9" s="11">
        <v>12000</v>
      </c>
      <c r="M9" s="11"/>
      <c r="N9" s="12">
        <f t="shared" si="6"/>
        <v>1000</v>
      </c>
      <c r="O9" s="36">
        <f t="shared" si="1"/>
        <v>42000</v>
      </c>
      <c r="P9" s="10" t="s">
        <v>31</v>
      </c>
      <c r="Q9" s="11">
        <v>-6000</v>
      </c>
      <c r="R9" s="11"/>
      <c r="S9" s="12">
        <f t="shared" si="7"/>
        <v>-500</v>
      </c>
      <c r="T9" s="36">
        <f t="shared" si="2"/>
        <v>22000</v>
      </c>
      <c r="U9" s="26">
        <f t="shared" si="3"/>
        <v>6</v>
      </c>
      <c r="V9" s="27">
        <f t="shared" si="4"/>
        <v>7</v>
      </c>
      <c r="W9" s="28">
        <f t="shared" si="5"/>
        <v>-13</v>
      </c>
    </row>
    <row r="10" spans="1:23" x14ac:dyDescent="0.4">
      <c r="A10" s="17" t="str">
        <f t="shared" si="8"/>
        <v>東</v>
      </c>
      <c r="B10" s="33">
        <f t="shared" si="9"/>
        <v>3</v>
      </c>
      <c r="C10" s="33">
        <f t="shared" si="10"/>
        <v>2</v>
      </c>
      <c r="D10" s="33">
        <f t="shared" si="11"/>
        <v>0</v>
      </c>
      <c r="E10" s="5" t="s">
        <v>24</v>
      </c>
      <c r="F10" s="10" t="s">
        <v>28</v>
      </c>
      <c r="G10" s="11">
        <v>16000</v>
      </c>
      <c r="H10" s="11"/>
      <c r="I10" s="12">
        <f t="shared" si="12"/>
        <v>2000</v>
      </c>
      <c r="J10" s="36">
        <f t="shared" si="0"/>
        <v>59000</v>
      </c>
      <c r="K10" s="10" t="s">
        <v>29</v>
      </c>
      <c r="L10" s="11">
        <v>-16000</v>
      </c>
      <c r="M10" s="11"/>
      <c r="N10" s="12">
        <f t="shared" si="6"/>
        <v>-2000</v>
      </c>
      <c r="O10" s="36">
        <f t="shared" si="1"/>
        <v>24000</v>
      </c>
      <c r="P10" s="10"/>
      <c r="Q10" s="11"/>
      <c r="R10" s="11"/>
      <c r="S10" s="12" t="str">
        <f t="shared" si="7"/>
        <v/>
      </c>
      <c r="T10" s="36">
        <f t="shared" si="2"/>
        <v>22000</v>
      </c>
      <c r="U10" s="26">
        <f t="shared" si="3"/>
        <v>24</v>
      </c>
      <c r="V10" s="27">
        <f t="shared" si="4"/>
        <v>-11</v>
      </c>
      <c r="W10" s="28">
        <f t="shared" si="5"/>
        <v>-13</v>
      </c>
    </row>
    <row r="11" spans="1:23" x14ac:dyDescent="0.4">
      <c r="A11" s="17" t="str">
        <f t="shared" si="8"/>
        <v>南</v>
      </c>
      <c r="B11" s="33">
        <f t="shared" si="9"/>
        <v>1</v>
      </c>
      <c r="C11" s="33">
        <f t="shared" si="10"/>
        <v>0</v>
      </c>
      <c r="D11" s="33">
        <f t="shared" si="11"/>
        <v>0</v>
      </c>
      <c r="E11" s="5" t="s">
        <v>26</v>
      </c>
      <c r="F11" s="10" t="s">
        <v>30</v>
      </c>
      <c r="G11" s="11"/>
      <c r="H11" s="11"/>
      <c r="I11" s="12">
        <f t="shared" si="12"/>
        <v>0</v>
      </c>
      <c r="J11" s="36">
        <f t="shared" si="0"/>
        <v>59000</v>
      </c>
      <c r="K11" s="10" t="s">
        <v>31</v>
      </c>
      <c r="L11" s="11"/>
      <c r="M11" s="11"/>
      <c r="N11" s="12">
        <f t="shared" si="6"/>
        <v>0</v>
      </c>
      <c r="O11" s="36">
        <f t="shared" si="1"/>
        <v>24000</v>
      </c>
      <c r="P11" s="10" t="s">
        <v>31</v>
      </c>
      <c r="Q11" s="11"/>
      <c r="R11" s="11"/>
      <c r="S11" s="12">
        <f t="shared" si="7"/>
        <v>0</v>
      </c>
      <c r="T11" s="36">
        <f t="shared" si="2"/>
        <v>22000</v>
      </c>
      <c r="U11" s="26">
        <f t="shared" si="3"/>
        <v>24</v>
      </c>
      <c r="V11" s="27">
        <f t="shared" si="4"/>
        <v>-11</v>
      </c>
      <c r="W11" s="28">
        <f t="shared" si="5"/>
        <v>-13</v>
      </c>
    </row>
    <row r="12" spans="1:23" x14ac:dyDescent="0.4">
      <c r="A12" s="17" t="str">
        <f t="shared" si="8"/>
        <v>南</v>
      </c>
      <c r="B12" s="33">
        <f t="shared" si="9"/>
        <v>2</v>
      </c>
      <c r="C12" s="33">
        <f t="shared" si="10"/>
        <v>0</v>
      </c>
      <c r="D12" s="33">
        <f t="shared" si="11"/>
        <v>0</v>
      </c>
      <c r="E12" s="5" t="s">
        <v>22</v>
      </c>
      <c r="F12" s="10" t="s">
        <v>28</v>
      </c>
      <c r="G12" s="11">
        <v>2900</v>
      </c>
      <c r="H12" s="11"/>
      <c r="I12" s="12">
        <f t="shared" si="12"/>
        <v>0</v>
      </c>
      <c r="J12" s="36">
        <f t="shared" si="0"/>
        <v>61900</v>
      </c>
      <c r="K12" s="10" t="s">
        <v>29</v>
      </c>
      <c r="L12" s="11">
        <v>-2900</v>
      </c>
      <c r="M12" s="11"/>
      <c r="N12" s="12">
        <f t="shared" si="6"/>
        <v>0</v>
      </c>
      <c r="O12" s="36">
        <f t="shared" si="1"/>
        <v>21100</v>
      </c>
      <c r="P12" s="10"/>
      <c r="Q12" s="11"/>
      <c r="R12" s="11"/>
      <c r="S12" s="12" t="str">
        <f t="shared" si="7"/>
        <v/>
      </c>
      <c r="T12" s="36">
        <f t="shared" si="2"/>
        <v>22000</v>
      </c>
      <c r="U12" s="26">
        <f t="shared" si="3"/>
        <v>27</v>
      </c>
      <c r="V12" s="27">
        <f t="shared" si="4"/>
        <v>-14</v>
      </c>
      <c r="W12" s="28">
        <f t="shared" si="5"/>
        <v>-13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1</v>
      </c>
      <c r="D13" s="33">
        <f t="shared" si="11"/>
        <v>0</v>
      </c>
      <c r="E13" s="5" t="s">
        <v>22</v>
      </c>
      <c r="F13" s="10" t="s">
        <v>29</v>
      </c>
      <c r="G13" s="11">
        <v>-8000</v>
      </c>
      <c r="H13" s="11"/>
      <c r="I13" s="12">
        <f t="shared" si="12"/>
        <v>-1000</v>
      </c>
      <c r="J13" s="36">
        <f t="shared" si="0"/>
        <v>52900</v>
      </c>
      <c r="K13" s="10"/>
      <c r="L13" s="11"/>
      <c r="M13" s="11"/>
      <c r="N13" s="12" t="str">
        <f t="shared" si="6"/>
        <v/>
      </c>
      <c r="O13" s="36">
        <f t="shared" si="1"/>
        <v>21100</v>
      </c>
      <c r="P13" s="10" t="s">
        <v>28</v>
      </c>
      <c r="Q13" s="11">
        <v>8000</v>
      </c>
      <c r="R13" s="11"/>
      <c r="S13" s="12">
        <f t="shared" si="7"/>
        <v>1000</v>
      </c>
      <c r="T13" s="36">
        <f t="shared" si="2"/>
        <v>31000</v>
      </c>
      <c r="U13" s="26">
        <f t="shared" si="3"/>
        <v>18</v>
      </c>
      <c r="V13" s="27">
        <f t="shared" si="4"/>
        <v>-14</v>
      </c>
      <c r="W13" s="28">
        <f t="shared" si="5"/>
        <v>-4</v>
      </c>
    </row>
    <row r="14" spans="1:23" x14ac:dyDescent="0.4">
      <c r="A14" s="17" t="str">
        <f t="shared" si="8"/>
        <v>南</v>
      </c>
      <c r="B14" s="33">
        <f t="shared" si="9"/>
        <v>3</v>
      </c>
      <c r="C14" s="33">
        <f t="shared" si="10"/>
        <v>0</v>
      </c>
      <c r="D14" s="33">
        <f t="shared" si="11"/>
        <v>0</v>
      </c>
      <c r="E14" s="5" t="s">
        <v>24</v>
      </c>
      <c r="F14" s="10" t="s">
        <v>28</v>
      </c>
      <c r="G14" s="11">
        <v>3200</v>
      </c>
      <c r="H14" s="11"/>
      <c r="I14" s="12">
        <f t="shared" si="12"/>
        <v>0</v>
      </c>
      <c r="J14" s="36">
        <f t="shared" si="0"/>
        <v>56100</v>
      </c>
      <c r="K14" s="10"/>
      <c r="L14" s="11"/>
      <c r="M14" s="11"/>
      <c r="N14" s="12" t="str">
        <f t="shared" si="6"/>
        <v/>
      </c>
      <c r="O14" s="36">
        <f t="shared" si="1"/>
        <v>21100</v>
      </c>
      <c r="P14" s="10" t="s">
        <v>29</v>
      </c>
      <c r="Q14" s="11">
        <v>-3200</v>
      </c>
      <c r="R14" s="11"/>
      <c r="S14" s="12">
        <f t="shared" si="7"/>
        <v>0</v>
      </c>
      <c r="T14" s="36">
        <f t="shared" si="2"/>
        <v>27800</v>
      </c>
      <c r="U14" s="26">
        <f t="shared" si="3"/>
        <v>21</v>
      </c>
      <c r="V14" s="27">
        <f t="shared" si="4"/>
        <v>-14</v>
      </c>
      <c r="W14" s="28">
        <f t="shared" si="5"/>
        <v>-7</v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4E583-1E72-4451-B01B-EA94F5E6537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6</v>
      </c>
      <c r="E1" s="50" t="s">
        <v>3</v>
      </c>
      <c r="F1" s="42" t="s">
        <v>23</v>
      </c>
      <c r="G1" s="43"/>
      <c r="H1" s="43"/>
      <c r="I1" s="44"/>
      <c r="J1" s="45"/>
      <c r="K1" s="42" t="s">
        <v>25</v>
      </c>
      <c r="L1" s="43"/>
      <c r="M1" s="43"/>
      <c r="N1" s="44"/>
      <c r="O1" s="45"/>
      <c r="P1" s="42" t="s">
        <v>27</v>
      </c>
      <c r="Q1" s="43"/>
      <c r="R1" s="43"/>
      <c r="S1" s="44"/>
      <c r="T1" s="45"/>
      <c r="U1" s="42" t="s">
        <v>8</v>
      </c>
      <c r="V1" s="43"/>
      <c r="W1" s="45"/>
    </row>
    <row r="2" spans="1:23" x14ac:dyDescent="0.4">
      <c r="A2" s="47"/>
      <c r="B2" s="49"/>
      <c r="C2" s="49"/>
      <c r="D2" s="49"/>
      <c r="E2" s="51"/>
      <c r="F2" s="2" t="s">
        <v>7</v>
      </c>
      <c r="G2" s="3" t="s">
        <v>12</v>
      </c>
      <c r="H2" s="3" t="s">
        <v>4</v>
      </c>
      <c r="I2" s="41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41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41" t="s">
        <v>10</v>
      </c>
      <c r="T2" s="8" t="s">
        <v>5</v>
      </c>
      <c r="U2" s="40" t="str">
        <f>$F$1</f>
        <v>だいち</v>
      </c>
      <c r="V2" s="41" t="str">
        <f>$K$1</f>
        <v>たかの</v>
      </c>
      <c r="W2" s="22" t="str">
        <f>$P$1</f>
        <v>ただ</v>
      </c>
    </row>
    <row r="3" spans="1:23" x14ac:dyDescent="0.4">
      <c r="A3" s="16"/>
      <c r="B3" s="32"/>
      <c r="C3" s="32"/>
      <c r="D3" s="32"/>
      <c r="E3" s="4"/>
      <c r="F3" s="9"/>
      <c r="G3" s="38"/>
      <c r="H3" s="38"/>
      <c r="I3" s="39"/>
      <c r="J3" s="35">
        <v>35000</v>
      </c>
      <c r="K3" s="9"/>
      <c r="L3" s="38"/>
      <c r="M3" s="38"/>
      <c r="N3" s="39"/>
      <c r="O3" s="35">
        <v>35000</v>
      </c>
      <c r="P3" s="9"/>
      <c r="Q3" s="38"/>
      <c r="R3" s="38"/>
      <c r="S3" s="39"/>
      <c r="T3" s="35">
        <v>35000</v>
      </c>
      <c r="U3" s="23">
        <f>IF($J3="","",ROUND(($J3-$J$3)/1000,0))</f>
        <v>0</v>
      </c>
      <c r="V3" s="24">
        <f>IF($O3="","",ROUND(($O3-$O$3)/1000,0))</f>
        <v>0</v>
      </c>
      <c r="W3" s="25">
        <f>IF($T3="","",ROUND(($T3-$T$3)/1000,0))</f>
        <v>0</v>
      </c>
    </row>
    <row r="4" spans="1:23" x14ac:dyDescent="0.4">
      <c r="A4" s="17" t="s">
        <v>11</v>
      </c>
      <c r="B4" s="33">
        <v>1</v>
      </c>
      <c r="C4" s="33">
        <v>0</v>
      </c>
      <c r="D4" s="33">
        <v>0</v>
      </c>
      <c r="E4" s="5" t="s">
        <v>26</v>
      </c>
      <c r="F4" s="10" t="s">
        <v>31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36">
        <f t="shared" ref="J4:J30" si="0">IF(COUNTA($F4,$K4,$P4)&gt;0,J3+SUM(G4:I4),"")</f>
        <v>29000</v>
      </c>
      <c r="K4" s="10" t="s">
        <v>31</v>
      </c>
      <c r="L4" s="11">
        <v>-6000</v>
      </c>
      <c r="M4" s="11"/>
      <c r="N4" s="12">
        <f>IF(OR(K4="ロン",K4="ツモ"),$C4*1000,IF(K4="放銃",$C4*-1000,IF(K4="ツモ支払",$C4*-500,"")))</f>
        <v>0</v>
      </c>
      <c r="O4" s="36">
        <f t="shared" ref="O4:O30" si="1">IF(COUNTA($F4,$K4,$P4)&gt;0,O3+SUM(L4:N4),"")</f>
        <v>29000</v>
      </c>
      <c r="P4" s="10" t="s">
        <v>30</v>
      </c>
      <c r="Q4" s="11">
        <v>12000</v>
      </c>
      <c r="R4" s="11"/>
      <c r="S4" s="12">
        <f>IF(OR(P4="ロン",P4="ツモ"),$C4*1000,IF(P4="放銃",$C4*-1000,IF(P4="ツモ支払",$C4*-500,"")))</f>
        <v>0</v>
      </c>
      <c r="T4" s="36">
        <f t="shared" ref="T4:T30" si="2">IF(COUNTA($F4,$K4,$P4)&gt;0,T3+SUM(Q4:S4),"")</f>
        <v>47000</v>
      </c>
      <c r="U4" s="26">
        <f t="shared" ref="U4:U30" si="3">IF($J4="","",ROUND(($J4-$J$3)/1000,0))</f>
        <v>-6</v>
      </c>
      <c r="V4" s="27">
        <f t="shared" ref="V4:V30" si="4">IF($O4="","",ROUND(($O4-$O$3)/1000,0))</f>
        <v>-6</v>
      </c>
      <c r="W4" s="28">
        <f t="shared" ref="W4:W30" si="5">IF($T4="","",ROUND(($T4-$T$3)/1000,0))</f>
        <v>12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33">
        <f>IF($E5="","",IF($E4=$E5,B4,IF(B4=3,1,B4+1)))</f>
        <v>1</v>
      </c>
      <c r="C5" s="33">
        <f>IF($E5="","",IF($E4=$E5,C4+1,0))</f>
        <v>1</v>
      </c>
      <c r="D5" s="33">
        <f>IF($E5="","",IF(OR($F4="流局",$F4="チョンボ"),D4+($H4+$M4+$R4)/-1000,0))</f>
        <v>0</v>
      </c>
      <c r="E5" s="5" t="s">
        <v>26</v>
      </c>
      <c r="F5" s="10" t="s">
        <v>31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36">
        <f t="shared" si="0"/>
        <v>22500</v>
      </c>
      <c r="K5" s="10" t="s">
        <v>31</v>
      </c>
      <c r="L5" s="11">
        <v>-6000</v>
      </c>
      <c r="M5" s="11"/>
      <c r="N5" s="12">
        <f t="shared" ref="N5:N30" si="6">IF(OR(K5="ロン",K5="ツモ"),$C5*1000,IF(K5="放銃",$C5*-1000,IF(K5="ツモ支払",$C5*-500,"")))</f>
        <v>-500</v>
      </c>
      <c r="O5" s="36">
        <f t="shared" si="1"/>
        <v>22500</v>
      </c>
      <c r="P5" s="10" t="s">
        <v>30</v>
      </c>
      <c r="Q5" s="11">
        <v>12000</v>
      </c>
      <c r="R5" s="11"/>
      <c r="S5" s="12">
        <f t="shared" ref="S5:S30" si="7">IF(OR(P5="ロン",P5="ツモ"),$C5*1000,IF(P5="放銃",$C5*-1000,IF(P5="ツモ支払",$C5*-500,"")))</f>
        <v>1000</v>
      </c>
      <c r="T5" s="36">
        <f t="shared" si="2"/>
        <v>60000</v>
      </c>
      <c r="U5" s="26">
        <f t="shared" si="3"/>
        <v>-13</v>
      </c>
      <c r="V5" s="27">
        <f t="shared" si="4"/>
        <v>-13</v>
      </c>
      <c r="W5" s="28">
        <f t="shared" si="5"/>
        <v>25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33">
        <f t="shared" ref="B6:B30" si="9">IF($E6="","",IF($E5=$E6,B5,IF(B5=3,1,B5+1)))</f>
        <v>1</v>
      </c>
      <c r="C6" s="33">
        <f t="shared" ref="C6:C30" si="10">IF($E6="","",IF($E5=$E6,C5+1,0))</f>
        <v>2</v>
      </c>
      <c r="D6" s="33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1300</v>
      </c>
      <c r="H6" s="11"/>
      <c r="I6" s="12">
        <f t="shared" ref="I6:I30" si="12">IF(OR(F6="ロン",F6="ツモ"),$C6*1000,IF(F6="放銃",$C6*-1000,IF(F6="ツモ支払",$C6*-500,"")))</f>
        <v>2000</v>
      </c>
      <c r="J6" s="36">
        <f t="shared" si="0"/>
        <v>25800</v>
      </c>
      <c r="K6" s="10" t="s">
        <v>29</v>
      </c>
      <c r="L6" s="11">
        <v>-1300</v>
      </c>
      <c r="M6" s="11"/>
      <c r="N6" s="12">
        <f t="shared" si="6"/>
        <v>-2000</v>
      </c>
      <c r="O6" s="36">
        <f t="shared" si="1"/>
        <v>19200</v>
      </c>
      <c r="P6" s="10"/>
      <c r="Q6" s="11"/>
      <c r="R6" s="11"/>
      <c r="S6" s="12" t="str">
        <f t="shared" si="7"/>
        <v/>
      </c>
      <c r="T6" s="36">
        <f t="shared" si="2"/>
        <v>60000</v>
      </c>
      <c r="U6" s="26">
        <f t="shared" si="3"/>
        <v>-9</v>
      </c>
      <c r="V6" s="27">
        <f t="shared" si="4"/>
        <v>-16</v>
      </c>
      <c r="W6" s="28">
        <f t="shared" si="5"/>
        <v>25</v>
      </c>
    </row>
    <row r="7" spans="1:23" x14ac:dyDescent="0.4">
      <c r="A7" s="17" t="str">
        <f t="shared" si="8"/>
        <v>東</v>
      </c>
      <c r="B7" s="33">
        <f t="shared" si="9"/>
        <v>2</v>
      </c>
      <c r="C7" s="33">
        <f t="shared" si="10"/>
        <v>0</v>
      </c>
      <c r="D7" s="33">
        <f t="shared" si="11"/>
        <v>0</v>
      </c>
      <c r="E7" s="5" t="s">
        <v>22</v>
      </c>
      <c r="F7" s="10" t="s">
        <v>28</v>
      </c>
      <c r="G7" s="11">
        <v>12000</v>
      </c>
      <c r="H7" s="11"/>
      <c r="I7" s="12">
        <f t="shared" si="12"/>
        <v>0</v>
      </c>
      <c r="J7" s="36">
        <f t="shared" si="0"/>
        <v>37800</v>
      </c>
      <c r="K7" s="10"/>
      <c r="L7" s="11"/>
      <c r="M7" s="11"/>
      <c r="N7" s="12" t="str">
        <f t="shared" si="6"/>
        <v/>
      </c>
      <c r="O7" s="36">
        <f t="shared" si="1"/>
        <v>19200</v>
      </c>
      <c r="P7" s="10" t="s">
        <v>29</v>
      </c>
      <c r="Q7" s="11">
        <v>-12000</v>
      </c>
      <c r="R7" s="11"/>
      <c r="S7" s="12">
        <f t="shared" si="7"/>
        <v>0</v>
      </c>
      <c r="T7" s="36">
        <f t="shared" si="2"/>
        <v>48000</v>
      </c>
      <c r="U7" s="26">
        <f t="shared" si="3"/>
        <v>3</v>
      </c>
      <c r="V7" s="27">
        <f t="shared" si="4"/>
        <v>-16</v>
      </c>
      <c r="W7" s="28">
        <f t="shared" si="5"/>
        <v>13</v>
      </c>
    </row>
    <row r="8" spans="1:23" x14ac:dyDescent="0.4">
      <c r="A8" s="17" t="str">
        <f t="shared" si="8"/>
        <v>東</v>
      </c>
      <c r="B8" s="33">
        <f t="shared" si="9"/>
        <v>2</v>
      </c>
      <c r="C8" s="33">
        <f t="shared" si="10"/>
        <v>1</v>
      </c>
      <c r="D8" s="33">
        <f t="shared" si="11"/>
        <v>0</v>
      </c>
      <c r="E8" s="5" t="s">
        <v>22</v>
      </c>
      <c r="F8" s="10" t="s">
        <v>30</v>
      </c>
      <c r="G8" s="11">
        <v>12000</v>
      </c>
      <c r="H8" s="11"/>
      <c r="I8" s="12">
        <f t="shared" si="12"/>
        <v>1000</v>
      </c>
      <c r="J8" s="36">
        <f t="shared" si="0"/>
        <v>50800</v>
      </c>
      <c r="K8" s="10" t="s">
        <v>31</v>
      </c>
      <c r="L8" s="11">
        <v>-6000</v>
      </c>
      <c r="M8" s="11"/>
      <c r="N8" s="12">
        <f t="shared" si="6"/>
        <v>-500</v>
      </c>
      <c r="O8" s="36">
        <f t="shared" si="1"/>
        <v>12700</v>
      </c>
      <c r="P8" s="10" t="s">
        <v>31</v>
      </c>
      <c r="Q8" s="11">
        <v>-6000</v>
      </c>
      <c r="R8" s="11"/>
      <c r="S8" s="12">
        <f t="shared" si="7"/>
        <v>-500</v>
      </c>
      <c r="T8" s="36">
        <f t="shared" si="2"/>
        <v>41500</v>
      </c>
      <c r="U8" s="26">
        <f t="shared" si="3"/>
        <v>16</v>
      </c>
      <c r="V8" s="27">
        <f t="shared" si="4"/>
        <v>-22</v>
      </c>
      <c r="W8" s="28">
        <f t="shared" si="5"/>
        <v>7</v>
      </c>
    </row>
    <row r="9" spans="1:23" x14ac:dyDescent="0.4">
      <c r="A9" s="17" t="str">
        <f t="shared" si="8"/>
        <v>東</v>
      </c>
      <c r="B9" s="33">
        <f t="shared" si="9"/>
        <v>2</v>
      </c>
      <c r="C9" s="33">
        <f t="shared" si="10"/>
        <v>2</v>
      </c>
      <c r="D9" s="33">
        <f t="shared" si="11"/>
        <v>0</v>
      </c>
      <c r="E9" s="5" t="s">
        <v>22</v>
      </c>
      <c r="F9" s="10" t="s">
        <v>28</v>
      </c>
      <c r="G9" s="11">
        <v>2400</v>
      </c>
      <c r="H9" s="11"/>
      <c r="I9" s="12">
        <f t="shared" si="12"/>
        <v>2000</v>
      </c>
      <c r="J9" s="36">
        <f t="shared" si="0"/>
        <v>55200</v>
      </c>
      <c r="K9" s="10"/>
      <c r="L9" s="11"/>
      <c r="M9" s="11"/>
      <c r="N9" s="12" t="str">
        <f t="shared" si="6"/>
        <v/>
      </c>
      <c r="O9" s="36">
        <f t="shared" si="1"/>
        <v>12700</v>
      </c>
      <c r="P9" s="10" t="s">
        <v>29</v>
      </c>
      <c r="Q9" s="11">
        <v>-2400</v>
      </c>
      <c r="R9" s="11"/>
      <c r="S9" s="12">
        <f t="shared" si="7"/>
        <v>-2000</v>
      </c>
      <c r="T9" s="36">
        <f t="shared" si="2"/>
        <v>37100</v>
      </c>
      <c r="U9" s="26">
        <f t="shared" si="3"/>
        <v>20</v>
      </c>
      <c r="V9" s="27">
        <f t="shared" si="4"/>
        <v>-22</v>
      </c>
      <c r="W9" s="28">
        <f t="shared" si="5"/>
        <v>2</v>
      </c>
    </row>
    <row r="10" spans="1:23" x14ac:dyDescent="0.4">
      <c r="A10" s="17" t="str">
        <f t="shared" si="8"/>
        <v>東</v>
      </c>
      <c r="B10" s="33">
        <f t="shared" si="9"/>
        <v>2</v>
      </c>
      <c r="C10" s="33">
        <f t="shared" si="10"/>
        <v>3</v>
      </c>
      <c r="D10" s="33">
        <f t="shared" si="11"/>
        <v>0</v>
      </c>
      <c r="E10" s="5" t="s">
        <v>22</v>
      </c>
      <c r="F10" s="10" t="s">
        <v>29</v>
      </c>
      <c r="G10" s="11">
        <v>-5200</v>
      </c>
      <c r="H10" s="11"/>
      <c r="I10" s="12">
        <f t="shared" si="12"/>
        <v>-3000</v>
      </c>
      <c r="J10" s="36">
        <f t="shared" si="0"/>
        <v>47000</v>
      </c>
      <c r="K10" s="10"/>
      <c r="L10" s="11"/>
      <c r="M10" s="11"/>
      <c r="N10" s="12" t="str">
        <f t="shared" si="6"/>
        <v/>
      </c>
      <c r="O10" s="36">
        <f t="shared" si="1"/>
        <v>12700</v>
      </c>
      <c r="P10" s="10" t="s">
        <v>28</v>
      </c>
      <c r="Q10" s="11">
        <v>5200</v>
      </c>
      <c r="R10" s="11"/>
      <c r="S10" s="12">
        <f t="shared" si="7"/>
        <v>3000</v>
      </c>
      <c r="T10" s="36">
        <f t="shared" si="2"/>
        <v>45300</v>
      </c>
      <c r="U10" s="26">
        <f t="shared" si="3"/>
        <v>12</v>
      </c>
      <c r="V10" s="27">
        <f t="shared" si="4"/>
        <v>-22</v>
      </c>
      <c r="W10" s="28">
        <f t="shared" si="5"/>
        <v>10</v>
      </c>
    </row>
    <row r="11" spans="1:23" x14ac:dyDescent="0.4">
      <c r="A11" s="17" t="str">
        <f t="shared" si="8"/>
        <v>東</v>
      </c>
      <c r="B11" s="33">
        <f t="shared" si="9"/>
        <v>3</v>
      </c>
      <c r="C11" s="33">
        <f t="shared" si="10"/>
        <v>0</v>
      </c>
      <c r="D11" s="33">
        <f t="shared" si="11"/>
        <v>0</v>
      </c>
      <c r="E11" s="5" t="s">
        <v>24</v>
      </c>
      <c r="F11" s="10" t="s">
        <v>29</v>
      </c>
      <c r="G11" s="11">
        <v>-2000</v>
      </c>
      <c r="H11" s="11"/>
      <c r="I11" s="12">
        <f t="shared" si="12"/>
        <v>0</v>
      </c>
      <c r="J11" s="36">
        <f t="shared" si="0"/>
        <v>45000</v>
      </c>
      <c r="K11" s="10" t="s">
        <v>28</v>
      </c>
      <c r="L11" s="11">
        <v>2000</v>
      </c>
      <c r="M11" s="11"/>
      <c r="N11" s="12">
        <f t="shared" si="6"/>
        <v>0</v>
      </c>
      <c r="O11" s="36">
        <f t="shared" si="1"/>
        <v>14700</v>
      </c>
      <c r="P11" s="10"/>
      <c r="Q11" s="11"/>
      <c r="R11" s="11"/>
      <c r="S11" s="12" t="str">
        <f t="shared" si="7"/>
        <v/>
      </c>
      <c r="T11" s="36">
        <f t="shared" si="2"/>
        <v>45300</v>
      </c>
      <c r="U11" s="26">
        <f t="shared" si="3"/>
        <v>10</v>
      </c>
      <c r="V11" s="27">
        <f t="shared" si="4"/>
        <v>-20</v>
      </c>
      <c r="W11" s="28">
        <f t="shared" si="5"/>
        <v>10</v>
      </c>
    </row>
    <row r="12" spans="1:23" x14ac:dyDescent="0.4">
      <c r="A12" s="17" t="str">
        <f t="shared" si="8"/>
        <v>南</v>
      </c>
      <c r="B12" s="33">
        <f t="shared" si="9"/>
        <v>1</v>
      </c>
      <c r="C12" s="33">
        <f t="shared" si="10"/>
        <v>0</v>
      </c>
      <c r="D12" s="33">
        <f t="shared" si="11"/>
        <v>0</v>
      </c>
      <c r="E12" s="5" t="s">
        <v>26</v>
      </c>
      <c r="F12" s="10" t="s">
        <v>29</v>
      </c>
      <c r="G12" s="11">
        <v>-12000</v>
      </c>
      <c r="H12" s="11"/>
      <c r="I12" s="12">
        <f t="shared" si="12"/>
        <v>0</v>
      </c>
      <c r="J12" s="36">
        <f t="shared" si="0"/>
        <v>33000</v>
      </c>
      <c r="K12" s="10" t="s">
        <v>28</v>
      </c>
      <c r="L12" s="11">
        <v>12000</v>
      </c>
      <c r="M12" s="11"/>
      <c r="N12" s="12">
        <f t="shared" si="6"/>
        <v>0</v>
      </c>
      <c r="O12" s="36">
        <f t="shared" si="1"/>
        <v>26700</v>
      </c>
      <c r="P12" s="10"/>
      <c r="Q12" s="11"/>
      <c r="R12" s="11"/>
      <c r="S12" s="12" t="str">
        <f t="shared" si="7"/>
        <v/>
      </c>
      <c r="T12" s="36">
        <f t="shared" si="2"/>
        <v>45300</v>
      </c>
      <c r="U12" s="26">
        <f t="shared" si="3"/>
        <v>-2</v>
      </c>
      <c r="V12" s="27">
        <f t="shared" si="4"/>
        <v>-8</v>
      </c>
      <c r="W12" s="28">
        <f t="shared" si="5"/>
        <v>10</v>
      </c>
    </row>
    <row r="13" spans="1:23" x14ac:dyDescent="0.4">
      <c r="A13" s="17" t="str">
        <f t="shared" si="8"/>
        <v>南</v>
      </c>
      <c r="B13" s="33">
        <f t="shared" si="9"/>
        <v>2</v>
      </c>
      <c r="C13" s="33">
        <f t="shared" si="10"/>
        <v>0</v>
      </c>
      <c r="D13" s="33">
        <f t="shared" si="11"/>
        <v>0</v>
      </c>
      <c r="E13" s="5" t="s">
        <v>22</v>
      </c>
      <c r="F13" s="10" t="s">
        <v>29</v>
      </c>
      <c r="G13" s="11">
        <v>-64000</v>
      </c>
      <c r="H13" s="11"/>
      <c r="I13" s="12">
        <f t="shared" si="12"/>
        <v>0</v>
      </c>
      <c r="J13" s="36">
        <f t="shared" si="0"/>
        <v>-31000</v>
      </c>
      <c r="K13" s="10"/>
      <c r="L13" s="11"/>
      <c r="M13" s="11"/>
      <c r="N13" s="12" t="str">
        <f t="shared" si="6"/>
        <v/>
      </c>
      <c r="O13" s="36">
        <f t="shared" si="1"/>
        <v>26700</v>
      </c>
      <c r="P13" s="10" t="s">
        <v>28</v>
      </c>
      <c r="Q13" s="11">
        <v>64000</v>
      </c>
      <c r="R13" s="11"/>
      <c r="S13" s="12">
        <f t="shared" si="7"/>
        <v>0</v>
      </c>
      <c r="T13" s="36">
        <f t="shared" si="2"/>
        <v>109300</v>
      </c>
      <c r="U13" s="26">
        <f t="shared" si="3"/>
        <v>-66</v>
      </c>
      <c r="V13" s="27">
        <f t="shared" si="4"/>
        <v>-8</v>
      </c>
      <c r="W13" s="28">
        <f t="shared" si="5"/>
        <v>74</v>
      </c>
    </row>
    <row r="14" spans="1:23" x14ac:dyDescent="0.4">
      <c r="A14" s="17" t="str">
        <f t="shared" si="8"/>
        <v/>
      </c>
      <c r="B14" s="33" t="str">
        <f t="shared" si="9"/>
        <v/>
      </c>
      <c r="C14" s="33" t="str">
        <f t="shared" si="10"/>
        <v/>
      </c>
      <c r="D14" s="33" t="str">
        <f t="shared" si="11"/>
        <v/>
      </c>
      <c r="E14" s="5"/>
      <c r="F14" s="10"/>
      <c r="G14" s="11"/>
      <c r="H14" s="11"/>
      <c r="I14" s="12" t="str">
        <f t="shared" si="12"/>
        <v/>
      </c>
      <c r="J14" s="36" t="str">
        <f t="shared" si="0"/>
        <v/>
      </c>
      <c r="K14" s="10"/>
      <c r="L14" s="11"/>
      <c r="M14" s="11"/>
      <c r="N14" s="12" t="str">
        <f t="shared" si="6"/>
        <v/>
      </c>
      <c r="O14" s="36" t="str">
        <f t="shared" si="1"/>
        <v/>
      </c>
      <c r="P14" s="10"/>
      <c r="Q14" s="11"/>
      <c r="R14" s="11"/>
      <c r="S14" s="12" t="str">
        <f t="shared" si="7"/>
        <v/>
      </c>
      <c r="T14" s="36" t="str">
        <f t="shared" si="2"/>
        <v/>
      </c>
      <c r="U14" s="26" t="str">
        <f t="shared" si="3"/>
        <v/>
      </c>
      <c r="V14" s="27" t="str">
        <f t="shared" si="4"/>
        <v/>
      </c>
      <c r="W14" s="28" t="str">
        <f t="shared" si="5"/>
        <v/>
      </c>
    </row>
    <row r="15" spans="1:23" x14ac:dyDescent="0.4">
      <c r="A15" s="17" t="str">
        <f t="shared" si="8"/>
        <v/>
      </c>
      <c r="B15" s="33" t="str">
        <f t="shared" si="9"/>
        <v/>
      </c>
      <c r="C15" s="33" t="str">
        <f t="shared" si="10"/>
        <v/>
      </c>
      <c r="D15" s="33" t="str">
        <f t="shared" si="11"/>
        <v/>
      </c>
      <c r="E15" s="5"/>
      <c r="F15" s="10"/>
      <c r="G15" s="11"/>
      <c r="H15" s="11"/>
      <c r="I15" s="12" t="str">
        <f t="shared" si="12"/>
        <v/>
      </c>
      <c r="J15" s="36" t="str">
        <f t="shared" si="0"/>
        <v/>
      </c>
      <c r="K15" s="10"/>
      <c r="L15" s="11"/>
      <c r="M15" s="11"/>
      <c r="N15" s="12" t="str">
        <f t="shared" si="6"/>
        <v/>
      </c>
      <c r="O15" s="36" t="str">
        <f t="shared" si="1"/>
        <v/>
      </c>
      <c r="P15" s="10"/>
      <c r="Q15" s="11"/>
      <c r="R15" s="11"/>
      <c r="S15" s="12" t="str">
        <f t="shared" si="7"/>
        <v/>
      </c>
      <c r="T15" s="36" t="str">
        <f t="shared" si="2"/>
        <v/>
      </c>
      <c r="U15" s="26" t="str">
        <f t="shared" si="3"/>
        <v/>
      </c>
      <c r="V15" s="27" t="str">
        <f t="shared" si="4"/>
        <v/>
      </c>
      <c r="W15" s="28" t="str">
        <f t="shared" si="5"/>
        <v/>
      </c>
    </row>
    <row r="16" spans="1:23" x14ac:dyDescent="0.4">
      <c r="A16" s="17" t="str">
        <f t="shared" si="8"/>
        <v/>
      </c>
      <c r="B16" s="33" t="str">
        <f t="shared" si="9"/>
        <v/>
      </c>
      <c r="C16" s="33" t="str">
        <f t="shared" si="10"/>
        <v/>
      </c>
      <c r="D16" s="33" t="str">
        <f t="shared" si="11"/>
        <v/>
      </c>
      <c r="E16" s="5"/>
      <c r="F16" s="10"/>
      <c r="G16" s="11"/>
      <c r="H16" s="11"/>
      <c r="I16" s="12" t="str">
        <f t="shared" si="12"/>
        <v/>
      </c>
      <c r="J16" s="36" t="str">
        <f t="shared" si="0"/>
        <v/>
      </c>
      <c r="K16" s="10"/>
      <c r="L16" s="11"/>
      <c r="M16" s="11"/>
      <c r="N16" s="12" t="str">
        <f t="shared" si="6"/>
        <v/>
      </c>
      <c r="O16" s="36" t="str">
        <f t="shared" si="1"/>
        <v/>
      </c>
      <c r="P16" s="10"/>
      <c r="Q16" s="11"/>
      <c r="R16" s="11"/>
      <c r="S16" s="12" t="str">
        <f t="shared" si="7"/>
        <v/>
      </c>
      <c r="T16" s="36" t="str">
        <f t="shared" si="2"/>
        <v/>
      </c>
      <c r="U16" s="26" t="str">
        <f t="shared" si="3"/>
        <v/>
      </c>
      <c r="V16" s="27" t="str">
        <f t="shared" si="4"/>
        <v/>
      </c>
      <c r="W16" s="28" t="str">
        <f t="shared" si="5"/>
        <v/>
      </c>
    </row>
    <row r="17" spans="1:23" x14ac:dyDescent="0.4">
      <c r="A17" s="17" t="str">
        <f t="shared" si="8"/>
        <v/>
      </c>
      <c r="B17" s="33" t="str">
        <f t="shared" si="9"/>
        <v/>
      </c>
      <c r="C17" s="33" t="str">
        <f t="shared" si="10"/>
        <v/>
      </c>
      <c r="D17" s="33" t="str">
        <f t="shared" si="11"/>
        <v/>
      </c>
      <c r="E17" s="5"/>
      <c r="F17" s="10"/>
      <c r="G17" s="11"/>
      <c r="H17" s="11"/>
      <c r="I17" s="12" t="str">
        <f t="shared" si="12"/>
        <v/>
      </c>
      <c r="J17" s="36" t="str">
        <f t="shared" si="0"/>
        <v/>
      </c>
      <c r="K17" s="10"/>
      <c r="L17" s="11"/>
      <c r="M17" s="11"/>
      <c r="N17" s="12" t="str">
        <f t="shared" si="6"/>
        <v/>
      </c>
      <c r="O17" s="36" t="str">
        <f t="shared" si="1"/>
        <v/>
      </c>
      <c r="P17" s="10"/>
      <c r="Q17" s="11"/>
      <c r="R17" s="11"/>
      <c r="S17" s="12" t="str">
        <f t="shared" si="7"/>
        <v/>
      </c>
      <c r="T17" s="36" t="str">
        <f t="shared" si="2"/>
        <v/>
      </c>
      <c r="U17" s="26" t="str">
        <f t="shared" si="3"/>
        <v/>
      </c>
      <c r="V17" s="27" t="str">
        <f t="shared" si="4"/>
        <v/>
      </c>
      <c r="W17" s="28" t="str">
        <f t="shared" si="5"/>
        <v/>
      </c>
    </row>
    <row r="18" spans="1:23" x14ac:dyDescent="0.4">
      <c r="A18" s="17" t="str">
        <f t="shared" si="8"/>
        <v/>
      </c>
      <c r="B18" s="33" t="str">
        <f t="shared" si="9"/>
        <v/>
      </c>
      <c r="C18" s="33" t="str">
        <f t="shared" si="10"/>
        <v/>
      </c>
      <c r="D18" s="33" t="str">
        <f t="shared" si="11"/>
        <v/>
      </c>
      <c r="E18" s="5"/>
      <c r="F18" s="10"/>
      <c r="G18" s="11"/>
      <c r="H18" s="11"/>
      <c r="I18" s="12" t="str">
        <f t="shared" si="12"/>
        <v/>
      </c>
      <c r="J18" s="36" t="str">
        <f t="shared" si="0"/>
        <v/>
      </c>
      <c r="K18" s="10"/>
      <c r="L18" s="11"/>
      <c r="M18" s="11"/>
      <c r="N18" s="12" t="str">
        <f t="shared" si="6"/>
        <v/>
      </c>
      <c r="O18" s="36" t="str">
        <f t="shared" si="1"/>
        <v/>
      </c>
      <c r="P18" s="10"/>
      <c r="Q18" s="11"/>
      <c r="R18" s="11"/>
      <c r="S18" s="12" t="str">
        <f t="shared" si="7"/>
        <v/>
      </c>
      <c r="T18" s="36" t="str">
        <f t="shared" si="2"/>
        <v/>
      </c>
      <c r="U18" s="26" t="str">
        <f t="shared" si="3"/>
        <v/>
      </c>
      <c r="V18" s="27" t="str">
        <f t="shared" si="4"/>
        <v/>
      </c>
      <c r="W18" s="28" t="str">
        <f t="shared" si="5"/>
        <v/>
      </c>
    </row>
    <row r="19" spans="1:23" x14ac:dyDescent="0.4">
      <c r="A19" s="17" t="str">
        <f t="shared" si="8"/>
        <v/>
      </c>
      <c r="B19" s="33" t="str">
        <f t="shared" si="9"/>
        <v/>
      </c>
      <c r="C19" s="33" t="str">
        <f t="shared" si="10"/>
        <v/>
      </c>
      <c r="D19" s="33" t="str">
        <f t="shared" si="11"/>
        <v/>
      </c>
      <c r="E19" s="5"/>
      <c r="F19" s="10"/>
      <c r="G19" s="11"/>
      <c r="H19" s="11"/>
      <c r="I19" s="12" t="str">
        <f t="shared" si="12"/>
        <v/>
      </c>
      <c r="J19" s="36" t="str">
        <f t="shared" si="0"/>
        <v/>
      </c>
      <c r="K19" s="10"/>
      <c r="L19" s="11"/>
      <c r="M19" s="11"/>
      <c r="N19" s="12" t="str">
        <f t="shared" si="6"/>
        <v/>
      </c>
      <c r="O19" s="36" t="str">
        <f t="shared" si="1"/>
        <v/>
      </c>
      <c r="P19" s="10"/>
      <c r="Q19" s="11"/>
      <c r="R19" s="11"/>
      <c r="S19" s="12" t="str">
        <f t="shared" si="7"/>
        <v/>
      </c>
      <c r="T19" s="36" t="str">
        <f t="shared" si="2"/>
        <v/>
      </c>
      <c r="U19" s="26" t="str">
        <f t="shared" si="3"/>
        <v/>
      </c>
      <c r="V19" s="27" t="str">
        <f t="shared" si="4"/>
        <v/>
      </c>
      <c r="W19" s="28" t="str">
        <f t="shared" si="5"/>
        <v/>
      </c>
    </row>
    <row r="20" spans="1:23" x14ac:dyDescent="0.4">
      <c r="A20" s="17" t="str">
        <f t="shared" si="8"/>
        <v/>
      </c>
      <c r="B20" s="33" t="str">
        <f t="shared" si="9"/>
        <v/>
      </c>
      <c r="C20" s="33" t="str">
        <f t="shared" si="10"/>
        <v/>
      </c>
      <c r="D20" s="33" t="str">
        <f t="shared" si="11"/>
        <v/>
      </c>
      <c r="E20" s="5"/>
      <c r="F20" s="10"/>
      <c r="G20" s="11"/>
      <c r="H20" s="11"/>
      <c r="I20" s="12" t="str">
        <f t="shared" si="12"/>
        <v/>
      </c>
      <c r="J20" s="36" t="str">
        <f t="shared" si="0"/>
        <v/>
      </c>
      <c r="K20" s="10"/>
      <c r="L20" s="11"/>
      <c r="M20" s="11"/>
      <c r="N20" s="12" t="str">
        <f t="shared" si="6"/>
        <v/>
      </c>
      <c r="O20" s="36" t="str">
        <f t="shared" si="1"/>
        <v/>
      </c>
      <c r="P20" s="10"/>
      <c r="Q20" s="11"/>
      <c r="R20" s="11"/>
      <c r="S20" s="12" t="str">
        <f t="shared" si="7"/>
        <v/>
      </c>
      <c r="T20" s="36" t="str">
        <f t="shared" si="2"/>
        <v/>
      </c>
      <c r="U20" s="26" t="str">
        <f t="shared" si="3"/>
        <v/>
      </c>
      <c r="V20" s="27" t="str">
        <f t="shared" si="4"/>
        <v/>
      </c>
      <c r="W20" s="28" t="str">
        <f t="shared" si="5"/>
        <v/>
      </c>
    </row>
    <row r="21" spans="1:23" x14ac:dyDescent="0.4">
      <c r="A21" s="17" t="str">
        <f t="shared" si="8"/>
        <v/>
      </c>
      <c r="B21" s="33" t="str">
        <f t="shared" si="9"/>
        <v/>
      </c>
      <c r="C21" s="33" t="str">
        <f t="shared" si="10"/>
        <v/>
      </c>
      <c r="D21" s="33" t="str">
        <f t="shared" si="11"/>
        <v/>
      </c>
      <c r="E21" s="5"/>
      <c r="F21" s="10"/>
      <c r="G21" s="11"/>
      <c r="H21" s="11"/>
      <c r="I21" s="12" t="str">
        <f t="shared" si="12"/>
        <v/>
      </c>
      <c r="J21" s="36" t="str">
        <f t="shared" si="0"/>
        <v/>
      </c>
      <c r="K21" s="10"/>
      <c r="L21" s="11"/>
      <c r="M21" s="11"/>
      <c r="N21" s="12" t="str">
        <f t="shared" si="6"/>
        <v/>
      </c>
      <c r="O21" s="36" t="str">
        <f t="shared" si="1"/>
        <v/>
      </c>
      <c r="P21" s="10"/>
      <c r="Q21" s="11"/>
      <c r="R21" s="11"/>
      <c r="S21" s="12" t="str">
        <f t="shared" si="7"/>
        <v/>
      </c>
      <c r="T21" s="36" t="str">
        <f t="shared" si="2"/>
        <v/>
      </c>
      <c r="U21" s="26" t="str">
        <f t="shared" si="3"/>
        <v/>
      </c>
      <c r="V21" s="27" t="str">
        <f t="shared" si="4"/>
        <v/>
      </c>
      <c r="W21" s="28" t="str">
        <f t="shared" si="5"/>
        <v/>
      </c>
    </row>
    <row r="22" spans="1:23" x14ac:dyDescent="0.4">
      <c r="A22" s="17" t="str">
        <f t="shared" si="8"/>
        <v/>
      </c>
      <c r="B22" s="33" t="str">
        <f t="shared" si="9"/>
        <v/>
      </c>
      <c r="C22" s="33" t="str">
        <f t="shared" si="10"/>
        <v/>
      </c>
      <c r="D22" s="33" t="str">
        <f t="shared" si="11"/>
        <v/>
      </c>
      <c r="E22" s="5"/>
      <c r="F22" s="10"/>
      <c r="G22" s="11"/>
      <c r="H22" s="11"/>
      <c r="I22" s="12" t="str">
        <f t="shared" si="12"/>
        <v/>
      </c>
      <c r="J22" s="36" t="str">
        <f t="shared" si="0"/>
        <v/>
      </c>
      <c r="K22" s="10"/>
      <c r="L22" s="11"/>
      <c r="M22" s="11"/>
      <c r="N22" s="12" t="str">
        <f t="shared" si="6"/>
        <v/>
      </c>
      <c r="O22" s="36" t="str">
        <f t="shared" si="1"/>
        <v/>
      </c>
      <c r="P22" s="10"/>
      <c r="Q22" s="11"/>
      <c r="R22" s="11"/>
      <c r="S22" s="12" t="str">
        <f t="shared" si="7"/>
        <v/>
      </c>
      <c r="T22" s="36" t="str">
        <f t="shared" si="2"/>
        <v/>
      </c>
      <c r="U22" s="26" t="str">
        <f t="shared" si="3"/>
        <v/>
      </c>
      <c r="V22" s="27" t="str">
        <f t="shared" si="4"/>
        <v/>
      </c>
      <c r="W22" s="28" t="str">
        <f t="shared" si="5"/>
        <v/>
      </c>
    </row>
    <row r="23" spans="1:23" x14ac:dyDescent="0.4">
      <c r="A23" s="17" t="str">
        <f t="shared" si="8"/>
        <v/>
      </c>
      <c r="B23" s="33" t="str">
        <f t="shared" si="9"/>
        <v/>
      </c>
      <c r="C23" s="33" t="str">
        <f t="shared" si="10"/>
        <v/>
      </c>
      <c r="D23" s="33" t="str">
        <f t="shared" si="11"/>
        <v/>
      </c>
      <c r="E23" s="5"/>
      <c r="F23" s="10"/>
      <c r="G23" s="11"/>
      <c r="H23" s="11"/>
      <c r="I23" s="12" t="str">
        <f t="shared" si="12"/>
        <v/>
      </c>
      <c r="J23" s="36" t="str">
        <f t="shared" si="0"/>
        <v/>
      </c>
      <c r="K23" s="10"/>
      <c r="L23" s="11"/>
      <c r="M23" s="11"/>
      <c r="N23" s="12" t="str">
        <f t="shared" si="6"/>
        <v/>
      </c>
      <c r="O23" s="36" t="str">
        <f t="shared" si="1"/>
        <v/>
      </c>
      <c r="P23" s="10"/>
      <c r="Q23" s="11"/>
      <c r="R23" s="11"/>
      <c r="S23" s="12" t="str">
        <f t="shared" si="7"/>
        <v/>
      </c>
      <c r="T23" s="36" t="str">
        <f t="shared" si="2"/>
        <v/>
      </c>
      <c r="U23" s="26" t="str">
        <f t="shared" si="3"/>
        <v/>
      </c>
      <c r="V23" s="27" t="str">
        <f t="shared" si="4"/>
        <v/>
      </c>
      <c r="W23" s="28" t="str">
        <f t="shared" si="5"/>
        <v/>
      </c>
    </row>
    <row r="24" spans="1:23" x14ac:dyDescent="0.4">
      <c r="A24" s="17" t="str">
        <f t="shared" si="8"/>
        <v/>
      </c>
      <c r="B24" s="33" t="str">
        <f t="shared" si="9"/>
        <v/>
      </c>
      <c r="C24" s="33" t="str">
        <f t="shared" si="10"/>
        <v/>
      </c>
      <c r="D24" s="33" t="str">
        <f t="shared" si="11"/>
        <v/>
      </c>
      <c r="E24" s="5"/>
      <c r="F24" s="10"/>
      <c r="G24" s="11"/>
      <c r="H24" s="11"/>
      <c r="I24" s="12" t="str">
        <f t="shared" si="12"/>
        <v/>
      </c>
      <c r="J24" s="36" t="str">
        <f t="shared" si="0"/>
        <v/>
      </c>
      <c r="K24" s="10"/>
      <c r="L24" s="11"/>
      <c r="M24" s="11"/>
      <c r="N24" s="12" t="str">
        <f t="shared" si="6"/>
        <v/>
      </c>
      <c r="O24" s="36" t="str">
        <f t="shared" si="1"/>
        <v/>
      </c>
      <c r="P24" s="10"/>
      <c r="Q24" s="11"/>
      <c r="R24" s="11"/>
      <c r="S24" s="12" t="str">
        <f t="shared" si="7"/>
        <v/>
      </c>
      <c r="T24" s="36" t="str">
        <f t="shared" si="2"/>
        <v/>
      </c>
      <c r="U24" s="26" t="str">
        <f t="shared" si="3"/>
        <v/>
      </c>
      <c r="V24" s="27" t="str">
        <f t="shared" si="4"/>
        <v/>
      </c>
      <c r="W24" s="28" t="str">
        <f t="shared" si="5"/>
        <v/>
      </c>
    </row>
    <row r="25" spans="1:23" x14ac:dyDescent="0.4">
      <c r="A25" s="17" t="str">
        <f t="shared" si="8"/>
        <v/>
      </c>
      <c r="B25" s="33" t="str">
        <f t="shared" si="9"/>
        <v/>
      </c>
      <c r="C25" s="33" t="str">
        <f t="shared" si="10"/>
        <v/>
      </c>
      <c r="D25" s="33" t="str">
        <f t="shared" si="11"/>
        <v/>
      </c>
      <c r="E25" s="5"/>
      <c r="F25" s="10"/>
      <c r="G25" s="11"/>
      <c r="H25" s="11"/>
      <c r="I25" s="12" t="str">
        <f t="shared" si="12"/>
        <v/>
      </c>
      <c r="J25" s="36" t="str">
        <f t="shared" si="0"/>
        <v/>
      </c>
      <c r="K25" s="10"/>
      <c r="L25" s="11"/>
      <c r="M25" s="11"/>
      <c r="N25" s="12" t="str">
        <f t="shared" si="6"/>
        <v/>
      </c>
      <c r="O25" s="36" t="str">
        <f t="shared" si="1"/>
        <v/>
      </c>
      <c r="P25" s="10"/>
      <c r="Q25" s="11"/>
      <c r="R25" s="11"/>
      <c r="S25" s="12" t="str">
        <f t="shared" si="7"/>
        <v/>
      </c>
      <c r="T25" s="36" t="str">
        <f t="shared" si="2"/>
        <v/>
      </c>
      <c r="U25" s="26" t="str">
        <f t="shared" si="3"/>
        <v/>
      </c>
      <c r="V25" s="27" t="str">
        <f t="shared" si="4"/>
        <v/>
      </c>
      <c r="W25" s="28" t="str">
        <f t="shared" si="5"/>
        <v/>
      </c>
    </row>
    <row r="26" spans="1:23" x14ac:dyDescent="0.4">
      <c r="A26" s="17" t="str">
        <f t="shared" si="8"/>
        <v/>
      </c>
      <c r="B26" s="33" t="str">
        <f t="shared" si="9"/>
        <v/>
      </c>
      <c r="C26" s="33" t="str">
        <f t="shared" si="10"/>
        <v/>
      </c>
      <c r="D26" s="33" t="str">
        <f t="shared" si="11"/>
        <v/>
      </c>
      <c r="E26" s="5"/>
      <c r="F26" s="10"/>
      <c r="G26" s="11"/>
      <c r="H26" s="11"/>
      <c r="I26" s="12" t="str">
        <f t="shared" si="12"/>
        <v/>
      </c>
      <c r="J26" s="36" t="str">
        <f t="shared" si="0"/>
        <v/>
      </c>
      <c r="K26" s="10"/>
      <c r="L26" s="11"/>
      <c r="M26" s="11"/>
      <c r="N26" s="12" t="str">
        <f t="shared" si="6"/>
        <v/>
      </c>
      <c r="O26" s="36" t="str">
        <f t="shared" si="1"/>
        <v/>
      </c>
      <c r="P26" s="10"/>
      <c r="Q26" s="11"/>
      <c r="R26" s="11"/>
      <c r="S26" s="12" t="str">
        <f t="shared" si="7"/>
        <v/>
      </c>
      <c r="T26" s="36" t="str">
        <f t="shared" si="2"/>
        <v/>
      </c>
      <c r="U26" s="26" t="str">
        <f t="shared" si="3"/>
        <v/>
      </c>
      <c r="V26" s="27" t="str">
        <f t="shared" si="4"/>
        <v/>
      </c>
      <c r="W26" s="28" t="str">
        <f t="shared" si="5"/>
        <v/>
      </c>
    </row>
    <row r="27" spans="1:23" x14ac:dyDescent="0.4">
      <c r="A27" s="17" t="str">
        <f t="shared" si="8"/>
        <v/>
      </c>
      <c r="B27" s="33" t="str">
        <f t="shared" si="9"/>
        <v/>
      </c>
      <c r="C27" s="33" t="str">
        <f t="shared" si="10"/>
        <v/>
      </c>
      <c r="D27" s="33" t="str">
        <f t="shared" si="11"/>
        <v/>
      </c>
      <c r="E27" s="5"/>
      <c r="F27" s="10"/>
      <c r="G27" s="11"/>
      <c r="H27" s="11"/>
      <c r="I27" s="12" t="str">
        <f t="shared" si="12"/>
        <v/>
      </c>
      <c r="J27" s="36" t="str">
        <f t="shared" si="0"/>
        <v/>
      </c>
      <c r="K27" s="10"/>
      <c r="L27" s="11"/>
      <c r="M27" s="11"/>
      <c r="N27" s="12" t="str">
        <f t="shared" si="6"/>
        <v/>
      </c>
      <c r="O27" s="36" t="str">
        <f t="shared" si="1"/>
        <v/>
      </c>
      <c r="P27" s="10"/>
      <c r="Q27" s="11"/>
      <c r="R27" s="11"/>
      <c r="S27" s="12" t="str">
        <f t="shared" si="7"/>
        <v/>
      </c>
      <c r="T27" s="36" t="str">
        <f t="shared" si="2"/>
        <v/>
      </c>
      <c r="U27" s="26" t="str">
        <f t="shared" si="3"/>
        <v/>
      </c>
      <c r="V27" s="27" t="str">
        <f t="shared" si="4"/>
        <v/>
      </c>
      <c r="W27" s="28" t="str">
        <f t="shared" si="5"/>
        <v/>
      </c>
    </row>
    <row r="28" spans="1:23" x14ac:dyDescent="0.4">
      <c r="A28" s="17" t="str">
        <f t="shared" si="8"/>
        <v/>
      </c>
      <c r="B28" s="33" t="str">
        <f t="shared" si="9"/>
        <v/>
      </c>
      <c r="C28" s="33" t="str">
        <f t="shared" si="10"/>
        <v/>
      </c>
      <c r="D28" s="33" t="str">
        <f t="shared" si="11"/>
        <v/>
      </c>
      <c r="E28" s="5"/>
      <c r="F28" s="10"/>
      <c r="G28" s="11"/>
      <c r="H28" s="11"/>
      <c r="I28" s="12" t="str">
        <f t="shared" si="12"/>
        <v/>
      </c>
      <c r="J28" s="36" t="str">
        <f t="shared" si="0"/>
        <v/>
      </c>
      <c r="K28" s="10"/>
      <c r="L28" s="11"/>
      <c r="M28" s="11"/>
      <c r="N28" s="12" t="str">
        <f t="shared" si="6"/>
        <v/>
      </c>
      <c r="O28" s="36" t="str">
        <f t="shared" si="1"/>
        <v/>
      </c>
      <c r="P28" s="10"/>
      <c r="Q28" s="11"/>
      <c r="R28" s="11"/>
      <c r="S28" s="12" t="str">
        <f t="shared" si="7"/>
        <v/>
      </c>
      <c r="T28" s="36" t="str">
        <f t="shared" si="2"/>
        <v/>
      </c>
      <c r="U28" s="26" t="str">
        <f t="shared" si="3"/>
        <v/>
      </c>
      <c r="V28" s="27" t="str">
        <f t="shared" si="4"/>
        <v/>
      </c>
      <c r="W28" s="28" t="str">
        <f t="shared" si="5"/>
        <v/>
      </c>
    </row>
    <row r="29" spans="1:23" x14ac:dyDescent="0.4">
      <c r="A29" s="17" t="str">
        <f t="shared" si="8"/>
        <v/>
      </c>
      <c r="B29" s="33" t="str">
        <f t="shared" si="9"/>
        <v/>
      </c>
      <c r="C29" s="33" t="str">
        <f t="shared" si="10"/>
        <v/>
      </c>
      <c r="D29" s="33" t="str">
        <f t="shared" si="11"/>
        <v/>
      </c>
      <c r="E29" s="5"/>
      <c r="F29" s="10"/>
      <c r="G29" s="11"/>
      <c r="H29" s="11"/>
      <c r="I29" s="12" t="str">
        <f t="shared" si="12"/>
        <v/>
      </c>
      <c r="J29" s="36" t="str">
        <f t="shared" si="0"/>
        <v/>
      </c>
      <c r="K29" s="10"/>
      <c r="L29" s="11"/>
      <c r="M29" s="11"/>
      <c r="N29" s="12" t="str">
        <f t="shared" si="6"/>
        <v/>
      </c>
      <c r="O29" s="36" t="str">
        <f t="shared" si="1"/>
        <v/>
      </c>
      <c r="P29" s="10"/>
      <c r="Q29" s="11"/>
      <c r="R29" s="11"/>
      <c r="S29" s="12" t="str">
        <f t="shared" si="7"/>
        <v/>
      </c>
      <c r="T29" s="36" t="str">
        <f t="shared" si="2"/>
        <v/>
      </c>
      <c r="U29" s="26" t="str">
        <f t="shared" si="3"/>
        <v/>
      </c>
      <c r="V29" s="27" t="str">
        <f t="shared" si="4"/>
        <v/>
      </c>
      <c r="W29" s="28" t="str">
        <f t="shared" si="5"/>
        <v/>
      </c>
    </row>
    <row r="30" spans="1:23" x14ac:dyDescent="0.4">
      <c r="A30" s="18" t="str">
        <f t="shared" si="8"/>
        <v/>
      </c>
      <c r="B30" s="34" t="str">
        <f t="shared" si="9"/>
        <v/>
      </c>
      <c r="C30" s="34" t="str">
        <f t="shared" si="10"/>
        <v/>
      </c>
      <c r="D30" s="34" t="str">
        <f t="shared" si="11"/>
        <v/>
      </c>
      <c r="E30" s="6"/>
      <c r="F30" s="13"/>
      <c r="G30" s="14"/>
      <c r="H30" s="14"/>
      <c r="I30" s="15" t="str">
        <f t="shared" si="12"/>
        <v/>
      </c>
      <c r="J30" s="37" t="str">
        <f t="shared" si="0"/>
        <v/>
      </c>
      <c r="K30" s="13"/>
      <c r="L30" s="14"/>
      <c r="M30" s="14"/>
      <c r="N30" s="15" t="str">
        <f t="shared" si="6"/>
        <v/>
      </c>
      <c r="O30" s="37" t="str">
        <f t="shared" si="1"/>
        <v/>
      </c>
      <c r="P30" s="13"/>
      <c r="Q30" s="14"/>
      <c r="R30" s="14"/>
      <c r="S30" s="15" t="str">
        <f t="shared" si="7"/>
        <v/>
      </c>
      <c r="T30" s="37" t="str">
        <f t="shared" si="2"/>
        <v/>
      </c>
      <c r="U30" s="29" t="str">
        <f t="shared" si="3"/>
        <v/>
      </c>
      <c r="V30" s="30" t="str">
        <f t="shared" si="4"/>
        <v/>
      </c>
      <c r="W30" s="31" t="str">
        <f t="shared" si="5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EA1317B5-D6B1-440A-A96B-01B18EB5628F}">
      <formula1>$U$2:$W$2</formula1>
    </dataValidation>
    <dataValidation type="list" showInputMessage="1" showErrorMessage="1" sqref="K4:K30 P4:P30 F4:F30" xr:uid="{EF7F0856-DBA4-444A-9542-9670A5860DA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2018-12-10T15:35:17Z</dcterms:modified>
</cp:coreProperties>
</file>