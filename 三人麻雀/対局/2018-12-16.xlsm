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89EE71C7-3FD2-4B0C-8B3E-F49E0D6B82A4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20" r:id="rId1"/>
    <sheet name="Sheet2" sheetId="25" r:id="rId2"/>
    <sheet name="Sheet3" sheetId="26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0" i="26" l="1"/>
  <c r="W30" i="26" s="1"/>
  <c r="O30" i="26"/>
  <c r="V30" i="26" s="1"/>
  <c r="J30" i="26"/>
  <c r="U30" i="26" s="1"/>
  <c r="D30" i="26"/>
  <c r="C30" i="26"/>
  <c r="S30" i="26" s="1"/>
  <c r="B30" i="26"/>
  <c r="A30" i="26"/>
  <c r="T29" i="26"/>
  <c r="W29" i="26" s="1"/>
  <c r="O29" i="26"/>
  <c r="V29" i="26" s="1"/>
  <c r="J29" i="26"/>
  <c r="U29" i="26" s="1"/>
  <c r="D29" i="26"/>
  <c r="C29" i="26"/>
  <c r="N29" i="26" s="1"/>
  <c r="B29" i="26"/>
  <c r="A29" i="26"/>
  <c r="T28" i="26"/>
  <c r="W28" i="26" s="1"/>
  <c r="O28" i="26"/>
  <c r="V28" i="26" s="1"/>
  <c r="J28" i="26"/>
  <c r="U28" i="26" s="1"/>
  <c r="D28" i="26"/>
  <c r="C28" i="26"/>
  <c r="N28" i="26" s="1"/>
  <c r="B28" i="26"/>
  <c r="A28" i="26"/>
  <c r="T27" i="26"/>
  <c r="W27" i="26" s="1"/>
  <c r="O27" i="26"/>
  <c r="V27" i="26" s="1"/>
  <c r="J27" i="26"/>
  <c r="U27" i="26" s="1"/>
  <c r="D27" i="26"/>
  <c r="C27" i="26"/>
  <c r="N27" i="26" s="1"/>
  <c r="B27" i="26"/>
  <c r="A27" i="26"/>
  <c r="T26" i="26"/>
  <c r="W26" i="26" s="1"/>
  <c r="O26" i="26"/>
  <c r="V26" i="26" s="1"/>
  <c r="J26" i="26"/>
  <c r="U26" i="26" s="1"/>
  <c r="D26" i="26"/>
  <c r="C26" i="26"/>
  <c r="S26" i="26" s="1"/>
  <c r="B26" i="26"/>
  <c r="A26" i="26"/>
  <c r="T25" i="26"/>
  <c r="W25" i="26" s="1"/>
  <c r="O25" i="26"/>
  <c r="V25" i="26" s="1"/>
  <c r="J25" i="26"/>
  <c r="U25" i="26" s="1"/>
  <c r="D25" i="26"/>
  <c r="C25" i="26"/>
  <c r="S25" i="26" s="1"/>
  <c r="B25" i="26"/>
  <c r="A25" i="26"/>
  <c r="T24" i="26"/>
  <c r="W24" i="26" s="1"/>
  <c r="O24" i="26"/>
  <c r="V24" i="26" s="1"/>
  <c r="J24" i="26"/>
  <c r="U24" i="26" s="1"/>
  <c r="D24" i="26"/>
  <c r="C24" i="26"/>
  <c r="N24" i="26" s="1"/>
  <c r="B24" i="26"/>
  <c r="A24" i="26"/>
  <c r="T23" i="26"/>
  <c r="W23" i="26" s="1"/>
  <c r="O23" i="26"/>
  <c r="V23" i="26" s="1"/>
  <c r="J23" i="26"/>
  <c r="U23" i="26" s="1"/>
  <c r="D23" i="26"/>
  <c r="C23" i="26"/>
  <c r="N23" i="26" s="1"/>
  <c r="B23" i="26"/>
  <c r="A23" i="26"/>
  <c r="T22" i="26"/>
  <c r="W22" i="26" s="1"/>
  <c r="O22" i="26"/>
  <c r="V22" i="26" s="1"/>
  <c r="J22" i="26"/>
  <c r="U22" i="26" s="1"/>
  <c r="D22" i="26"/>
  <c r="C22" i="26"/>
  <c r="S22" i="26" s="1"/>
  <c r="B22" i="26"/>
  <c r="A22" i="26"/>
  <c r="T21" i="26"/>
  <c r="W21" i="26" s="1"/>
  <c r="O21" i="26"/>
  <c r="V21" i="26" s="1"/>
  <c r="J21" i="26"/>
  <c r="U21" i="26" s="1"/>
  <c r="D21" i="26"/>
  <c r="C21" i="26"/>
  <c r="S21" i="26" s="1"/>
  <c r="B21" i="26"/>
  <c r="A21" i="26"/>
  <c r="T20" i="26"/>
  <c r="W20" i="26" s="1"/>
  <c r="O20" i="26"/>
  <c r="V20" i="26" s="1"/>
  <c r="J20" i="26"/>
  <c r="U20" i="26" s="1"/>
  <c r="D20" i="26"/>
  <c r="C20" i="26"/>
  <c r="N20" i="26" s="1"/>
  <c r="B20" i="26"/>
  <c r="A20" i="26"/>
  <c r="T19" i="26"/>
  <c r="W19" i="26" s="1"/>
  <c r="O19" i="26"/>
  <c r="V19" i="26" s="1"/>
  <c r="J19" i="26"/>
  <c r="U19" i="26" s="1"/>
  <c r="D19" i="26"/>
  <c r="C19" i="26"/>
  <c r="N19" i="26" s="1"/>
  <c r="B19" i="26"/>
  <c r="A19" i="26"/>
  <c r="T18" i="26"/>
  <c r="W18" i="26" s="1"/>
  <c r="O18" i="26"/>
  <c r="V18" i="26" s="1"/>
  <c r="J18" i="26"/>
  <c r="U18" i="26" s="1"/>
  <c r="D18" i="26"/>
  <c r="C18" i="26"/>
  <c r="S18" i="26" s="1"/>
  <c r="B18" i="26"/>
  <c r="A18" i="26"/>
  <c r="D17" i="26"/>
  <c r="C17" i="26"/>
  <c r="N17" i="26" s="1"/>
  <c r="D16" i="26"/>
  <c r="C16" i="26"/>
  <c r="N16" i="26" s="1"/>
  <c r="D14" i="26"/>
  <c r="D15" i="26" s="1"/>
  <c r="D13" i="26"/>
  <c r="C13" i="26"/>
  <c r="N13" i="26" s="1"/>
  <c r="D12" i="26"/>
  <c r="C12" i="26"/>
  <c r="N12" i="26" s="1"/>
  <c r="D11" i="26"/>
  <c r="D10" i="26"/>
  <c r="C10" i="26"/>
  <c r="S10" i="26" s="1"/>
  <c r="D9" i="26"/>
  <c r="D8" i="26"/>
  <c r="D7" i="26"/>
  <c r="D6" i="26"/>
  <c r="B6" i="26"/>
  <c r="B7" i="26" s="1"/>
  <c r="N5" i="26"/>
  <c r="D5" i="26"/>
  <c r="C5" i="26"/>
  <c r="B5" i="26"/>
  <c r="S4" i="26"/>
  <c r="T4" i="26" s="1"/>
  <c r="N4" i="26"/>
  <c r="O4" i="26" s="1"/>
  <c r="V4" i="26" s="1"/>
  <c r="I4" i="26"/>
  <c r="J4" i="26" s="1"/>
  <c r="W3" i="26"/>
  <c r="V3" i="26"/>
  <c r="U3" i="26"/>
  <c r="W2" i="26"/>
  <c r="V2" i="26"/>
  <c r="U2" i="26"/>
  <c r="BO1" i="26"/>
  <c r="AT1" i="26"/>
  <c r="Y1" i="26"/>
  <c r="I12" i="26" l="1"/>
  <c r="S12" i="26"/>
  <c r="I16" i="26"/>
  <c r="S16" i="26"/>
  <c r="S24" i="26"/>
  <c r="I24" i="26"/>
  <c r="S20" i="26"/>
  <c r="I20" i="26"/>
  <c r="I28" i="26"/>
  <c r="S28" i="26"/>
  <c r="S23" i="26"/>
  <c r="S27" i="26"/>
  <c r="S19" i="26"/>
  <c r="I19" i="26"/>
  <c r="I23" i="26"/>
  <c r="I27" i="26"/>
  <c r="U4" i="26"/>
  <c r="O5" i="26"/>
  <c r="C6" i="26"/>
  <c r="S5" i="26"/>
  <c r="T5" i="26" s="1"/>
  <c r="I5" i="26"/>
  <c r="J5" i="26" s="1"/>
  <c r="B8" i="26"/>
  <c r="W4" i="26"/>
  <c r="N25" i="26"/>
  <c r="N18" i="26"/>
  <c r="N30" i="26"/>
  <c r="N21" i="26"/>
  <c r="C14" i="26"/>
  <c r="N22" i="26"/>
  <c r="A5" i="26"/>
  <c r="A6" i="26" s="1"/>
  <c r="A7" i="26" s="1"/>
  <c r="C11" i="26"/>
  <c r="I13" i="26"/>
  <c r="S13" i="26"/>
  <c r="I17" i="26"/>
  <c r="S17" i="26"/>
  <c r="I21" i="26"/>
  <c r="I25" i="26"/>
  <c r="I29" i="26"/>
  <c r="S29" i="26"/>
  <c r="N10" i="26"/>
  <c r="N26" i="26"/>
  <c r="I10" i="26"/>
  <c r="I18" i="26"/>
  <c r="I22" i="26"/>
  <c r="I26" i="26"/>
  <c r="I30" i="26"/>
  <c r="U5" i="26" l="1"/>
  <c r="N11" i="26"/>
  <c r="S11" i="26"/>
  <c r="I11" i="26"/>
  <c r="B9" i="26"/>
  <c r="V5" i="26"/>
  <c r="W5" i="26"/>
  <c r="S14" i="26"/>
  <c r="I14" i="26"/>
  <c r="N14" i="26"/>
  <c r="C15" i="26"/>
  <c r="A8" i="26"/>
  <c r="S6" i="26"/>
  <c r="T6" i="26" s="1"/>
  <c r="I6" i="26"/>
  <c r="J6" i="26" s="1"/>
  <c r="C7" i="26"/>
  <c r="N6" i="26"/>
  <c r="O6" i="26" s="1"/>
  <c r="A9" i="26" l="1"/>
  <c r="V6" i="26"/>
  <c r="U6" i="26"/>
  <c r="W6" i="26"/>
  <c r="S15" i="26"/>
  <c r="I15" i="26"/>
  <c r="N15" i="26"/>
  <c r="B10" i="26"/>
  <c r="C8" i="26"/>
  <c r="N7" i="26"/>
  <c r="O7" i="26" s="1"/>
  <c r="S7" i="26"/>
  <c r="T7" i="26" s="1"/>
  <c r="I7" i="26"/>
  <c r="J7" i="26" s="1"/>
  <c r="W7" i="26" l="1"/>
  <c r="U7" i="26"/>
  <c r="V7" i="26"/>
  <c r="N8" i="26"/>
  <c r="O8" i="26" s="1"/>
  <c r="I8" i="26"/>
  <c r="J8" i="26" s="1"/>
  <c r="S8" i="26"/>
  <c r="T8" i="26" s="1"/>
  <c r="C9" i="26"/>
  <c r="B11" i="26"/>
  <c r="A11" i="26" s="1"/>
  <c r="A10" i="26"/>
  <c r="W8" i="26" l="1"/>
  <c r="V8" i="26"/>
  <c r="U8" i="26"/>
  <c r="B12" i="26"/>
  <c r="A12" i="26" s="1"/>
  <c r="S9" i="26"/>
  <c r="T9" i="26" s="1"/>
  <c r="I9" i="26"/>
  <c r="J9" i="26" s="1"/>
  <c r="N9" i="26"/>
  <c r="O9" i="26" s="1"/>
  <c r="U9" i="26" l="1"/>
  <c r="J10" i="26"/>
  <c r="O10" i="26"/>
  <c r="V9" i="26"/>
  <c r="W9" i="26"/>
  <c r="T10" i="26"/>
  <c r="B13" i="26"/>
  <c r="A13" i="26" s="1"/>
  <c r="O11" i="26" l="1"/>
  <c r="V10" i="26"/>
  <c r="W10" i="26"/>
  <c r="T11" i="26"/>
  <c r="J11" i="26"/>
  <c r="U10" i="26"/>
  <c r="B14" i="26"/>
  <c r="A14" i="26" s="1"/>
  <c r="T12" i="26" l="1"/>
  <c r="W11" i="26"/>
  <c r="B15" i="26"/>
  <c r="A15" i="26" s="1"/>
  <c r="J12" i="26"/>
  <c r="U11" i="26"/>
  <c r="V11" i="26"/>
  <c r="O12" i="26"/>
  <c r="B16" i="26" l="1"/>
  <c r="O13" i="26"/>
  <c r="V12" i="26"/>
  <c r="J13" i="26"/>
  <c r="U12" i="26"/>
  <c r="T13" i="26"/>
  <c r="W12" i="26"/>
  <c r="W13" i="26" l="1"/>
  <c r="T14" i="26"/>
  <c r="V13" i="26"/>
  <c r="O14" i="26"/>
  <c r="B17" i="26"/>
  <c r="A17" i="26" s="1"/>
  <c r="J14" i="26"/>
  <c r="U13" i="26"/>
  <c r="A16" i="26"/>
  <c r="O15" i="26" l="1"/>
  <c r="V14" i="26"/>
  <c r="J15" i="26"/>
  <c r="U14" i="26"/>
  <c r="W14" i="26"/>
  <c r="T15" i="26"/>
  <c r="J16" i="26" l="1"/>
  <c r="U15" i="26"/>
  <c r="T16" i="26"/>
  <c r="W15" i="26"/>
  <c r="V15" i="26"/>
  <c r="O16" i="26"/>
  <c r="T17" i="26" l="1"/>
  <c r="W17" i="26" s="1"/>
  <c r="W16" i="26"/>
  <c r="V16" i="26"/>
  <c r="O17" i="26"/>
  <c r="V17" i="26" s="1"/>
  <c r="J17" i="26"/>
  <c r="U17" i="26" s="1"/>
  <c r="U16" i="26"/>
  <c r="T30" i="25"/>
  <c r="W30" i="25" s="1"/>
  <c r="O30" i="25"/>
  <c r="V30" i="25" s="1"/>
  <c r="J30" i="25"/>
  <c r="U30" i="25" s="1"/>
  <c r="D30" i="25"/>
  <c r="C30" i="25"/>
  <c r="S30" i="25" s="1"/>
  <c r="B30" i="25"/>
  <c r="A30" i="25"/>
  <c r="T29" i="25"/>
  <c r="W29" i="25" s="1"/>
  <c r="O29" i="25"/>
  <c r="V29" i="25" s="1"/>
  <c r="J29" i="25"/>
  <c r="U29" i="25" s="1"/>
  <c r="D29" i="25"/>
  <c r="C29" i="25"/>
  <c r="N29" i="25" s="1"/>
  <c r="B29" i="25"/>
  <c r="A29" i="25"/>
  <c r="T28" i="25"/>
  <c r="W28" i="25" s="1"/>
  <c r="O28" i="25"/>
  <c r="V28" i="25" s="1"/>
  <c r="J28" i="25"/>
  <c r="U28" i="25" s="1"/>
  <c r="D28" i="25"/>
  <c r="C28" i="25"/>
  <c r="N28" i="25" s="1"/>
  <c r="B28" i="25"/>
  <c r="A28" i="25"/>
  <c r="T27" i="25"/>
  <c r="W27" i="25" s="1"/>
  <c r="O27" i="25"/>
  <c r="V27" i="25" s="1"/>
  <c r="J27" i="25"/>
  <c r="U27" i="25" s="1"/>
  <c r="D27" i="25"/>
  <c r="C27" i="25"/>
  <c r="N27" i="25" s="1"/>
  <c r="B27" i="25"/>
  <c r="A27" i="25"/>
  <c r="T26" i="25"/>
  <c r="W26" i="25" s="1"/>
  <c r="O26" i="25"/>
  <c r="V26" i="25" s="1"/>
  <c r="J26" i="25"/>
  <c r="U26" i="25" s="1"/>
  <c r="D26" i="25"/>
  <c r="C26" i="25"/>
  <c r="S26" i="25" s="1"/>
  <c r="B26" i="25"/>
  <c r="A26" i="25"/>
  <c r="T25" i="25"/>
  <c r="W25" i="25" s="1"/>
  <c r="O25" i="25"/>
  <c r="V25" i="25" s="1"/>
  <c r="J25" i="25"/>
  <c r="U25" i="25" s="1"/>
  <c r="D25" i="25"/>
  <c r="C25" i="25"/>
  <c r="S25" i="25" s="1"/>
  <c r="B25" i="25"/>
  <c r="A25" i="25"/>
  <c r="T24" i="25"/>
  <c r="W24" i="25" s="1"/>
  <c r="O24" i="25"/>
  <c r="V24" i="25" s="1"/>
  <c r="J24" i="25"/>
  <c r="U24" i="25" s="1"/>
  <c r="D24" i="25"/>
  <c r="C24" i="25"/>
  <c r="N24" i="25" s="1"/>
  <c r="B24" i="25"/>
  <c r="A24" i="25"/>
  <c r="T23" i="25"/>
  <c r="W23" i="25" s="1"/>
  <c r="O23" i="25"/>
  <c r="V23" i="25" s="1"/>
  <c r="J23" i="25"/>
  <c r="U23" i="25" s="1"/>
  <c r="D23" i="25"/>
  <c r="C23" i="25"/>
  <c r="N23" i="25" s="1"/>
  <c r="B23" i="25"/>
  <c r="A23" i="25"/>
  <c r="T22" i="25"/>
  <c r="W22" i="25" s="1"/>
  <c r="O22" i="25"/>
  <c r="V22" i="25" s="1"/>
  <c r="J22" i="25"/>
  <c r="U22" i="25" s="1"/>
  <c r="D22" i="25"/>
  <c r="C22" i="25"/>
  <c r="S22" i="25" s="1"/>
  <c r="B22" i="25"/>
  <c r="A22" i="25"/>
  <c r="T21" i="25"/>
  <c r="W21" i="25" s="1"/>
  <c r="O21" i="25"/>
  <c r="V21" i="25" s="1"/>
  <c r="J21" i="25"/>
  <c r="U21" i="25" s="1"/>
  <c r="D21" i="25"/>
  <c r="C21" i="25"/>
  <c r="S21" i="25" s="1"/>
  <c r="B21" i="25"/>
  <c r="A21" i="25"/>
  <c r="T20" i="25"/>
  <c r="W20" i="25" s="1"/>
  <c r="O20" i="25"/>
  <c r="V20" i="25" s="1"/>
  <c r="J20" i="25"/>
  <c r="U20" i="25" s="1"/>
  <c r="D20" i="25"/>
  <c r="C20" i="25"/>
  <c r="N20" i="25" s="1"/>
  <c r="B20" i="25"/>
  <c r="A20" i="25"/>
  <c r="T19" i="25"/>
  <c r="W19" i="25" s="1"/>
  <c r="O19" i="25"/>
  <c r="V19" i="25" s="1"/>
  <c r="J19" i="25"/>
  <c r="U19" i="25" s="1"/>
  <c r="D19" i="25"/>
  <c r="C19" i="25"/>
  <c r="N19" i="25" s="1"/>
  <c r="B19" i="25"/>
  <c r="A19" i="25"/>
  <c r="T18" i="25"/>
  <c r="W18" i="25" s="1"/>
  <c r="O18" i="25"/>
  <c r="V18" i="25" s="1"/>
  <c r="J18" i="25"/>
  <c r="U18" i="25" s="1"/>
  <c r="D18" i="25"/>
  <c r="C18" i="25"/>
  <c r="S18" i="25" s="1"/>
  <c r="B18" i="25"/>
  <c r="A18" i="25" s="1"/>
  <c r="O17" i="25"/>
  <c r="V17" i="25" s="1"/>
  <c r="D17" i="25"/>
  <c r="C17" i="25"/>
  <c r="N17" i="25" s="1"/>
  <c r="B17" i="25"/>
  <c r="A17" i="25" s="1"/>
  <c r="O16" i="25"/>
  <c r="V16" i="25" s="1"/>
  <c r="D16" i="25"/>
  <c r="C16" i="25"/>
  <c r="N16" i="25" s="1"/>
  <c r="B16" i="25"/>
  <c r="A16" i="25" s="1"/>
  <c r="O15" i="25"/>
  <c r="V15" i="25" s="1"/>
  <c r="D15" i="25"/>
  <c r="C15" i="25"/>
  <c r="N15" i="25" s="1"/>
  <c r="B15" i="25"/>
  <c r="A15" i="25"/>
  <c r="D14" i="25"/>
  <c r="C14" i="25"/>
  <c r="S14" i="25" s="1"/>
  <c r="T14" i="25" s="1"/>
  <c r="W14" i="25" s="1"/>
  <c r="B14" i="25"/>
  <c r="A14" i="25" s="1"/>
  <c r="D13" i="25"/>
  <c r="C13" i="25"/>
  <c r="S13" i="25" s="1"/>
  <c r="T13" i="25" s="1"/>
  <c r="W13" i="25" s="1"/>
  <c r="B13" i="25"/>
  <c r="A13" i="25" s="1"/>
  <c r="D12" i="25"/>
  <c r="C12" i="25"/>
  <c r="N12" i="25" s="1"/>
  <c r="O12" i="25" s="1"/>
  <c r="V12" i="25" s="1"/>
  <c r="B12" i="25"/>
  <c r="A12" i="25" s="1"/>
  <c r="O11" i="25"/>
  <c r="V11" i="25" s="1"/>
  <c r="D11" i="25"/>
  <c r="C11" i="25"/>
  <c r="N11" i="25" s="1"/>
  <c r="B11" i="25"/>
  <c r="A11" i="25"/>
  <c r="T10" i="25"/>
  <c r="W10" i="25" s="1"/>
  <c r="D10" i="25"/>
  <c r="C10" i="25"/>
  <c r="S10" i="25" s="1"/>
  <c r="B10" i="25"/>
  <c r="A10" i="25" s="1"/>
  <c r="T9" i="25"/>
  <c r="W9" i="25" s="1"/>
  <c r="O9" i="25"/>
  <c r="V9" i="25" s="1"/>
  <c r="D9" i="25"/>
  <c r="C9" i="25"/>
  <c r="S9" i="25" s="1"/>
  <c r="B9" i="25"/>
  <c r="A9" i="25" s="1"/>
  <c r="D8" i="25"/>
  <c r="C8" i="25"/>
  <c r="N8" i="25" s="1"/>
  <c r="D7" i="25"/>
  <c r="C7" i="25"/>
  <c r="N7" i="25" s="1"/>
  <c r="D6" i="25"/>
  <c r="C6" i="25"/>
  <c r="S6" i="25" s="1"/>
  <c r="B6" i="25"/>
  <c r="B7" i="25" s="1"/>
  <c r="D5" i="25"/>
  <c r="C5" i="25"/>
  <c r="S5" i="25" s="1"/>
  <c r="B5" i="25"/>
  <c r="A6" i="25" s="1"/>
  <c r="S4" i="25"/>
  <c r="T4" i="25" s="1"/>
  <c r="O4" i="25"/>
  <c r="N4" i="25"/>
  <c r="I4" i="25"/>
  <c r="J4" i="25" s="1"/>
  <c r="W3" i="25"/>
  <c r="V3" i="25"/>
  <c r="U3" i="25"/>
  <c r="W2" i="25"/>
  <c r="V2" i="25"/>
  <c r="U2" i="25"/>
  <c r="BO1" i="25"/>
  <c r="AT1" i="25"/>
  <c r="Y1" i="25"/>
  <c r="A5" i="25" l="1"/>
  <c r="I7" i="25"/>
  <c r="I8" i="25"/>
  <c r="I16" i="25"/>
  <c r="J16" i="25" s="1"/>
  <c r="U16" i="25" s="1"/>
  <c r="I20" i="25"/>
  <c r="S7" i="25"/>
  <c r="S8" i="25"/>
  <c r="I24" i="25"/>
  <c r="I12" i="25"/>
  <c r="J12" i="25" s="1"/>
  <c r="U12" i="25" s="1"/>
  <c r="I28" i="25"/>
  <c r="S11" i="25"/>
  <c r="T11" i="25" s="1"/>
  <c r="W11" i="25" s="1"/>
  <c r="S15" i="25"/>
  <c r="T15" i="25" s="1"/>
  <c r="W15" i="25" s="1"/>
  <c r="I15" i="25"/>
  <c r="J15" i="25" s="1"/>
  <c r="U15" i="25" s="1"/>
  <c r="I23" i="25"/>
  <c r="I11" i="25"/>
  <c r="J11" i="25" s="1"/>
  <c r="U11" i="25" s="1"/>
  <c r="I19" i="25"/>
  <c r="I27" i="25"/>
  <c r="S12" i="25"/>
  <c r="T12" i="25" s="1"/>
  <c r="W12" i="25" s="1"/>
  <c r="S16" i="25"/>
  <c r="T16" i="25" s="1"/>
  <c r="W16" i="25" s="1"/>
  <c r="S20" i="25"/>
  <c r="S24" i="25"/>
  <c r="S28" i="25"/>
  <c r="S19" i="25"/>
  <c r="S23" i="25"/>
  <c r="S27" i="25"/>
  <c r="T5" i="25"/>
  <c r="W4" i="25"/>
  <c r="U4" i="25"/>
  <c r="B8" i="25"/>
  <c r="A8" i="25" s="1"/>
  <c r="N5" i="25"/>
  <c r="O5" i="25" s="1"/>
  <c r="N9" i="25"/>
  <c r="N25" i="25"/>
  <c r="N14" i="25"/>
  <c r="O14" i="25" s="1"/>
  <c r="V14" i="25" s="1"/>
  <c r="N26" i="25"/>
  <c r="A7" i="25"/>
  <c r="N21" i="25"/>
  <c r="N6" i="25"/>
  <c r="N10" i="25"/>
  <c r="O10" i="25" s="1"/>
  <c r="V10" i="25" s="1"/>
  <c r="N22" i="25"/>
  <c r="N30" i="25"/>
  <c r="I9" i="25"/>
  <c r="J9" i="25" s="1"/>
  <c r="U9" i="25" s="1"/>
  <c r="I17" i="25"/>
  <c r="J17" i="25" s="1"/>
  <c r="U17" i="25" s="1"/>
  <c r="S17" i="25"/>
  <c r="T17" i="25" s="1"/>
  <c r="W17" i="25" s="1"/>
  <c r="I21" i="25"/>
  <c r="I25" i="25"/>
  <c r="I29" i="25"/>
  <c r="S29" i="25"/>
  <c r="V4" i="25"/>
  <c r="N13" i="25"/>
  <c r="O13" i="25" s="1"/>
  <c r="V13" i="25" s="1"/>
  <c r="N18" i="25"/>
  <c r="I5" i="25"/>
  <c r="J5" i="25" s="1"/>
  <c r="I13" i="25"/>
  <c r="J13" i="25" s="1"/>
  <c r="U13" i="25" s="1"/>
  <c r="I6" i="25"/>
  <c r="I10" i="25"/>
  <c r="J10" i="25" s="1"/>
  <c r="U10" i="25" s="1"/>
  <c r="I14" i="25"/>
  <c r="J14" i="25" s="1"/>
  <c r="U14" i="25" s="1"/>
  <c r="I18" i="25"/>
  <c r="I22" i="25"/>
  <c r="I26" i="25"/>
  <c r="I30" i="25"/>
  <c r="J6" i="25" l="1"/>
  <c r="U5" i="25"/>
  <c r="O6" i="25"/>
  <c r="V5" i="25"/>
  <c r="W5" i="25"/>
  <c r="T6" i="25"/>
  <c r="O7" i="25" l="1"/>
  <c r="V6" i="25"/>
  <c r="W6" i="25"/>
  <c r="T7" i="25"/>
  <c r="J7" i="25"/>
  <c r="U6" i="25"/>
  <c r="T8" i="25" l="1"/>
  <c r="W8" i="25" s="1"/>
  <c r="W7" i="25"/>
  <c r="J8" i="25"/>
  <c r="U8" i="25" s="1"/>
  <c r="U7" i="25"/>
  <c r="V7" i="25"/>
  <c r="O8" i="25"/>
  <c r="V8" i="25" s="1"/>
  <c r="T30" i="20" l="1"/>
  <c r="W30" i="20" s="1"/>
  <c r="O30" i="20"/>
  <c r="V30" i="20" s="1"/>
  <c r="J30" i="20"/>
  <c r="U30" i="20" s="1"/>
  <c r="D30" i="20"/>
  <c r="C30" i="20"/>
  <c r="S30" i="20" s="1"/>
  <c r="B30" i="20"/>
  <c r="A30" i="20"/>
  <c r="T29" i="20"/>
  <c r="W29" i="20" s="1"/>
  <c r="O29" i="20"/>
  <c r="V29" i="20" s="1"/>
  <c r="J29" i="20"/>
  <c r="U29" i="20" s="1"/>
  <c r="D29" i="20"/>
  <c r="C29" i="20"/>
  <c r="S29" i="20" s="1"/>
  <c r="B29" i="20"/>
  <c r="A29" i="20"/>
  <c r="T28" i="20"/>
  <c r="W28" i="20" s="1"/>
  <c r="O28" i="20"/>
  <c r="V28" i="20" s="1"/>
  <c r="J28" i="20"/>
  <c r="U28" i="20" s="1"/>
  <c r="D28" i="20"/>
  <c r="C28" i="20"/>
  <c r="N28" i="20" s="1"/>
  <c r="B28" i="20"/>
  <c r="A28" i="20"/>
  <c r="T27" i="20"/>
  <c r="W27" i="20" s="1"/>
  <c r="O27" i="20"/>
  <c r="V27" i="20" s="1"/>
  <c r="J27" i="20"/>
  <c r="U27" i="20" s="1"/>
  <c r="D27" i="20"/>
  <c r="C27" i="20"/>
  <c r="N27" i="20" s="1"/>
  <c r="B27" i="20"/>
  <c r="A27" i="20"/>
  <c r="T26" i="20"/>
  <c r="W26" i="20" s="1"/>
  <c r="O26" i="20"/>
  <c r="V26" i="20" s="1"/>
  <c r="J26" i="20"/>
  <c r="U26" i="20" s="1"/>
  <c r="D26" i="20"/>
  <c r="C26" i="20"/>
  <c r="S26" i="20" s="1"/>
  <c r="B26" i="20"/>
  <c r="A26" i="20"/>
  <c r="T25" i="20"/>
  <c r="W25" i="20" s="1"/>
  <c r="O25" i="20"/>
  <c r="V25" i="20" s="1"/>
  <c r="J25" i="20"/>
  <c r="U25" i="20" s="1"/>
  <c r="D25" i="20"/>
  <c r="C25" i="20"/>
  <c r="S25" i="20" s="1"/>
  <c r="B25" i="20"/>
  <c r="A25" i="20"/>
  <c r="T24" i="20"/>
  <c r="W24" i="20" s="1"/>
  <c r="O24" i="20"/>
  <c r="V24" i="20" s="1"/>
  <c r="J24" i="20"/>
  <c r="U24" i="20" s="1"/>
  <c r="D24" i="20"/>
  <c r="C24" i="20"/>
  <c r="N24" i="20" s="1"/>
  <c r="B24" i="20"/>
  <c r="A24" i="20"/>
  <c r="T23" i="20"/>
  <c r="W23" i="20" s="1"/>
  <c r="O23" i="20"/>
  <c r="V23" i="20" s="1"/>
  <c r="J23" i="20"/>
  <c r="U23" i="20" s="1"/>
  <c r="D23" i="20"/>
  <c r="C23" i="20"/>
  <c r="N23" i="20" s="1"/>
  <c r="B23" i="20"/>
  <c r="A23" i="20"/>
  <c r="T22" i="20"/>
  <c r="W22" i="20" s="1"/>
  <c r="O22" i="20"/>
  <c r="V22" i="20" s="1"/>
  <c r="J22" i="20"/>
  <c r="U22" i="20" s="1"/>
  <c r="D22" i="20"/>
  <c r="C22" i="20"/>
  <c r="S22" i="20" s="1"/>
  <c r="B22" i="20"/>
  <c r="A22" i="20"/>
  <c r="T21" i="20"/>
  <c r="W21" i="20" s="1"/>
  <c r="O21" i="20"/>
  <c r="V21" i="20" s="1"/>
  <c r="J21" i="20"/>
  <c r="U21" i="20" s="1"/>
  <c r="D21" i="20"/>
  <c r="C21" i="20"/>
  <c r="S21" i="20" s="1"/>
  <c r="B21" i="20"/>
  <c r="A21" i="20"/>
  <c r="T20" i="20"/>
  <c r="W20" i="20" s="1"/>
  <c r="O20" i="20"/>
  <c r="V20" i="20" s="1"/>
  <c r="J20" i="20"/>
  <c r="U20" i="20" s="1"/>
  <c r="D20" i="20"/>
  <c r="C20" i="20"/>
  <c r="N20" i="20" s="1"/>
  <c r="B20" i="20"/>
  <c r="A20" i="20"/>
  <c r="T19" i="20"/>
  <c r="W19" i="20" s="1"/>
  <c r="O19" i="20"/>
  <c r="V19" i="20" s="1"/>
  <c r="J19" i="20"/>
  <c r="U19" i="20" s="1"/>
  <c r="D19" i="20"/>
  <c r="C19" i="20"/>
  <c r="N19" i="20" s="1"/>
  <c r="B19" i="20"/>
  <c r="A19" i="20"/>
  <c r="T18" i="20"/>
  <c r="W18" i="20" s="1"/>
  <c r="O18" i="20"/>
  <c r="V18" i="20" s="1"/>
  <c r="J18" i="20"/>
  <c r="U18" i="20" s="1"/>
  <c r="D18" i="20"/>
  <c r="C18" i="20"/>
  <c r="S18" i="20" s="1"/>
  <c r="B18" i="20"/>
  <c r="A18" i="20"/>
  <c r="T17" i="20"/>
  <c r="W17" i="20" s="1"/>
  <c r="O17" i="20"/>
  <c r="V17" i="20" s="1"/>
  <c r="J17" i="20"/>
  <c r="U17" i="20" s="1"/>
  <c r="D17" i="20"/>
  <c r="C17" i="20"/>
  <c r="N17" i="20" s="1"/>
  <c r="B17" i="20"/>
  <c r="A17" i="20"/>
  <c r="T16" i="20"/>
  <c r="W16" i="20" s="1"/>
  <c r="O16" i="20"/>
  <c r="V16" i="20" s="1"/>
  <c r="J16" i="20"/>
  <c r="U16" i="20" s="1"/>
  <c r="D16" i="20"/>
  <c r="C16" i="20"/>
  <c r="N16" i="20" s="1"/>
  <c r="B16" i="20"/>
  <c r="A16" i="20"/>
  <c r="T15" i="20"/>
  <c r="W15" i="20" s="1"/>
  <c r="O15" i="20"/>
  <c r="V15" i="20" s="1"/>
  <c r="J15" i="20"/>
  <c r="U15" i="20" s="1"/>
  <c r="D15" i="20"/>
  <c r="C15" i="20"/>
  <c r="N15" i="20" s="1"/>
  <c r="B15" i="20"/>
  <c r="A15" i="20"/>
  <c r="T14" i="20"/>
  <c r="W14" i="20" s="1"/>
  <c r="O14" i="20"/>
  <c r="V14" i="20" s="1"/>
  <c r="J14" i="20"/>
  <c r="U14" i="20" s="1"/>
  <c r="D14" i="20"/>
  <c r="C14" i="20"/>
  <c r="S14" i="20" s="1"/>
  <c r="B14" i="20"/>
  <c r="A14" i="20"/>
  <c r="T13" i="20"/>
  <c r="W13" i="20" s="1"/>
  <c r="O13" i="20"/>
  <c r="V13" i="20" s="1"/>
  <c r="J13" i="20"/>
  <c r="U13" i="20" s="1"/>
  <c r="D13" i="20"/>
  <c r="C13" i="20"/>
  <c r="S13" i="20" s="1"/>
  <c r="B13" i="20"/>
  <c r="A13" i="20"/>
  <c r="T12" i="20"/>
  <c r="W12" i="20" s="1"/>
  <c r="O12" i="20"/>
  <c r="V12" i="20" s="1"/>
  <c r="J12" i="20"/>
  <c r="U12" i="20" s="1"/>
  <c r="D12" i="20"/>
  <c r="C12" i="20"/>
  <c r="N12" i="20" s="1"/>
  <c r="B12" i="20"/>
  <c r="A12" i="20"/>
  <c r="D11" i="20"/>
  <c r="C11" i="20"/>
  <c r="N11" i="20" s="1"/>
  <c r="D10" i="20"/>
  <c r="C10" i="20"/>
  <c r="S10" i="20" s="1"/>
  <c r="D9" i="20"/>
  <c r="D8" i="20"/>
  <c r="D7" i="20"/>
  <c r="C7" i="20"/>
  <c r="C8" i="20" s="1"/>
  <c r="D6" i="20"/>
  <c r="C6" i="20"/>
  <c r="S6" i="20" s="1"/>
  <c r="B6" i="20"/>
  <c r="D5" i="20"/>
  <c r="C5" i="20"/>
  <c r="N5" i="20" s="1"/>
  <c r="B5" i="20"/>
  <c r="S4" i="20"/>
  <c r="T4" i="20" s="1"/>
  <c r="N4" i="20"/>
  <c r="O4" i="20" s="1"/>
  <c r="V4" i="20" s="1"/>
  <c r="I4" i="20"/>
  <c r="J4" i="20" s="1"/>
  <c r="W3" i="20"/>
  <c r="V3" i="20"/>
  <c r="U3" i="20"/>
  <c r="W2" i="20"/>
  <c r="V2" i="20"/>
  <c r="U2" i="20"/>
  <c r="BO1" i="20"/>
  <c r="AT1" i="20"/>
  <c r="Y1" i="20"/>
  <c r="A6" i="20" l="1"/>
  <c r="A5" i="20"/>
  <c r="I7" i="20"/>
  <c r="S7" i="20"/>
  <c r="I12" i="20"/>
  <c r="I16" i="20"/>
  <c r="I20" i="20"/>
  <c r="I11" i="20"/>
  <c r="S11" i="20"/>
  <c r="I24" i="20"/>
  <c r="I28" i="20"/>
  <c r="S23" i="20"/>
  <c r="I19" i="20"/>
  <c r="S15" i="20"/>
  <c r="S19" i="20"/>
  <c r="I15" i="20"/>
  <c r="I23" i="20"/>
  <c r="I27" i="20"/>
  <c r="S12" i="20"/>
  <c r="S16" i="20"/>
  <c r="S20" i="20"/>
  <c r="S24" i="20"/>
  <c r="S28" i="20"/>
  <c r="S27" i="20"/>
  <c r="W4" i="20"/>
  <c r="N8" i="20"/>
  <c r="C9" i="20"/>
  <c r="I8" i="20"/>
  <c r="S8" i="20"/>
  <c r="U4" i="20"/>
  <c r="N21" i="20"/>
  <c r="O5" i="20"/>
  <c r="N6" i="20"/>
  <c r="N14" i="20"/>
  <c r="N26" i="20"/>
  <c r="N30" i="20"/>
  <c r="N13" i="20"/>
  <c r="N25" i="20"/>
  <c r="N29" i="20"/>
  <c r="B7" i="20"/>
  <c r="N10" i="20"/>
  <c r="N18" i="20"/>
  <c r="I5" i="20"/>
  <c r="J5" i="20" s="1"/>
  <c r="S5" i="20"/>
  <c r="T5" i="20" s="1"/>
  <c r="N7" i="20"/>
  <c r="I13" i="20"/>
  <c r="I17" i="20"/>
  <c r="S17" i="20"/>
  <c r="I21" i="20"/>
  <c r="I25" i="20"/>
  <c r="I29" i="20"/>
  <c r="N22" i="20"/>
  <c r="I6" i="20"/>
  <c r="I10" i="20"/>
  <c r="I14" i="20"/>
  <c r="I18" i="20"/>
  <c r="I22" i="20"/>
  <c r="I26" i="20"/>
  <c r="I30" i="20"/>
  <c r="T6" i="20" l="1"/>
  <c r="W5" i="20"/>
  <c r="U5" i="20"/>
  <c r="J6" i="20"/>
  <c r="N9" i="20"/>
  <c r="S9" i="20"/>
  <c r="I9" i="20"/>
  <c r="B8" i="20"/>
  <c r="O6" i="20"/>
  <c r="V5" i="20"/>
  <c r="A7" i="20"/>
  <c r="A8" i="20" l="1"/>
  <c r="B9" i="20"/>
  <c r="A9" i="20" s="1"/>
  <c r="J7" i="20"/>
  <c r="U6" i="20"/>
  <c r="O7" i="20"/>
  <c r="V6" i="20"/>
  <c r="W6" i="20"/>
  <c r="T7" i="20"/>
  <c r="J8" i="20" l="1"/>
  <c r="U7" i="20"/>
  <c r="T8" i="20"/>
  <c r="W7" i="20"/>
  <c r="V7" i="20"/>
  <c r="O8" i="20"/>
  <c r="B10" i="20"/>
  <c r="B11" i="20" l="1"/>
  <c r="A11" i="20" s="1"/>
  <c r="A10" i="20"/>
  <c r="T9" i="20"/>
  <c r="W8" i="20"/>
  <c r="O9" i="20"/>
  <c r="V8" i="20"/>
  <c r="J9" i="20"/>
  <c r="U8" i="20"/>
  <c r="O10" i="20" l="1"/>
  <c r="V9" i="20"/>
  <c r="J10" i="20"/>
  <c r="U9" i="20"/>
  <c r="T10" i="20"/>
  <c r="W9" i="20"/>
  <c r="J11" i="20" l="1"/>
  <c r="U11" i="20" s="1"/>
  <c r="U10" i="20"/>
  <c r="W10" i="20"/>
  <c r="T11" i="20"/>
  <c r="W11" i="20" s="1"/>
  <c r="O11" i="20"/>
  <c r="V11" i="20" s="1"/>
  <c r="V10" i="20"/>
</calcChain>
</file>

<file path=xl/sharedStrings.xml><?xml version="1.0" encoding="utf-8"?>
<sst xmlns="http://schemas.openxmlformats.org/spreadsheetml/2006/main" count="775" uniqueCount="155">
  <si>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</si>
  <si>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</si>
  <si>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</si>
  <si>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</si>
  <si>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</si>
  <si>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</si>
  <si>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</si>
  <si>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</si>
  <si>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</si>
  <si>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</si>
  <si>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</si>
  <si>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</si>
  <si>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</si>
  <si>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</si>
  <si>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</si>
  <si>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</si>
  <si>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</si>
  <si>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</si>
  <si>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</si>
  <si>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</si>
  <si>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</si>
  <si>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</si>
  <si>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</si>
  <si>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</si>
  <si>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</si>
  <si>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</si>
  <si>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</si>
  <si>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</si>
  <si>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</si>
  <si>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</si>
  <si>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</si>
  <si>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</si>
  <si>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複合</t>
    <rPh sb="0" eb="2">
      <t>フクゴウ</t>
    </rPh>
    <phoneticPr fontId="1"/>
  </si>
  <si>
    <t>立直</t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</si>
  <si>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</si>
  <si>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</si>
  <si>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</si>
  <si>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</si>
  <si>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</si>
  <si>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</si>
  <si>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</si>
  <si>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断么九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</si>
  <si>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</si>
  <si>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</si>
  <si>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</si>
  <si>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</si>
  <si>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</si>
  <si>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</si>
  <si>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</si>
  <si>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混全帯么九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</si>
  <si>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</si>
  <si>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</si>
  <si>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</si>
  <si>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</si>
  <si>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</si>
  <si>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</si>
  <si>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</si>
  <si>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</si>
  <si>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</si>
  <si>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純全帯么九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</si>
  <si>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</si>
  <si>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</si>
  <si>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</si>
  <si>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</si>
  <si>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</si>
  <si>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</si>
  <si>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</si>
  <si>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</si>
  <si>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</si>
  <si>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</si>
  <si>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</si>
  <si>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</si>
  <si>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</si>
  <si>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</si>
  <si>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</si>
  <si>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</si>
  <si>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</si>
  <si>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</si>
  <si>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</si>
  <si>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</si>
  <si>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</si>
  <si>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</si>
  <si>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</si>
  <si>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</si>
  <si>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</si>
  <si>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</si>
  <si>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</si>
  <si>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</si>
  <si>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</si>
  <si>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</si>
  <si>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</si>
  <si>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</si>
  <si>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</si>
  <si>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</si>
  <si>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</si>
  <si>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</si>
  <si>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</si>
  <si>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</si>
  <si>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</si>
  <si>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</si>
  <si>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</si>
  <si>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</si>
  <si>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</si>
  <si>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</si>
  <si>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</si>
  <si>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</si>
  <si>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</si>
  <si>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</si>
  <si>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</si>
  <si>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</si>
  <si>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</si>
  <si>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</si>
  <si>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</si>
  <si>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</si>
  <si>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</si>
  <si>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</si>
  <si>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</si>
  <si>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</si>
  <si>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</si>
  <si>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</si>
  <si>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</si>
  <si>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</si>
  <si>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</si>
  <si>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</si>
  <si>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</si>
  <si>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</si>
  <si>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</si>
  <si>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</si>
  <si>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</si>
  <si>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</si>
  <si>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</si>
  <si>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</si>
  <si>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</si>
  <si>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03</t>
    <phoneticPr fontId="1"/>
  </si>
  <si>
    <t>31</t>
    <phoneticPr fontId="1"/>
  </si>
  <si>
    <t>32</t>
    <phoneticPr fontId="1"/>
  </si>
  <si>
    <t>40</t>
    <phoneticPr fontId="1"/>
  </si>
  <si>
    <t>鳴</t>
    <rPh sb="0" eb="1">
      <t>ナ</t>
    </rPh>
    <phoneticPr fontId="1"/>
  </si>
  <si>
    <t>鳴</t>
    <phoneticPr fontId="1"/>
  </si>
  <si>
    <t>だいち</t>
    <phoneticPr fontId="1"/>
  </si>
  <si>
    <t>ロン</t>
  </si>
  <si>
    <t>放銃</t>
  </si>
  <si>
    <t>*</t>
  </si>
  <si>
    <t>だいち</t>
  </si>
  <si>
    <t>01</t>
  </si>
  <si>
    <t>ツモ</t>
  </si>
  <si>
    <t>ツモ支払</t>
  </si>
  <si>
    <t>流局</t>
    <phoneticPr fontId="1"/>
  </si>
  <si>
    <t>れんたろう</t>
    <phoneticPr fontId="1"/>
  </si>
  <si>
    <t>れんたろう</t>
  </si>
  <si>
    <t>T</t>
  </si>
  <si>
    <t>N</t>
  </si>
  <si>
    <t>りくと</t>
  </si>
  <si>
    <t>りくと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</si>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</sst>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28BAB-D850-4020-B2D4-B0FB8022002A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37" customWidth="1"/>
    <col min="31" max="45" width="3.5" style="37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6"/>
  </cols>
  <sheetData>
    <row r="1" spans="1:87" x14ac:dyDescent="0.4">
      <c r="A1" s="76" t="s">
        <v>0</v>
      </c>
      <c r="B1" s="78" t="s">
        <v>2</v>
      </c>
      <c r="C1" s="78" t="s">
        <v>1</v>
      </c>
      <c r="D1" s="78" t="s">
        <v>22</v>
      </c>
      <c r="E1" s="80" t="s">
        <v>3</v>
      </c>
      <c r="F1" s="71" t="s">
        <v>139</v>
      </c>
      <c r="G1" s="72"/>
      <c r="H1" s="72"/>
      <c r="I1" s="73"/>
      <c r="J1" s="74"/>
      <c r="K1" s="71" t="s">
        <v>148</v>
      </c>
      <c r="L1" s="72"/>
      <c r="M1" s="72"/>
      <c r="N1" s="73"/>
      <c r="O1" s="74"/>
      <c r="P1" s="71" t="s">
        <v>153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75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75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りくと</v>
      </c>
      <c r="BP1" s="75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7"/>
      <c r="B2" s="79"/>
      <c r="C2" s="79"/>
      <c r="D2" s="79"/>
      <c r="E2" s="81"/>
      <c r="F2" s="1" t="s">
        <v>5</v>
      </c>
      <c r="G2" s="2" t="s">
        <v>9</v>
      </c>
      <c r="H2" s="2" t="s">
        <v>23</v>
      </c>
      <c r="I2" s="6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63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63" t="s">
        <v>7</v>
      </c>
      <c r="T2" s="6" t="s">
        <v>4</v>
      </c>
      <c r="U2" s="62" t="str">
        <f>$F$1</f>
        <v>だいち</v>
      </c>
      <c r="V2" s="63" t="str">
        <f>$K$1</f>
        <v>れんたろう</v>
      </c>
      <c r="W2" s="18" t="str">
        <f>$P$1</f>
        <v>りくと</v>
      </c>
      <c r="Y2" s="58" t="s">
        <v>24</v>
      </c>
      <c r="Z2" s="59" t="s">
        <v>27</v>
      </c>
      <c r="AA2" s="60" t="s">
        <v>25</v>
      </c>
      <c r="AB2" s="60" t="s">
        <v>137</v>
      </c>
      <c r="AC2" s="60" t="s">
        <v>19</v>
      </c>
      <c r="AD2" s="6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58" t="s">
        <v>24</v>
      </c>
      <c r="AU2" s="59" t="s">
        <v>27</v>
      </c>
      <c r="AV2" s="60" t="s">
        <v>25</v>
      </c>
      <c r="AW2" s="60" t="s">
        <v>138</v>
      </c>
      <c r="AX2" s="60" t="s">
        <v>19</v>
      </c>
      <c r="AY2" s="6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58" t="s">
        <v>24</v>
      </c>
      <c r="BP2" s="59" t="s">
        <v>27</v>
      </c>
      <c r="BQ2" s="60" t="s">
        <v>25</v>
      </c>
      <c r="BR2" s="60" t="s">
        <v>138</v>
      </c>
      <c r="BS2" s="60" t="s">
        <v>19</v>
      </c>
      <c r="BT2" s="6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45"/>
      <c r="AA3" s="40"/>
      <c r="AB3" s="40"/>
      <c r="AC3" s="40"/>
      <c r="AD3" s="41"/>
      <c r="AE3" s="49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1"/>
      <c r="AT3" s="7"/>
      <c r="AU3" s="45"/>
      <c r="AV3" s="40"/>
      <c r="AW3" s="40"/>
      <c r="AX3" s="40"/>
      <c r="AY3" s="41"/>
      <c r="AZ3" s="49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1"/>
      <c r="BO3" s="7"/>
      <c r="BP3" s="45"/>
      <c r="BQ3" s="40"/>
      <c r="BR3" s="40"/>
      <c r="BS3" s="40"/>
      <c r="BT3" s="41"/>
      <c r="BU3" s="49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1"/>
    </row>
    <row r="4" spans="1:87" x14ac:dyDescent="0.4">
      <c r="A4" s="15" t="s">
        <v>8</v>
      </c>
      <c r="B4" s="29">
        <v>1</v>
      </c>
      <c r="C4" s="29">
        <v>0</v>
      </c>
      <c r="D4" s="29">
        <v>0</v>
      </c>
      <c r="E4" s="4" t="s">
        <v>149</v>
      </c>
      <c r="F4" s="8" t="s">
        <v>146</v>
      </c>
      <c r="G4" s="9">
        <v>-6000</v>
      </c>
      <c r="H4" s="9"/>
      <c r="I4" s="10">
        <f>_xlfn.SWITCH(F4,"ロン",$C4*1000,"ツモ",$C4*1000,"放銃",$C4*-1000,"ツモ支払",$C4*-500,"")</f>
        <v>0</v>
      </c>
      <c r="J4" s="32">
        <f>IF(COUNTA($F4,$K4,$P4)&gt;0,J3+SUM(G4:I4),"")</f>
        <v>29000</v>
      </c>
      <c r="K4" s="8" t="s">
        <v>145</v>
      </c>
      <c r="L4" s="9">
        <v>12000</v>
      </c>
      <c r="M4" s="9"/>
      <c r="N4" s="10">
        <f t="shared" ref="N4:N30" si="0">_xlfn.SWITCH(K4,"ロン",$C4*1000,"ツモ",$C4*1000,"放銃",$C4*-1000,"ツモ支払",$C4*-500,"")</f>
        <v>0</v>
      </c>
      <c r="O4" s="32">
        <f>IF(COUNTA($F4,$K4,$P4)&gt;0,O3+SUM(L4:N4),"")</f>
        <v>47000</v>
      </c>
      <c r="P4" s="8" t="s">
        <v>146</v>
      </c>
      <c r="Q4" s="9">
        <v>-6000</v>
      </c>
      <c r="R4" s="9"/>
      <c r="S4" s="10">
        <f t="shared" ref="S4:S30" si="1">_xlfn.SWITCH(P4,"ロン",$C4*1000,"ツモ",$C4*1000,"放銃",$C4*-1000,"ツモ支払",$C4*-500,"")</f>
        <v>0</v>
      </c>
      <c r="T4" s="32">
        <f>IF(COUNTA($F4,$K4,$P4)&gt;0,T3+SUM(Q4:S4),"")</f>
        <v>29000</v>
      </c>
      <c r="U4" s="22">
        <f>IF($J4="","",ROUND(($J4-$J$3)/1000,0))</f>
        <v>-6</v>
      </c>
      <c r="V4" s="23">
        <f t="shared" ref="V4:V30" si="2">IF($O4="","",ROUND(($O4-$O$3)/1000,0))</f>
        <v>12</v>
      </c>
      <c r="W4" s="24">
        <f t="shared" ref="W4:W30" si="3">IF($T4="","",ROUND(($T4-$T$3)/1000,0))</f>
        <v>-6</v>
      </c>
      <c r="Y4" s="8"/>
      <c r="Z4" s="46"/>
      <c r="AA4" s="38"/>
      <c r="AB4" s="38"/>
      <c r="AC4" s="38"/>
      <c r="AD4" s="42"/>
      <c r="AE4" s="52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4"/>
      <c r="AT4" s="8"/>
      <c r="AU4" s="46"/>
      <c r="AV4" s="38"/>
      <c r="AW4" s="38"/>
      <c r="AX4" s="38">
        <v>5</v>
      </c>
      <c r="AY4" s="42" t="s">
        <v>142</v>
      </c>
      <c r="AZ4" s="52" t="s">
        <v>87</v>
      </c>
      <c r="BA4" s="53" t="s">
        <v>92</v>
      </c>
      <c r="BB4" s="53" t="s">
        <v>110</v>
      </c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4"/>
      <c r="BO4" s="8"/>
      <c r="BP4" s="46"/>
      <c r="BQ4" s="38"/>
      <c r="BR4" s="38">
        <v>1</v>
      </c>
      <c r="BS4" s="38"/>
      <c r="BT4" s="42"/>
      <c r="BU4" s="52"/>
      <c r="BV4" s="53"/>
      <c r="BW4" s="53"/>
      <c r="BX4" s="53"/>
      <c r="BY4" s="53"/>
      <c r="BZ4" s="53"/>
      <c r="CA4" s="53"/>
      <c r="CB4" s="53"/>
      <c r="CC4" s="53"/>
      <c r="CD4" s="53"/>
      <c r="CE4" s="53"/>
      <c r="CF4" s="53"/>
      <c r="CG4" s="53"/>
      <c r="CH4" s="53"/>
      <c r="CI4" s="54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1</v>
      </c>
      <c r="C5" s="29">
        <f>IF($E5="","",IF($E4=$E5,C4+1,0))</f>
        <v>1</v>
      </c>
      <c r="D5" s="29">
        <f>IF($E5="","",IF(OR($F4="流局",$F4="チョンボ"),D4+($H4+$M4+$R4)/-1000,0))</f>
        <v>0</v>
      </c>
      <c r="E5" s="4" t="s">
        <v>149</v>
      </c>
      <c r="F5" s="8" t="s">
        <v>141</v>
      </c>
      <c r="G5" s="9">
        <v>-3200</v>
      </c>
      <c r="H5" s="9">
        <v>-1000</v>
      </c>
      <c r="I5" s="10">
        <f t="shared" ref="I5:I30" si="4">_xlfn.SWITCH(F5,"ロン",$C5*1000,"ツモ",$C5*1000,"放銃",$C5*-1000,"ツモ支払",$C5*-500,"")</f>
        <v>-1000</v>
      </c>
      <c r="J5" s="32">
        <f t="shared" ref="J5:J30" si="5">IF(COUNTA($F5,$K5,$P5)&gt;0,J4+SUM(G5:I5),"")</f>
        <v>23800</v>
      </c>
      <c r="K5" s="8"/>
      <c r="L5" s="9"/>
      <c r="M5" s="9"/>
      <c r="N5" s="10" t="str">
        <f t="shared" si="0"/>
        <v/>
      </c>
      <c r="O5" s="32">
        <f t="shared" ref="O5:O30" si="6">IF(COUNTA($F5,$K5,$P5)&gt;0,O4+SUM(L5:N5),"")</f>
        <v>47000</v>
      </c>
      <c r="P5" s="8" t="s">
        <v>140</v>
      </c>
      <c r="Q5" s="9">
        <v>3200</v>
      </c>
      <c r="R5" s="9">
        <v>1000</v>
      </c>
      <c r="S5" s="10">
        <f t="shared" si="1"/>
        <v>1000</v>
      </c>
      <c r="T5" s="32">
        <f t="shared" ref="T5:T30" si="7">IF(COUNTA($F5,$K5,$P5)&gt;0,T4+SUM(Q5:S5),"")</f>
        <v>34200</v>
      </c>
      <c r="U5" s="22">
        <f t="shared" ref="U5:U30" si="8">IF($J5="","",ROUND(($J5-$J$3)/1000,0))</f>
        <v>-11</v>
      </c>
      <c r="V5" s="23">
        <f t="shared" si="2"/>
        <v>12</v>
      </c>
      <c r="W5" s="24">
        <f t="shared" si="3"/>
        <v>-1</v>
      </c>
      <c r="Y5" s="8"/>
      <c r="Z5" s="46"/>
      <c r="AA5" s="38">
        <v>1</v>
      </c>
      <c r="AB5" s="38"/>
      <c r="AC5" s="38"/>
      <c r="AD5" s="42"/>
      <c r="AE5" s="52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4"/>
      <c r="AT5" s="8"/>
      <c r="AU5" s="46"/>
      <c r="AV5" s="38"/>
      <c r="AW5" s="38">
        <v>1</v>
      </c>
      <c r="AX5" s="38"/>
      <c r="AY5" s="42"/>
      <c r="AZ5" s="52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4"/>
      <c r="BO5" s="8"/>
      <c r="BP5" s="46"/>
      <c r="BQ5" s="38">
        <v>1</v>
      </c>
      <c r="BR5" s="38"/>
      <c r="BS5" s="38">
        <v>3</v>
      </c>
      <c r="BT5" s="42">
        <v>25</v>
      </c>
      <c r="BU5" s="52" t="s">
        <v>144</v>
      </c>
      <c r="BV5" s="53" t="s">
        <v>107</v>
      </c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4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2</v>
      </c>
      <c r="C6" s="29">
        <f t="shared" ref="C6:C30" si="11">IF($E6="","",IF($E5=$E6,C5+1,0))</f>
        <v>0</v>
      </c>
      <c r="D6" s="29">
        <f t="shared" ref="D6:D30" si="12">IF($E6="","",IF(OR($F5="流局",$F5="チョンボ"),D5+($H5+$M5+$R5)/-1000,0))</f>
        <v>0</v>
      </c>
      <c r="E6" s="4" t="s">
        <v>152</v>
      </c>
      <c r="F6" s="8" t="s">
        <v>145</v>
      </c>
      <c r="G6" s="9">
        <v>12000</v>
      </c>
      <c r="H6" s="9"/>
      <c r="I6" s="10">
        <f t="shared" si="4"/>
        <v>0</v>
      </c>
      <c r="J6" s="32">
        <f t="shared" si="5"/>
        <v>35800</v>
      </c>
      <c r="K6" s="8" t="s">
        <v>146</v>
      </c>
      <c r="L6" s="9">
        <v>-4500</v>
      </c>
      <c r="M6" s="9"/>
      <c r="N6" s="10">
        <f t="shared" si="0"/>
        <v>0</v>
      </c>
      <c r="O6" s="32">
        <f t="shared" si="6"/>
        <v>42500</v>
      </c>
      <c r="P6" s="8" t="s">
        <v>146</v>
      </c>
      <c r="Q6" s="9">
        <v>-7500</v>
      </c>
      <c r="R6" s="9"/>
      <c r="S6" s="10">
        <f t="shared" si="1"/>
        <v>0</v>
      </c>
      <c r="T6" s="32">
        <f t="shared" si="7"/>
        <v>26700</v>
      </c>
      <c r="U6" s="22">
        <f t="shared" si="8"/>
        <v>1</v>
      </c>
      <c r="V6" s="23">
        <f t="shared" si="2"/>
        <v>8</v>
      </c>
      <c r="W6" s="24">
        <f t="shared" si="3"/>
        <v>-8</v>
      </c>
      <c r="Y6" s="8"/>
      <c r="Z6" s="46"/>
      <c r="AA6" s="38">
        <v>1</v>
      </c>
      <c r="AB6" s="38"/>
      <c r="AC6" s="38">
        <v>6</v>
      </c>
      <c r="AD6" s="42" t="s">
        <v>142</v>
      </c>
      <c r="AE6" s="52" t="s">
        <v>85</v>
      </c>
      <c r="AF6" s="53" t="s">
        <v>85</v>
      </c>
      <c r="AG6" s="53" t="s">
        <v>85</v>
      </c>
      <c r="AH6" s="53" t="s">
        <v>144</v>
      </c>
      <c r="AI6" s="53" t="s">
        <v>88</v>
      </c>
      <c r="AJ6" s="53" t="s">
        <v>87</v>
      </c>
      <c r="AK6" s="53"/>
      <c r="AL6" s="53"/>
      <c r="AM6" s="53"/>
      <c r="AN6" s="53"/>
      <c r="AO6" s="53"/>
      <c r="AP6" s="53"/>
      <c r="AQ6" s="53"/>
      <c r="AR6" s="53"/>
      <c r="AS6" s="54"/>
      <c r="AT6" s="8"/>
      <c r="AU6" s="46"/>
      <c r="AV6" s="38"/>
      <c r="AW6" s="38">
        <v>1</v>
      </c>
      <c r="AX6" s="38"/>
      <c r="AY6" s="42"/>
      <c r="AZ6" s="52"/>
      <c r="BA6" s="53"/>
      <c r="BB6" s="53"/>
      <c r="BC6" s="53"/>
      <c r="BD6" s="53"/>
      <c r="BE6" s="53"/>
      <c r="BF6" s="53"/>
      <c r="BG6" s="53"/>
      <c r="BH6" s="53"/>
      <c r="BI6" s="53"/>
      <c r="BJ6" s="53"/>
      <c r="BK6" s="53"/>
      <c r="BL6" s="53"/>
      <c r="BM6" s="53"/>
      <c r="BN6" s="54"/>
      <c r="BO6" s="8"/>
      <c r="BP6" s="46"/>
      <c r="BQ6" s="38"/>
      <c r="BR6" s="38"/>
      <c r="BS6" s="38"/>
      <c r="BT6" s="42"/>
      <c r="BU6" s="52"/>
      <c r="BV6" s="53"/>
      <c r="BW6" s="53"/>
      <c r="BX6" s="53"/>
      <c r="BY6" s="53"/>
      <c r="BZ6" s="53"/>
      <c r="CA6" s="53"/>
      <c r="CB6" s="53"/>
      <c r="CC6" s="53"/>
      <c r="CD6" s="53"/>
      <c r="CE6" s="53"/>
      <c r="CF6" s="53"/>
      <c r="CG6" s="53"/>
      <c r="CH6" s="53"/>
      <c r="CI6" s="54"/>
    </row>
    <row r="7" spans="1:87" x14ac:dyDescent="0.4">
      <c r="A7" s="15" t="str">
        <f t="shared" si="9"/>
        <v>東</v>
      </c>
      <c r="B7" s="29">
        <f t="shared" si="10"/>
        <v>3</v>
      </c>
      <c r="C7" s="29">
        <f t="shared" si="11"/>
        <v>0</v>
      </c>
      <c r="D7" s="29">
        <f t="shared" si="12"/>
        <v>0</v>
      </c>
      <c r="E7" s="4" t="s">
        <v>143</v>
      </c>
      <c r="F7" s="8" t="s">
        <v>146</v>
      </c>
      <c r="G7" s="9">
        <v>-5000</v>
      </c>
      <c r="H7" s="9"/>
      <c r="I7" s="10">
        <f t="shared" si="4"/>
        <v>0</v>
      </c>
      <c r="J7" s="32">
        <f t="shared" si="5"/>
        <v>30800</v>
      </c>
      <c r="K7" s="8" t="s">
        <v>146</v>
      </c>
      <c r="L7" s="9">
        <v>-3000</v>
      </c>
      <c r="M7" s="9"/>
      <c r="N7" s="10">
        <f t="shared" si="0"/>
        <v>0</v>
      </c>
      <c r="O7" s="32">
        <f t="shared" si="6"/>
        <v>39500</v>
      </c>
      <c r="P7" s="8" t="s">
        <v>145</v>
      </c>
      <c r="Q7" s="9">
        <v>8000</v>
      </c>
      <c r="R7" s="9"/>
      <c r="S7" s="10">
        <f t="shared" si="1"/>
        <v>0</v>
      </c>
      <c r="T7" s="32">
        <f t="shared" si="7"/>
        <v>34700</v>
      </c>
      <c r="U7" s="22">
        <f t="shared" si="8"/>
        <v>-4</v>
      </c>
      <c r="V7" s="23">
        <f t="shared" si="2"/>
        <v>5</v>
      </c>
      <c r="W7" s="24">
        <f t="shared" si="3"/>
        <v>0</v>
      </c>
      <c r="Y7" s="8"/>
      <c r="Z7" s="46"/>
      <c r="AA7" s="38"/>
      <c r="AB7" s="38"/>
      <c r="AC7" s="38"/>
      <c r="AD7" s="42"/>
      <c r="AE7" s="52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4"/>
      <c r="AT7" s="8"/>
      <c r="AU7" s="46"/>
      <c r="AV7" s="38"/>
      <c r="AW7" s="38"/>
      <c r="AX7" s="38"/>
      <c r="AY7" s="42"/>
      <c r="AZ7" s="52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4"/>
      <c r="BO7" s="8"/>
      <c r="BP7" s="46"/>
      <c r="BQ7" s="38">
        <v>1</v>
      </c>
      <c r="BR7" s="38"/>
      <c r="BS7" s="38">
        <v>5</v>
      </c>
      <c r="BT7" s="42" t="s">
        <v>142</v>
      </c>
      <c r="BU7" s="52" t="s">
        <v>144</v>
      </c>
      <c r="BV7" s="53" t="s">
        <v>88</v>
      </c>
      <c r="BW7" s="53" t="s">
        <v>92</v>
      </c>
      <c r="BX7" s="53" t="s">
        <v>87</v>
      </c>
      <c r="BY7" s="53" t="s">
        <v>87</v>
      </c>
      <c r="BZ7" s="53"/>
      <c r="CA7" s="53"/>
      <c r="CB7" s="53"/>
      <c r="CC7" s="53"/>
      <c r="CD7" s="53"/>
      <c r="CE7" s="53"/>
      <c r="CF7" s="53"/>
      <c r="CG7" s="53"/>
      <c r="CH7" s="53"/>
      <c r="CI7" s="54"/>
    </row>
    <row r="8" spans="1:87" x14ac:dyDescent="0.4">
      <c r="A8" s="15" t="str">
        <f t="shared" si="9"/>
        <v>南</v>
      </c>
      <c r="B8" s="29">
        <f t="shared" si="10"/>
        <v>1</v>
      </c>
      <c r="C8" s="29">
        <f t="shared" si="11"/>
        <v>0</v>
      </c>
      <c r="D8" s="29">
        <f t="shared" si="12"/>
        <v>0</v>
      </c>
      <c r="E8" s="4" t="s">
        <v>149</v>
      </c>
      <c r="F8" s="8" t="s">
        <v>145</v>
      </c>
      <c r="G8" s="9">
        <v>64000</v>
      </c>
      <c r="H8" s="9"/>
      <c r="I8" s="10">
        <f t="shared" si="4"/>
        <v>0</v>
      </c>
      <c r="J8" s="32">
        <f t="shared" si="5"/>
        <v>94800</v>
      </c>
      <c r="K8" s="8" t="s">
        <v>146</v>
      </c>
      <c r="L8" s="9">
        <v>-40000</v>
      </c>
      <c r="M8" s="9"/>
      <c r="N8" s="10">
        <f t="shared" si="0"/>
        <v>0</v>
      </c>
      <c r="O8" s="32">
        <f t="shared" si="6"/>
        <v>-500</v>
      </c>
      <c r="P8" s="8" t="s">
        <v>146</v>
      </c>
      <c r="Q8" s="9">
        <v>-24000</v>
      </c>
      <c r="R8" s="9"/>
      <c r="S8" s="10">
        <f t="shared" si="1"/>
        <v>0</v>
      </c>
      <c r="T8" s="32">
        <f t="shared" si="7"/>
        <v>10700</v>
      </c>
      <c r="U8" s="22">
        <f t="shared" si="8"/>
        <v>60</v>
      </c>
      <c r="V8" s="23">
        <f t="shared" si="2"/>
        <v>-36</v>
      </c>
      <c r="W8" s="24">
        <f t="shared" si="3"/>
        <v>-24</v>
      </c>
      <c r="Y8" s="8"/>
      <c r="Z8" s="46"/>
      <c r="AA8" s="38"/>
      <c r="AB8" s="38"/>
      <c r="AC8" s="38">
        <v>26</v>
      </c>
      <c r="AD8" s="42" t="s">
        <v>142</v>
      </c>
      <c r="AE8" s="52" t="s">
        <v>127</v>
      </c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4"/>
      <c r="AT8" s="8"/>
      <c r="AU8" s="46"/>
      <c r="AV8" s="38"/>
      <c r="AW8" s="38"/>
      <c r="AX8" s="38"/>
      <c r="AY8" s="42"/>
      <c r="AZ8" s="52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4"/>
      <c r="BO8" s="8"/>
      <c r="BP8" s="46"/>
      <c r="BQ8" s="38"/>
      <c r="BR8" s="38">
        <v>1</v>
      </c>
      <c r="BS8" s="38"/>
      <c r="BT8" s="42"/>
      <c r="BU8" s="52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4"/>
    </row>
    <row r="9" spans="1:87" x14ac:dyDescent="0.4">
      <c r="A9" s="15" t="str">
        <f t="shared" si="9"/>
        <v/>
      </c>
      <c r="B9" s="29" t="str">
        <f t="shared" si="10"/>
        <v/>
      </c>
      <c r="C9" s="29" t="str">
        <f t="shared" si="11"/>
        <v/>
      </c>
      <c r="D9" s="29" t="str">
        <f t="shared" si="12"/>
        <v/>
      </c>
      <c r="E9" s="4"/>
      <c r="F9" s="8"/>
      <c r="G9" s="9"/>
      <c r="H9" s="9"/>
      <c r="I9" s="10" t="str">
        <f t="shared" si="4"/>
        <v/>
      </c>
      <c r="J9" s="32" t="str">
        <f t="shared" si="5"/>
        <v/>
      </c>
      <c r="K9" s="8"/>
      <c r="L9" s="9"/>
      <c r="M9" s="9"/>
      <c r="N9" s="10" t="str">
        <f t="shared" si="0"/>
        <v/>
      </c>
      <c r="O9" s="32" t="str">
        <f t="shared" si="6"/>
        <v/>
      </c>
      <c r="P9" s="8"/>
      <c r="Q9" s="9"/>
      <c r="R9" s="9"/>
      <c r="S9" s="10" t="str">
        <f t="shared" si="1"/>
        <v/>
      </c>
      <c r="T9" s="32" t="str">
        <f t="shared" si="7"/>
        <v/>
      </c>
      <c r="U9" s="22" t="str">
        <f t="shared" si="8"/>
        <v/>
      </c>
      <c r="V9" s="23" t="str">
        <f t="shared" si="2"/>
        <v/>
      </c>
      <c r="W9" s="24" t="str">
        <f t="shared" si="3"/>
        <v/>
      </c>
      <c r="Y9" s="8"/>
      <c r="Z9" s="46"/>
      <c r="AA9" s="38"/>
      <c r="AB9" s="38"/>
      <c r="AC9" s="38"/>
      <c r="AD9" s="42"/>
      <c r="AE9" s="52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4"/>
      <c r="AT9" s="8"/>
      <c r="AU9" s="46"/>
      <c r="AV9" s="38"/>
      <c r="AW9" s="38"/>
      <c r="AX9" s="38"/>
      <c r="AY9" s="42"/>
      <c r="AZ9" s="52"/>
      <c r="BA9" s="53"/>
      <c r="BB9" s="53"/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4"/>
      <c r="BO9" s="8"/>
      <c r="BP9" s="46"/>
      <c r="BQ9" s="38"/>
      <c r="BR9" s="38"/>
      <c r="BS9" s="38"/>
      <c r="BT9" s="42"/>
      <c r="BU9" s="52"/>
      <c r="BV9" s="53"/>
      <c r="BW9" s="53"/>
      <c r="BX9" s="53"/>
      <c r="BY9" s="53"/>
      <c r="BZ9" s="53"/>
      <c r="CA9" s="53"/>
      <c r="CB9" s="53"/>
      <c r="CC9" s="53"/>
      <c r="CD9" s="53"/>
      <c r="CE9" s="53"/>
      <c r="CF9" s="53"/>
      <c r="CG9" s="53"/>
      <c r="CH9" s="53"/>
      <c r="CI9" s="54"/>
    </row>
    <row r="10" spans="1:87" x14ac:dyDescent="0.4">
      <c r="A10" s="15" t="str">
        <f t="shared" si="9"/>
        <v/>
      </c>
      <c r="B10" s="29" t="str">
        <f t="shared" si="10"/>
        <v/>
      </c>
      <c r="C10" s="29" t="str">
        <f t="shared" si="11"/>
        <v/>
      </c>
      <c r="D10" s="29" t="str">
        <f t="shared" si="12"/>
        <v/>
      </c>
      <c r="E10" s="4"/>
      <c r="F10" s="8"/>
      <c r="G10" s="9"/>
      <c r="H10" s="9"/>
      <c r="I10" s="10" t="str">
        <f t="shared" si="4"/>
        <v/>
      </c>
      <c r="J10" s="32" t="str">
        <f t="shared" si="5"/>
        <v/>
      </c>
      <c r="K10" s="8"/>
      <c r="L10" s="9"/>
      <c r="M10" s="9"/>
      <c r="N10" s="10" t="str">
        <f t="shared" si="0"/>
        <v/>
      </c>
      <c r="O10" s="32" t="str">
        <f t="shared" si="6"/>
        <v/>
      </c>
      <c r="P10" s="8"/>
      <c r="Q10" s="9"/>
      <c r="R10" s="9"/>
      <c r="S10" s="10" t="str">
        <f t="shared" si="1"/>
        <v/>
      </c>
      <c r="T10" s="32" t="str">
        <f t="shared" si="7"/>
        <v/>
      </c>
      <c r="U10" s="22" t="str">
        <f t="shared" si="8"/>
        <v/>
      </c>
      <c r="V10" s="23" t="str">
        <f t="shared" si="2"/>
        <v/>
      </c>
      <c r="W10" s="24" t="str">
        <f t="shared" si="3"/>
        <v/>
      </c>
      <c r="Y10" s="8"/>
      <c r="Z10" s="46"/>
      <c r="AA10" s="38"/>
      <c r="AB10" s="38"/>
      <c r="AC10" s="38"/>
      <c r="AD10" s="42"/>
      <c r="AE10" s="52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4"/>
      <c r="AT10" s="8"/>
      <c r="AU10" s="46"/>
      <c r="AV10" s="38"/>
      <c r="AW10" s="38"/>
      <c r="AX10" s="38"/>
      <c r="AY10" s="42"/>
      <c r="AZ10" s="52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4"/>
      <c r="BO10" s="8"/>
      <c r="BP10" s="46"/>
      <c r="BQ10" s="38"/>
      <c r="BR10" s="38"/>
      <c r="BS10" s="38"/>
      <c r="BT10" s="42"/>
      <c r="BU10" s="52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4"/>
    </row>
    <row r="11" spans="1:87" x14ac:dyDescent="0.4">
      <c r="A11" s="15" t="str">
        <f t="shared" si="9"/>
        <v/>
      </c>
      <c r="B11" s="29" t="str">
        <f t="shared" si="10"/>
        <v/>
      </c>
      <c r="C11" s="29" t="str">
        <f t="shared" si="11"/>
        <v/>
      </c>
      <c r="D11" s="29" t="str">
        <f t="shared" si="12"/>
        <v/>
      </c>
      <c r="E11" s="4"/>
      <c r="F11" s="8"/>
      <c r="G11" s="9"/>
      <c r="H11" s="9"/>
      <c r="I11" s="10" t="str">
        <f t="shared" si="4"/>
        <v/>
      </c>
      <c r="J11" s="32" t="str">
        <f t="shared" si="5"/>
        <v/>
      </c>
      <c r="K11" s="8"/>
      <c r="L11" s="9"/>
      <c r="M11" s="9"/>
      <c r="N11" s="10" t="str">
        <f t="shared" si="0"/>
        <v/>
      </c>
      <c r="O11" s="32" t="str">
        <f t="shared" si="6"/>
        <v/>
      </c>
      <c r="P11" s="8"/>
      <c r="Q11" s="9"/>
      <c r="R11" s="9"/>
      <c r="S11" s="10" t="str">
        <f t="shared" si="1"/>
        <v/>
      </c>
      <c r="T11" s="32" t="str">
        <f t="shared" si="7"/>
        <v/>
      </c>
      <c r="U11" s="22" t="str">
        <f t="shared" si="8"/>
        <v/>
      </c>
      <c r="V11" s="23" t="str">
        <f t="shared" si="2"/>
        <v/>
      </c>
      <c r="W11" s="24" t="str">
        <f t="shared" si="3"/>
        <v/>
      </c>
      <c r="Y11" s="8"/>
      <c r="Z11" s="46"/>
      <c r="AA11" s="38"/>
      <c r="AB11" s="38"/>
      <c r="AC11" s="38"/>
      <c r="AD11" s="42"/>
      <c r="AE11" s="52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4"/>
      <c r="AT11" s="8"/>
      <c r="AU11" s="46"/>
      <c r="AV11" s="38"/>
      <c r="AW11" s="38"/>
      <c r="AX11" s="38"/>
      <c r="AY11" s="42"/>
      <c r="AZ11" s="52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4"/>
      <c r="BO11" s="8"/>
      <c r="BP11" s="46"/>
      <c r="BQ11" s="38"/>
      <c r="BR11" s="38"/>
      <c r="BS11" s="38"/>
      <c r="BT11" s="42"/>
      <c r="BU11" s="52"/>
      <c r="BV11" s="53"/>
      <c r="BW11" s="53"/>
      <c r="BX11" s="53"/>
      <c r="BY11" s="53"/>
      <c r="BZ11" s="53"/>
      <c r="CA11" s="53"/>
      <c r="CB11" s="53"/>
      <c r="CC11" s="53"/>
      <c r="CD11" s="53"/>
      <c r="CE11" s="53"/>
      <c r="CF11" s="53"/>
      <c r="CG11" s="53"/>
      <c r="CH11" s="53"/>
      <c r="CI11" s="54"/>
    </row>
    <row r="12" spans="1:87" x14ac:dyDescent="0.4">
      <c r="A12" s="15" t="str">
        <f t="shared" si="9"/>
        <v/>
      </c>
      <c r="B12" s="29" t="str">
        <f t="shared" si="10"/>
        <v/>
      </c>
      <c r="C12" s="29" t="str">
        <f t="shared" si="11"/>
        <v/>
      </c>
      <c r="D12" s="29" t="str">
        <f t="shared" si="12"/>
        <v/>
      </c>
      <c r="E12" s="4"/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0"/>
        <v/>
      </c>
      <c r="O12" s="32" t="str">
        <f t="shared" si="6"/>
        <v/>
      </c>
      <c r="P12" s="8"/>
      <c r="Q12" s="9"/>
      <c r="R12" s="9"/>
      <c r="S12" s="10" t="str">
        <f t="shared" si="1"/>
        <v/>
      </c>
      <c r="T12" s="32" t="str">
        <f t="shared" si="7"/>
        <v/>
      </c>
      <c r="U12" s="22" t="str">
        <f t="shared" si="8"/>
        <v/>
      </c>
      <c r="V12" s="23" t="str">
        <f t="shared" si="2"/>
        <v/>
      </c>
      <c r="W12" s="24" t="str">
        <f t="shared" si="3"/>
        <v/>
      </c>
      <c r="Y12" s="8"/>
      <c r="Z12" s="46"/>
      <c r="AA12" s="38"/>
      <c r="AB12" s="38"/>
      <c r="AC12" s="38"/>
      <c r="AD12" s="42"/>
      <c r="AE12" s="52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4"/>
      <c r="AT12" s="8"/>
      <c r="AU12" s="46"/>
      <c r="AV12" s="38"/>
      <c r="AW12" s="38"/>
      <c r="AX12" s="38"/>
      <c r="AY12" s="42"/>
      <c r="AZ12" s="52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4"/>
      <c r="BO12" s="8"/>
      <c r="BP12" s="46"/>
      <c r="BQ12" s="38"/>
      <c r="BR12" s="38"/>
      <c r="BS12" s="38"/>
      <c r="BT12" s="42"/>
      <c r="BU12" s="52"/>
      <c r="BV12" s="53"/>
      <c r="BW12" s="53"/>
      <c r="BX12" s="53"/>
      <c r="BY12" s="53"/>
      <c r="BZ12" s="53"/>
      <c r="CA12" s="53"/>
      <c r="CB12" s="53"/>
      <c r="CC12" s="53"/>
      <c r="CD12" s="53"/>
      <c r="CE12" s="53"/>
      <c r="CF12" s="53"/>
      <c r="CG12" s="53"/>
      <c r="CH12" s="53"/>
      <c r="CI12" s="54"/>
    </row>
    <row r="13" spans="1:87" x14ac:dyDescent="0.4">
      <c r="A13" s="15" t="str">
        <f t="shared" si="9"/>
        <v/>
      </c>
      <c r="B13" s="29" t="str">
        <f t="shared" si="10"/>
        <v/>
      </c>
      <c r="C13" s="29" t="str">
        <f t="shared" si="11"/>
        <v/>
      </c>
      <c r="D13" s="29" t="str">
        <f t="shared" si="12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0"/>
        <v/>
      </c>
      <c r="O13" s="32" t="str">
        <f t="shared" si="6"/>
        <v/>
      </c>
      <c r="P13" s="8"/>
      <c r="Q13" s="9"/>
      <c r="R13" s="9"/>
      <c r="S13" s="10" t="str">
        <f t="shared" si="1"/>
        <v/>
      </c>
      <c r="T13" s="32" t="str">
        <f t="shared" si="7"/>
        <v/>
      </c>
      <c r="U13" s="22" t="str">
        <f t="shared" si="8"/>
        <v/>
      </c>
      <c r="V13" s="23" t="str">
        <f t="shared" si="2"/>
        <v/>
      </c>
      <c r="W13" s="24" t="str">
        <f t="shared" si="3"/>
        <v/>
      </c>
      <c r="Y13" s="8"/>
      <c r="Z13" s="46"/>
      <c r="AA13" s="38"/>
      <c r="AB13" s="38"/>
      <c r="AC13" s="38"/>
      <c r="AD13" s="42"/>
      <c r="AE13" s="52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4"/>
      <c r="AT13" s="8"/>
      <c r="AU13" s="46"/>
      <c r="AV13" s="38"/>
      <c r="AW13" s="38"/>
      <c r="AX13" s="38"/>
      <c r="AY13" s="42"/>
      <c r="AZ13" s="52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4"/>
      <c r="BO13" s="8"/>
      <c r="BP13" s="46"/>
      <c r="BQ13" s="38"/>
      <c r="BR13" s="38"/>
      <c r="BS13" s="38"/>
      <c r="BT13" s="42"/>
      <c r="BU13" s="52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  <c r="CG13" s="53"/>
      <c r="CH13" s="53"/>
      <c r="CI13" s="54"/>
    </row>
    <row r="14" spans="1:87" x14ac:dyDescent="0.4">
      <c r="A14" s="15" t="str">
        <f t="shared" si="9"/>
        <v/>
      </c>
      <c r="B14" s="29" t="str">
        <f t="shared" si="10"/>
        <v/>
      </c>
      <c r="C14" s="29" t="str">
        <f t="shared" si="11"/>
        <v/>
      </c>
      <c r="D14" s="29" t="str">
        <f t="shared" si="12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0"/>
        <v/>
      </c>
      <c r="O14" s="32" t="str">
        <f t="shared" si="6"/>
        <v/>
      </c>
      <c r="P14" s="8"/>
      <c r="Q14" s="9"/>
      <c r="R14" s="9"/>
      <c r="S14" s="10" t="str">
        <f t="shared" si="1"/>
        <v/>
      </c>
      <c r="T14" s="32" t="str">
        <f t="shared" si="7"/>
        <v/>
      </c>
      <c r="U14" s="22" t="str">
        <f t="shared" si="8"/>
        <v/>
      </c>
      <c r="V14" s="23" t="str">
        <f t="shared" si="2"/>
        <v/>
      </c>
      <c r="W14" s="24" t="str">
        <f t="shared" si="3"/>
        <v/>
      </c>
      <c r="Y14" s="8"/>
      <c r="Z14" s="46"/>
      <c r="AA14" s="38"/>
      <c r="AB14" s="38"/>
      <c r="AC14" s="38"/>
      <c r="AD14" s="42"/>
      <c r="AE14" s="52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4"/>
      <c r="AT14" s="8"/>
      <c r="AU14" s="46"/>
      <c r="AV14" s="38"/>
      <c r="AW14" s="38"/>
      <c r="AX14" s="38"/>
      <c r="AY14" s="42"/>
      <c r="AZ14" s="52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4"/>
      <c r="BO14" s="8"/>
      <c r="BP14" s="46"/>
      <c r="BQ14" s="38"/>
      <c r="BR14" s="38"/>
      <c r="BS14" s="38"/>
      <c r="BT14" s="42"/>
      <c r="BU14" s="52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4"/>
    </row>
    <row r="15" spans="1:87" x14ac:dyDescent="0.4">
      <c r="A15" s="15" t="str">
        <f t="shared" si="9"/>
        <v/>
      </c>
      <c r="B15" s="29" t="str">
        <f t="shared" si="10"/>
        <v/>
      </c>
      <c r="C15" s="29" t="str">
        <f t="shared" si="11"/>
        <v/>
      </c>
      <c r="D15" s="29" t="str">
        <f t="shared" si="12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0"/>
        <v/>
      </c>
      <c r="O15" s="32" t="str">
        <f t="shared" si="6"/>
        <v/>
      </c>
      <c r="P15" s="8"/>
      <c r="Q15" s="9"/>
      <c r="R15" s="9"/>
      <c r="S15" s="10" t="str">
        <f t="shared" si="1"/>
        <v/>
      </c>
      <c r="T15" s="32" t="str">
        <f t="shared" si="7"/>
        <v/>
      </c>
      <c r="U15" s="22" t="str">
        <f t="shared" si="8"/>
        <v/>
      </c>
      <c r="V15" s="23" t="str">
        <f t="shared" si="2"/>
        <v/>
      </c>
      <c r="W15" s="24" t="str">
        <f t="shared" si="3"/>
        <v/>
      </c>
      <c r="Y15" s="8"/>
      <c r="Z15" s="46"/>
      <c r="AA15" s="38"/>
      <c r="AB15" s="38"/>
      <c r="AC15" s="38"/>
      <c r="AD15" s="42"/>
      <c r="AE15" s="52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4"/>
      <c r="AT15" s="8"/>
      <c r="AU15" s="46"/>
      <c r="AV15" s="38"/>
      <c r="AW15" s="38"/>
      <c r="AX15" s="38"/>
      <c r="AY15" s="42"/>
      <c r="AZ15" s="52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4"/>
      <c r="BO15" s="8"/>
      <c r="BP15" s="46"/>
      <c r="BQ15" s="38"/>
      <c r="BR15" s="38"/>
      <c r="BS15" s="38"/>
      <c r="BT15" s="42"/>
      <c r="BU15" s="52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  <c r="CG15" s="53"/>
      <c r="CH15" s="53"/>
      <c r="CI15" s="54"/>
    </row>
    <row r="16" spans="1:87" x14ac:dyDescent="0.4">
      <c r="A16" s="15" t="str">
        <f t="shared" si="9"/>
        <v/>
      </c>
      <c r="B16" s="29" t="str">
        <f t="shared" si="10"/>
        <v/>
      </c>
      <c r="C16" s="29" t="str">
        <f t="shared" si="11"/>
        <v/>
      </c>
      <c r="D16" s="29" t="str">
        <f t="shared" si="12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0"/>
        <v/>
      </c>
      <c r="O16" s="32" t="str">
        <f t="shared" si="6"/>
        <v/>
      </c>
      <c r="P16" s="8"/>
      <c r="Q16" s="9"/>
      <c r="R16" s="9"/>
      <c r="S16" s="10" t="str">
        <f t="shared" si="1"/>
        <v/>
      </c>
      <c r="T16" s="32" t="str">
        <f t="shared" si="7"/>
        <v/>
      </c>
      <c r="U16" s="22" t="str">
        <f t="shared" si="8"/>
        <v/>
      </c>
      <c r="V16" s="23" t="str">
        <f t="shared" si="2"/>
        <v/>
      </c>
      <c r="W16" s="24" t="str">
        <f t="shared" si="3"/>
        <v/>
      </c>
      <c r="Y16" s="8"/>
      <c r="Z16" s="46"/>
      <c r="AA16" s="38"/>
      <c r="AB16" s="38"/>
      <c r="AC16" s="38"/>
      <c r="AD16" s="42"/>
      <c r="AE16" s="52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4"/>
      <c r="AT16" s="8"/>
      <c r="AU16" s="46"/>
      <c r="AV16" s="38"/>
      <c r="AW16" s="38"/>
      <c r="AX16" s="38"/>
      <c r="AY16" s="42"/>
      <c r="AZ16" s="52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4"/>
      <c r="BO16" s="8"/>
      <c r="BP16" s="46"/>
      <c r="BQ16" s="38"/>
      <c r="BR16" s="38"/>
      <c r="BS16" s="38"/>
      <c r="BT16" s="42"/>
      <c r="BU16" s="52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4"/>
    </row>
    <row r="17" spans="1:87" x14ac:dyDescent="0.4">
      <c r="A17" s="15" t="str">
        <f t="shared" si="9"/>
        <v/>
      </c>
      <c r="B17" s="29" t="str">
        <f t="shared" si="10"/>
        <v/>
      </c>
      <c r="C17" s="29" t="str">
        <f t="shared" si="11"/>
        <v/>
      </c>
      <c r="D17" s="29" t="str">
        <f t="shared" si="12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0"/>
        <v/>
      </c>
      <c r="O17" s="32" t="str">
        <f t="shared" si="6"/>
        <v/>
      </c>
      <c r="P17" s="8"/>
      <c r="Q17" s="9"/>
      <c r="R17" s="9"/>
      <c r="S17" s="10" t="str">
        <f t="shared" si="1"/>
        <v/>
      </c>
      <c r="T17" s="32" t="str">
        <f t="shared" si="7"/>
        <v/>
      </c>
      <c r="U17" s="22" t="str">
        <f t="shared" si="8"/>
        <v/>
      </c>
      <c r="V17" s="23" t="str">
        <f t="shared" si="2"/>
        <v/>
      </c>
      <c r="W17" s="24" t="str">
        <f t="shared" si="3"/>
        <v/>
      </c>
      <c r="Y17" s="8"/>
      <c r="Z17" s="46"/>
      <c r="AA17" s="38"/>
      <c r="AB17" s="38"/>
      <c r="AC17" s="38"/>
      <c r="AD17" s="42"/>
      <c r="AE17" s="52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4"/>
      <c r="AT17" s="8"/>
      <c r="AU17" s="46"/>
      <c r="AV17" s="38"/>
      <c r="AW17" s="38"/>
      <c r="AX17" s="38"/>
      <c r="AY17" s="42"/>
      <c r="AZ17" s="52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4"/>
      <c r="BO17" s="8"/>
      <c r="BP17" s="46"/>
      <c r="BQ17" s="38"/>
      <c r="BR17" s="38"/>
      <c r="BS17" s="38"/>
      <c r="BT17" s="42"/>
      <c r="BU17" s="52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  <c r="CG17" s="53"/>
      <c r="CH17" s="53"/>
      <c r="CI17" s="54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46"/>
      <c r="AA18" s="38"/>
      <c r="AB18" s="38"/>
      <c r="AC18" s="38"/>
      <c r="AD18" s="42"/>
      <c r="AE18" s="52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4"/>
      <c r="AT18" s="8"/>
      <c r="AU18" s="46"/>
      <c r="AV18" s="38"/>
      <c r="AW18" s="38"/>
      <c r="AX18" s="38"/>
      <c r="AY18" s="42"/>
      <c r="AZ18" s="52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4"/>
      <c r="BO18" s="8"/>
      <c r="BP18" s="46"/>
      <c r="BQ18" s="38"/>
      <c r="BR18" s="38"/>
      <c r="BS18" s="38"/>
      <c r="BT18" s="42"/>
      <c r="BU18" s="52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4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46"/>
      <c r="AA19" s="38"/>
      <c r="AB19" s="38"/>
      <c r="AC19" s="38"/>
      <c r="AD19" s="42"/>
      <c r="AE19" s="52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4"/>
      <c r="AT19" s="8"/>
      <c r="AU19" s="46"/>
      <c r="AV19" s="38"/>
      <c r="AW19" s="38"/>
      <c r="AX19" s="38"/>
      <c r="AY19" s="42"/>
      <c r="AZ19" s="52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4"/>
      <c r="BO19" s="8"/>
      <c r="BP19" s="46"/>
      <c r="BQ19" s="38"/>
      <c r="BR19" s="38"/>
      <c r="BS19" s="38"/>
      <c r="BT19" s="42"/>
      <c r="BU19" s="52"/>
      <c r="BV19" s="53"/>
      <c r="BW19" s="53"/>
      <c r="BX19" s="53"/>
      <c r="BY19" s="53"/>
      <c r="BZ19" s="53"/>
      <c r="CA19" s="53"/>
      <c r="CB19" s="53"/>
      <c r="CC19" s="53"/>
      <c r="CD19" s="53"/>
      <c r="CE19" s="53"/>
      <c r="CF19" s="53"/>
      <c r="CG19" s="53"/>
      <c r="CH19" s="53"/>
      <c r="CI19" s="54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46"/>
      <c r="AA20" s="38"/>
      <c r="AB20" s="38"/>
      <c r="AC20" s="38"/>
      <c r="AD20" s="42"/>
      <c r="AE20" s="52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4"/>
      <c r="AT20" s="8"/>
      <c r="AU20" s="46"/>
      <c r="AV20" s="38"/>
      <c r="AW20" s="38"/>
      <c r="AX20" s="38"/>
      <c r="AY20" s="42"/>
      <c r="AZ20" s="52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4"/>
      <c r="BO20" s="8"/>
      <c r="BP20" s="46"/>
      <c r="BQ20" s="38"/>
      <c r="BR20" s="38"/>
      <c r="BS20" s="38"/>
      <c r="BT20" s="42"/>
      <c r="BU20" s="52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4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46"/>
      <c r="AA21" s="38"/>
      <c r="AB21" s="38"/>
      <c r="AC21" s="38"/>
      <c r="AD21" s="42"/>
      <c r="AE21" s="52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4"/>
      <c r="AT21" s="8"/>
      <c r="AU21" s="46"/>
      <c r="AV21" s="38"/>
      <c r="AW21" s="38"/>
      <c r="AX21" s="38"/>
      <c r="AY21" s="42"/>
      <c r="AZ21" s="52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4"/>
      <c r="BO21" s="8"/>
      <c r="BP21" s="46"/>
      <c r="BQ21" s="38"/>
      <c r="BR21" s="38"/>
      <c r="BS21" s="38"/>
      <c r="BT21" s="42"/>
      <c r="BU21" s="52"/>
      <c r="BV21" s="53"/>
      <c r="BW21" s="53"/>
      <c r="BX21" s="53"/>
      <c r="BY21" s="53"/>
      <c r="BZ21" s="53"/>
      <c r="CA21" s="53"/>
      <c r="CB21" s="53"/>
      <c r="CC21" s="53"/>
      <c r="CD21" s="53"/>
      <c r="CE21" s="53"/>
      <c r="CF21" s="53"/>
      <c r="CG21" s="53"/>
      <c r="CH21" s="53"/>
      <c r="CI21" s="54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46"/>
      <c r="AA22" s="38"/>
      <c r="AB22" s="38"/>
      <c r="AC22" s="38"/>
      <c r="AD22" s="42"/>
      <c r="AE22" s="52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4"/>
      <c r="AT22" s="8"/>
      <c r="AU22" s="46"/>
      <c r="AV22" s="38"/>
      <c r="AW22" s="38"/>
      <c r="AX22" s="38"/>
      <c r="AY22" s="42"/>
      <c r="AZ22" s="52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4"/>
      <c r="BO22" s="8"/>
      <c r="BP22" s="46"/>
      <c r="BQ22" s="38"/>
      <c r="BR22" s="38"/>
      <c r="BS22" s="38"/>
      <c r="BT22" s="42"/>
      <c r="BU22" s="52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4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46"/>
      <c r="AA23" s="38"/>
      <c r="AB23" s="38"/>
      <c r="AC23" s="38"/>
      <c r="AD23" s="42"/>
      <c r="AE23" s="52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4"/>
      <c r="AT23" s="8"/>
      <c r="AU23" s="46"/>
      <c r="AV23" s="38"/>
      <c r="AW23" s="38"/>
      <c r="AX23" s="38"/>
      <c r="AY23" s="42"/>
      <c r="AZ23" s="52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4"/>
      <c r="BO23" s="8"/>
      <c r="BP23" s="46"/>
      <c r="BQ23" s="38"/>
      <c r="BR23" s="38"/>
      <c r="BS23" s="38"/>
      <c r="BT23" s="42"/>
      <c r="BU23" s="52"/>
      <c r="BV23" s="53"/>
      <c r="BW23" s="53"/>
      <c r="BX23" s="53"/>
      <c r="BY23" s="53"/>
      <c r="BZ23" s="53"/>
      <c r="CA23" s="53"/>
      <c r="CB23" s="53"/>
      <c r="CC23" s="53"/>
      <c r="CD23" s="53"/>
      <c r="CE23" s="53"/>
      <c r="CF23" s="53"/>
      <c r="CG23" s="53"/>
      <c r="CH23" s="53"/>
      <c r="CI23" s="54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46"/>
      <c r="AA24" s="38"/>
      <c r="AB24" s="38"/>
      <c r="AC24" s="38"/>
      <c r="AD24" s="42"/>
      <c r="AE24" s="52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4"/>
      <c r="AT24" s="8"/>
      <c r="AU24" s="46"/>
      <c r="AV24" s="38"/>
      <c r="AW24" s="38"/>
      <c r="AX24" s="38"/>
      <c r="AY24" s="42"/>
      <c r="AZ24" s="52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4"/>
      <c r="BO24" s="8"/>
      <c r="BP24" s="46"/>
      <c r="BQ24" s="38"/>
      <c r="BR24" s="38"/>
      <c r="BS24" s="38"/>
      <c r="BT24" s="42"/>
      <c r="BU24" s="52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  <c r="CG24" s="53"/>
      <c r="CH24" s="53"/>
      <c r="CI24" s="54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46"/>
      <c r="AA25" s="38"/>
      <c r="AB25" s="38"/>
      <c r="AC25" s="38"/>
      <c r="AD25" s="42"/>
      <c r="AE25" s="52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4"/>
      <c r="AT25" s="8"/>
      <c r="AU25" s="46"/>
      <c r="AV25" s="38"/>
      <c r="AW25" s="38"/>
      <c r="AX25" s="38"/>
      <c r="AY25" s="42"/>
      <c r="AZ25" s="52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4"/>
      <c r="BO25" s="8"/>
      <c r="BP25" s="46"/>
      <c r="BQ25" s="38"/>
      <c r="BR25" s="38"/>
      <c r="BS25" s="38"/>
      <c r="BT25" s="42"/>
      <c r="BU25" s="52"/>
      <c r="BV25" s="53"/>
      <c r="BW25" s="53"/>
      <c r="BX25" s="53"/>
      <c r="BY25" s="53"/>
      <c r="BZ25" s="53"/>
      <c r="CA25" s="53"/>
      <c r="CB25" s="53"/>
      <c r="CC25" s="53"/>
      <c r="CD25" s="53"/>
      <c r="CE25" s="53"/>
      <c r="CF25" s="53"/>
      <c r="CG25" s="53"/>
      <c r="CH25" s="53"/>
      <c r="CI25" s="54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46"/>
      <c r="AA26" s="38"/>
      <c r="AB26" s="38"/>
      <c r="AC26" s="38"/>
      <c r="AD26" s="42"/>
      <c r="AE26" s="52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4"/>
      <c r="AT26" s="8"/>
      <c r="AU26" s="46"/>
      <c r="AV26" s="38"/>
      <c r="AW26" s="38"/>
      <c r="AX26" s="38"/>
      <c r="AY26" s="42"/>
      <c r="AZ26" s="52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4"/>
      <c r="BO26" s="8"/>
      <c r="BP26" s="46"/>
      <c r="BQ26" s="38"/>
      <c r="BR26" s="38"/>
      <c r="BS26" s="38"/>
      <c r="BT26" s="42"/>
      <c r="BU26" s="52"/>
      <c r="BV26" s="53"/>
      <c r="BW26" s="53"/>
      <c r="BX26" s="53"/>
      <c r="BY26" s="53"/>
      <c r="BZ26" s="53"/>
      <c r="CA26" s="53"/>
      <c r="CB26" s="53"/>
      <c r="CC26" s="53"/>
      <c r="CD26" s="53"/>
      <c r="CE26" s="53"/>
      <c r="CF26" s="53"/>
      <c r="CG26" s="53"/>
      <c r="CH26" s="53"/>
      <c r="CI26" s="54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46"/>
      <c r="AA27" s="38"/>
      <c r="AB27" s="38"/>
      <c r="AC27" s="38"/>
      <c r="AD27" s="42"/>
      <c r="AE27" s="52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4"/>
      <c r="AT27" s="8"/>
      <c r="AU27" s="46"/>
      <c r="AV27" s="38"/>
      <c r="AW27" s="38"/>
      <c r="AX27" s="38"/>
      <c r="AY27" s="42"/>
      <c r="AZ27" s="52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4"/>
      <c r="BO27" s="8"/>
      <c r="BP27" s="46"/>
      <c r="BQ27" s="38"/>
      <c r="BR27" s="38"/>
      <c r="BS27" s="38"/>
      <c r="BT27" s="42"/>
      <c r="BU27" s="52"/>
      <c r="BV27" s="53"/>
      <c r="BW27" s="53"/>
      <c r="BX27" s="53"/>
      <c r="BY27" s="53"/>
      <c r="BZ27" s="53"/>
      <c r="CA27" s="53"/>
      <c r="CB27" s="53"/>
      <c r="CC27" s="53"/>
      <c r="CD27" s="53"/>
      <c r="CE27" s="53"/>
      <c r="CF27" s="53"/>
      <c r="CG27" s="53"/>
      <c r="CH27" s="53"/>
      <c r="CI27" s="54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46"/>
      <c r="AA28" s="38"/>
      <c r="AB28" s="38"/>
      <c r="AC28" s="38"/>
      <c r="AD28" s="42"/>
      <c r="AE28" s="52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4"/>
      <c r="AT28" s="8"/>
      <c r="AU28" s="46"/>
      <c r="AV28" s="38"/>
      <c r="AW28" s="38"/>
      <c r="AX28" s="38"/>
      <c r="AY28" s="42"/>
      <c r="AZ28" s="52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4"/>
      <c r="BO28" s="8"/>
      <c r="BP28" s="46"/>
      <c r="BQ28" s="38"/>
      <c r="BR28" s="38"/>
      <c r="BS28" s="38"/>
      <c r="BT28" s="42"/>
      <c r="BU28" s="52"/>
      <c r="BV28" s="53"/>
      <c r="BW28" s="53"/>
      <c r="BX28" s="53"/>
      <c r="BY28" s="53"/>
      <c r="BZ28" s="53"/>
      <c r="CA28" s="53"/>
      <c r="CB28" s="53"/>
      <c r="CC28" s="53"/>
      <c r="CD28" s="53"/>
      <c r="CE28" s="53"/>
      <c r="CF28" s="53"/>
      <c r="CG28" s="53"/>
      <c r="CH28" s="53"/>
      <c r="CI28" s="54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46"/>
      <c r="AA29" s="38"/>
      <c r="AB29" s="38"/>
      <c r="AC29" s="38"/>
      <c r="AD29" s="42"/>
      <c r="AE29" s="52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4"/>
      <c r="AT29" s="8"/>
      <c r="AU29" s="46"/>
      <c r="AV29" s="38"/>
      <c r="AW29" s="38"/>
      <c r="AX29" s="38"/>
      <c r="AY29" s="42"/>
      <c r="AZ29" s="52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4"/>
      <c r="BO29" s="8"/>
      <c r="BP29" s="46"/>
      <c r="BQ29" s="38"/>
      <c r="BR29" s="38"/>
      <c r="BS29" s="38"/>
      <c r="BT29" s="42"/>
      <c r="BU29" s="52"/>
      <c r="BV29" s="53"/>
      <c r="BW29" s="53"/>
      <c r="BX29" s="53"/>
      <c r="BY29" s="53"/>
      <c r="BZ29" s="53"/>
      <c r="CA29" s="53"/>
      <c r="CB29" s="53"/>
      <c r="CC29" s="53"/>
      <c r="CD29" s="53"/>
      <c r="CE29" s="53"/>
      <c r="CF29" s="53"/>
      <c r="CG29" s="53"/>
      <c r="CH29" s="53"/>
      <c r="CI29" s="54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47"/>
      <c r="AA30" s="39"/>
      <c r="AB30" s="39"/>
      <c r="AC30" s="39"/>
      <c r="AD30" s="43"/>
      <c r="AE30" s="55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7"/>
      <c r="AT30" s="11"/>
      <c r="AU30" s="47"/>
      <c r="AV30" s="39"/>
      <c r="AW30" s="39"/>
      <c r="AX30" s="39"/>
      <c r="AY30" s="43"/>
      <c r="AZ30" s="55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7"/>
      <c r="BO30" s="11"/>
      <c r="BP30" s="47"/>
      <c r="BQ30" s="39"/>
      <c r="BR30" s="39"/>
      <c r="BS30" s="39"/>
      <c r="BT30" s="43"/>
      <c r="BU30" s="55"/>
      <c r="BV30" s="56"/>
      <c r="BW30" s="56"/>
      <c r="BX30" s="56"/>
      <c r="BY30" s="56"/>
      <c r="BZ30" s="56"/>
      <c r="CA30" s="56"/>
      <c r="CB30" s="56"/>
      <c r="CC30" s="56"/>
      <c r="CD30" s="56"/>
      <c r="CE30" s="56"/>
      <c r="CF30" s="56"/>
      <c r="CG30" s="56"/>
      <c r="CH30" s="56"/>
      <c r="CI30" s="57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AC1175D5-4220-4E9A-8F03-28750976A2FE}">
      <formula1>$U$2:$W$2</formula1>
    </dataValidation>
    <dataValidation type="list" showInputMessage="1" showErrorMessage="1" sqref="K4:K30 P4:P30 F4:F30" xr:uid="{E0601F78-ABB9-4AF4-AA33-13647296F91E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798D0-1417-40FF-97F8-6B1BEB5D1702}">
  <sheetPr codeName="Sheet10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37" customWidth="1"/>
    <col min="31" max="45" width="3.5" style="37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6"/>
  </cols>
  <sheetData>
    <row r="1" spans="1:87" x14ac:dyDescent="0.4">
      <c r="A1" s="76" t="s">
        <v>0</v>
      </c>
      <c r="B1" s="78" t="s">
        <v>2</v>
      </c>
      <c r="C1" s="78" t="s">
        <v>1</v>
      </c>
      <c r="D1" s="78" t="s">
        <v>22</v>
      </c>
      <c r="E1" s="80" t="s">
        <v>3</v>
      </c>
      <c r="F1" s="71" t="s">
        <v>139</v>
      </c>
      <c r="G1" s="72"/>
      <c r="H1" s="72"/>
      <c r="I1" s="73"/>
      <c r="J1" s="74"/>
      <c r="K1" s="71" t="s">
        <v>148</v>
      </c>
      <c r="L1" s="72"/>
      <c r="M1" s="72"/>
      <c r="N1" s="73"/>
      <c r="O1" s="74"/>
      <c r="P1" s="71" t="s">
        <v>153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75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75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りくと</v>
      </c>
      <c r="BP1" s="75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7"/>
      <c r="B2" s="79"/>
      <c r="C2" s="79"/>
      <c r="D2" s="79"/>
      <c r="E2" s="81"/>
      <c r="F2" s="1" t="s">
        <v>5</v>
      </c>
      <c r="G2" s="2" t="s">
        <v>9</v>
      </c>
      <c r="H2" s="2" t="s">
        <v>23</v>
      </c>
      <c r="I2" s="68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68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68" t="s">
        <v>7</v>
      </c>
      <c r="T2" s="6" t="s">
        <v>4</v>
      </c>
      <c r="U2" s="67" t="str">
        <f>$F$1</f>
        <v>だいち</v>
      </c>
      <c r="V2" s="68" t="str">
        <f>$K$1</f>
        <v>れんたろう</v>
      </c>
      <c r="W2" s="18" t="str">
        <f>$P$1</f>
        <v>りくと</v>
      </c>
      <c r="Y2" s="64" t="s">
        <v>24</v>
      </c>
      <c r="Z2" s="69" t="s">
        <v>27</v>
      </c>
      <c r="AA2" s="65" t="s">
        <v>25</v>
      </c>
      <c r="AB2" s="65" t="s">
        <v>137</v>
      </c>
      <c r="AC2" s="65" t="s">
        <v>19</v>
      </c>
      <c r="AD2" s="66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64" t="s">
        <v>24</v>
      </c>
      <c r="AU2" s="69" t="s">
        <v>27</v>
      </c>
      <c r="AV2" s="65" t="s">
        <v>25</v>
      </c>
      <c r="AW2" s="65" t="s">
        <v>138</v>
      </c>
      <c r="AX2" s="65" t="s">
        <v>19</v>
      </c>
      <c r="AY2" s="66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64" t="s">
        <v>24</v>
      </c>
      <c r="BP2" s="69" t="s">
        <v>27</v>
      </c>
      <c r="BQ2" s="65" t="s">
        <v>25</v>
      </c>
      <c r="BR2" s="65" t="s">
        <v>138</v>
      </c>
      <c r="BS2" s="65" t="s">
        <v>19</v>
      </c>
      <c r="BT2" s="66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45"/>
      <c r="AA3" s="40"/>
      <c r="AB3" s="40"/>
      <c r="AC3" s="40"/>
      <c r="AD3" s="41"/>
      <c r="AE3" s="49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1"/>
      <c r="AT3" s="7"/>
      <c r="AU3" s="45"/>
      <c r="AV3" s="40"/>
      <c r="AW3" s="40"/>
      <c r="AX3" s="40"/>
      <c r="AY3" s="41"/>
      <c r="AZ3" s="49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1"/>
      <c r="BO3" s="7"/>
      <c r="BP3" s="45"/>
      <c r="BQ3" s="40"/>
      <c r="BR3" s="40"/>
      <c r="BS3" s="40"/>
      <c r="BT3" s="41"/>
      <c r="BU3" s="49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1"/>
    </row>
    <row r="4" spans="1:87" x14ac:dyDescent="0.4">
      <c r="A4" s="15" t="s">
        <v>8</v>
      </c>
      <c r="B4" s="29">
        <v>1</v>
      </c>
      <c r="C4" s="29">
        <v>0</v>
      </c>
      <c r="D4" s="29">
        <v>0</v>
      </c>
      <c r="E4" s="4" t="s">
        <v>152</v>
      </c>
      <c r="F4" s="8" t="s">
        <v>140</v>
      </c>
      <c r="G4" s="9">
        <v>12000</v>
      </c>
      <c r="H4" s="9"/>
      <c r="I4" s="10">
        <f>_xlfn.SWITCH(F4,"ロン",$C4*1000,"ツモ",$C4*1000,"放銃",$C4*-1000,"ツモ支払",$C4*-500,"")</f>
        <v>0</v>
      </c>
      <c r="J4" s="32">
        <f>IF(COUNTA($F4,$K4,$P4)&gt;0,J3+SUM(G4:I4),"")</f>
        <v>47000</v>
      </c>
      <c r="K4" s="8"/>
      <c r="L4" s="9"/>
      <c r="M4" s="9"/>
      <c r="N4" s="10" t="str">
        <f t="shared" ref="N4:N30" si="0">_xlfn.SWITCH(K4,"ロン",$C4*1000,"ツモ",$C4*1000,"放銃",$C4*-1000,"ツモ支払",$C4*-500,"")</f>
        <v/>
      </c>
      <c r="O4" s="32">
        <f>IF(COUNTA($F4,$K4,$P4)&gt;0,O3+SUM(L4:N4),"")</f>
        <v>35000</v>
      </c>
      <c r="P4" s="8" t="s">
        <v>141</v>
      </c>
      <c r="Q4" s="9">
        <v>-12000</v>
      </c>
      <c r="R4" s="9"/>
      <c r="S4" s="10">
        <f t="shared" ref="S4:S30" si="1">_xlfn.SWITCH(P4,"ロン",$C4*1000,"ツモ",$C4*1000,"放銃",$C4*-1000,"ツモ支払",$C4*-500,"")</f>
        <v>0</v>
      </c>
      <c r="T4" s="32">
        <f>IF(COUNTA($F4,$K4,$P4)&gt;0,T3+SUM(Q4:S4),"")</f>
        <v>23000</v>
      </c>
      <c r="U4" s="22">
        <f>IF($J4="","",ROUND(($J4-$J$3)/1000,0))</f>
        <v>12</v>
      </c>
      <c r="V4" s="23">
        <f t="shared" ref="V4:V30" si="2">IF($O4="","",ROUND(($O4-$O$3)/1000,0))</f>
        <v>0</v>
      </c>
      <c r="W4" s="24">
        <f t="shared" ref="W4:W30" si="3">IF($T4="","",ROUND(($T4-$T$3)/1000,0))</f>
        <v>-12</v>
      </c>
      <c r="Y4" s="8"/>
      <c r="Z4" s="46"/>
      <c r="AA4" s="38">
        <v>1</v>
      </c>
      <c r="AB4" s="38"/>
      <c r="AC4" s="38">
        <v>6</v>
      </c>
      <c r="AD4" s="42" t="s">
        <v>142</v>
      </c>
      <c r="AE4" s="52" t="s">
        <v>144</v>
      </c>
      <c r="AF4" s="53" t="s">
        <v>86</v>
      </c>
      <c r="AG4" s="53" t="s">
        <v>87</v>
      </c>
      <c r="AH4" s="53" t="s">
        <v>87</v>
      </c>
      <c r="AI4" s="53" t="s">
        <v>87</v>
      </c>
      <c r="AJ4" s="53" t="s">
        <v>91</v>
      </c>
      <c r="AK4" s="53"/>
      <c r="AL4" s="53"/>
      <c r="AM4" s="53"/>
      <c r="AN4" s="53"/>
      <c r="AO4" s="53"/>
      <c r="AP4" s="53"/>
      <c r="AQ4" s="53"/>
      <c r="AR4" s="53"/>
      <c r="AS4" s="54"/>
      <c r="AT4" s="8"/>
      <c r="AU4" s="46"/>
      <c r="AV4" s="38"/>
      <c r="AW4" s="38"/>
      <c r="AX4" s="38"/>
      <c r="AY4" s="42"/>
      <c r="AZ4" s="52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4"/>
      <c r="BO4" s="8"/>
      <c r="BP4" s="46"/>
      <c r="BQ4" s="38"/>
      <c r="BR4" s="38">
        <v>1</v>
      </c>
      <c r="BS4" s="38"/>
      <c r="BT4" s="42"/>
      <c r="BU4" s="52"/>
      <c r="BV4" s="53"/>
      <c r="BW4" s="53"/>
      <c r="BX4" s="53"/>
      <c r="BY4" s="53"/>
      <c r="BZ4" s="53"/>
      <c r="CA4" s="53"/>
      <c r="CB4" s="53"/>
      <c r="CC4" s="53"/>
      <c r="CD4" s="53"/>
      <c r="CE4" s="53"/>
      <c r="CF4" s="53"/>
      <c r="CG4" s="53"/>
      <c r="CH4" s="53"/>
      <c r="CI4" s="54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2</v>
      </c>
      <c r="C5" s="29">
        <f>IF($E5="","",IF($E4=$E5,C4+1,0))</f>
        <v>0</v>
      </c>
      <c r="D5" s="29">
        <f>IF($E5="","",IF(OR($F4="流局",$F4="チョンボ"),D4+($H4+$M4+$R4)/-1000,0))</f>
        <v>0</v>
      </c>
      <c r="E5" s="4" t="s">
        <v>143</v>
      </c>
      <c r="F5" s="8" t="s">
        <v>145</v>
      </c>
      <c r="G5" s="9">
        <v>6000</v>
      </c>
      <c r="H5" s="9"/>
      <c r="I5" s="10">
        <f t="shared" ref="I5:I30" si="4">_xlfn.SWITCH(F5,"ロン",$C5*1000,"ツモ",$C5*1000,"放銃",$C5*-1000,"ツモ支払",$C5*-500,"")</f>
        <v>0</v>
      </c>
      <c r="J5" s="32">
        <f t="shared" ref="J5:J30" si="5">IF(COUNTA($F5,$K5,$P5)&gt;0,J4+SUM(G5:I5),"")</f>
        <v>53000</v>
      </c>
      <c r="K5" s="8" t="s">
        <v>146</v>
      </c>
      <c r="L5" s="9">
        <v>-3000</v>
      </c>
      <c r="M5" s="9"/>
      <c r="N5" s="10">
        <f t="shared" si="0"/>
        <v>0</v>
      </c>
      <c r="O5" s="32">
        <f t="shared" ref="O5:O30" si="6">IF(COUNTA($F5,$K5,$P5)&gt;0,O4+SUM(L5:N5),"")</f>
        <v>32000</v>
      </c>
      <c r="P5" s="8" t="s">
        <v>146</v>
      </c>
      <c r="Q5" s="9">
        <v>-3000</v>
      </c>
      <c r="R5" s="9"/>
      <c r="S5" s="10">
        <f t="shared" si="1"/>
        <v>0</v>
      </c>
      <c r="T5" s="32">
        <f t="shared" ref="T5:T30" si="7">IF(COUNTA($F5,$K5,$P5)&gt;0,T4+SUM(Q5:S5),"")</f>
        <v>20000</v>
      </c>
      <c r="U5" s="22">
        <f t="shared" ref="U5:U30" si="8">IF($J5="","",ROUND(($J5-$J$3)/1000,0))</f>
        <v>18</v>
      </c>
      <c r="V5" s="23">
        <f t="shared" si="2"/>
        <v>-3</v>
      </c>
      <c r="W5" s="24">
        <f t="shared" si="3"/>
        <v>-15</v>
      </c>
      <c r="Y5" s="8"/>
      <c r="Z5" s="46"/>
      <c r="AA5" s="38"/>
      <c r="AB5" s="38"/>
      <c r="AC5" s="38">
        <v>3</v>
      </c>
      <c r="AD5" s="42">
        <v>30</v>
      </c>
      <c r="AE5" s="52" t="s">
        <v>88</v>
      </c>
      <c r="AF5" s="53" t="s">
        <v>87</v>
      </c>
      <c r="AG5" s="53" t="s">
        <v>87</v>
      </c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4"/>
      <c r="AT5" s="8"/>
      <c r="AU5" s="46"/>
      <c r="AV5" s="38"/>
      <c r="AW5" s="38"/>
      <c r="AX5" s="38"/>
      <c r="AY5" s="42"/>
      <c r="AZ5" s="52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4"/>
      <c r="BO5" s="8"/>
      <c r="BP5" s="46"/>
      <c r="BQ5" s="38"/>
      <c r="BR5" s="38">
        <v>1</v>
      </c>
      <c r="BS5" s="38"/>
      <c r="BT5" s="42"/>
      <c r="BU5" s="52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4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2</v>
      </c>
      <c r="C6" s="29">
        <f t="shared" ref="C6:C30" si="11">IF($E6="","",IF($E5=$E6,C5+1,0))</f>
        <v>1</v>
      </c>
      <c r="D6" s="29">
        <f t="shared" ref="D6:D30" si="12">IF($E6="","",IF(OR($F5="流局",$F5="チョンボ"),D5+($H5+$M5+$R5)/-1000,0))</f>
        <v>0</v>
      </c>
      <c r="E6" s="4" t="s">
        <v>143</v>
      </c>
      <c r="F6" s="8" t="s">
        <v>140</v>
      </c>
      <c r="G6" s="9">
        <v>12000</v>
      </c>
      <c r="H6" s="9">
        <v>2000</v>
      </c>
      <c r="I6" s="10">
        <f t="shared" si="4"/>
        <v>1000</v>
      </c>
      <c r="J6" s="32">
        <f t="shared" si="5"/>
        <v>68000</v>
      </c>
      <c r="K6" s="8"/>
      <c r="L6" s="9"/>
      <c r="M6" s="9">
        <v>-1000</v>
      </c>
      <c r="N6" s="10" t="str">
        <f t="shared" si="0"/>
        <v/>
      </c>
      <c r="O6" s="32">
        <f t="shared" si="6"/>
        <v>31000</v>
      </c>
      <c r="P6" s="8" t="s">
        <v>141</v>
      </c>
      <c r="Q6" s="9">
        <v>-12000</v>
      </c>
      <c r="R6" s="9">
        <v>-1000</v>
      </c>
      <c r="S6" s="10">
        <f t="shared" si="1"/>
        <v>-1000</v>
      </c>
      <c r="T6" s="32">
        <f t="shared" si="7"/>
        <v>6000</v>
      </c>
      <c r="U6" s="22">
        <f t="shared" si="8"/>
        <v>33</v>
      </c>
      <c r="V6" s="23">
        <f t="shared" si="2"/>
        <v>-4</v>
      </c>
      <c r="W6" s="24">
        <f t="shared" si="3"/>
        <v>-29</v>
      </c>
      <c r="Y6" s="8"/>
      <c r="Z6" s="46"/>
      <c r="AA6" s="38"/>
      <c r="AB6" s="38">
        <v>1</v>
      </c>
      <c r="AC6" s="38">
        <v>4</v>
      </c>
      <c r="AD6" s="42">
        <v>30</v>
      </c>
      <c r="AE6" s="52" t="s">
        <v>92</v>
      </c>
      <c r="AF6" s="53" t="s">
        <v>92</v>
      </c>
      <c r="AG6" s="53" t="s">
        <v>92</v>
      </c>
      <c r="AH6" s="53" t="s">
        <v>87</v>
      </c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4"/>
      <c r="AT6" s="8"/>
      <c r="AU6" s="46"/>
      <c r="AV6" s="38">
        <v>1</v>
      </c>
      <c r="AW6" s="38"/>
      <c r="AX6" s="38"/>
      <c r="AY6" s="42"/>
      <c r="AZ6" s="52"/>
      <c r="BA6" s="53"/>
      <c r="BB6" s="53"/>
      <c r="BC6" s="53"/>
      <c r="BD6" s="53"/>
      <c r="BE6" s="53"/>
      <c r="BF6" s="53"/>
      <c r="BG6" s="53"/>
      <c r="BH6" s="53"/>
      <c r="BI6" s="53"/>
      <c r="BJ6" s="53"/>
      <c r="BK6" s="53"/>
      <c r="BL6" s="53"/>
      <c r="BM6" s="53"/>
      <c r="BN6" s="54"/>
      <c r="BO6" s="8"/>
      <c r="BP6" s="46"/>
      <c r="BQ6" s="38">
        <v>1</v>
      </c>
      <c r="BR6" s="38"/>
      <c r="BS6" s="38"/>
      <c r="BT6" s="42"/>
      <c r="BU6" s="52"/>
      <c r="BV6" s="53"/>
      <c r="BW6" s="53"/>
      <c r="BX6" s="53"/>
      <c r="BY6" s="53"/>
      <c r="BZ6" s="53"/>
      <c r="CA6" s="53"/>
      <c r="CB6" s="53"/>
      <c r="CC6" s="53"/>
      <c r="CD6" s="53"/>
      <c r="CE6" s="53"/>
      <c r="CF6" s="53"/>
      <c r="CG6" s="53"/>
      <c r="CH6" s="53"/>
      <c r="CI6" s="54"/>
    </row>
    <row r="7" spans="1:87" x14ac:dyDescent="0.4">
      <c r="A7" s="15" t="str">
        <f t="shared" si="9"/>
        <v>東</v>
      </c>
      <c r="B7" s="29">
        <f t="shared" si="10"/>
        <v>2</v>
      </c>
      <c r="C7" s="29">
        <f t="shared" si="11"/>
        <v>2</v>
      </c>
      <c r="D7" s="29">
        <f t="shared" si="12"/>
        <v>0</v>
      </c>
      <c r="E7" s="4" t="s">
        <v>143</v>
      </c>
      <c r="F7" s="8" t="s">
        <v>140</v>
      </c>
      <c r="G7" s="9">
        <v>7700</v>
      </c>
      <c r="H7" s="9"/>
      <c r="I7" s="10">
        <f t="shared" si="4"/>
        <v>2000</v>
      </c>
      <c r="J7" s="32">
        <f t="shared" si="5"/>
        <v>77700</v>
      </c>
      <c r="K7" s="8" t="s">
        <v>141</v>
      </c>
      <c r="L7" s="9">
        <v>-7700</v>
      </c>
      <c r="M7" s="9"/>
      <c r="N7" s="10">
        <f t="shared" si="0"/>
        <v>-2000</v>
      </c>
      <c r="O7" s="32">
        <f t="shared" si="6"/>
        <v>21300</v>
      </c>
      <c r="P7" s="8"/>
      <c r="Q7" s="9"/>
      <c r="R7" s="9"/>
      <c r="S7" s="10" t="str">
        <f t="shared" si="1"/>
        <v/>
      </c>
      <c r="T7" s="32">
        <f t="shared" si="7"/>
        <v>6000</v>
      </c>
      <c r="U7" s="22">
        <f t="shared" si="8"/>
        <v>43</v>
      </c>
      <c r="V7" s="23">
        <f t="shared" si="2"/>
        <v>-14</v>
      </c>
      <c r="W7" s="24">
        <f t="shared" si="3"/>
        <v>-29</v>
      </c>
      <c r="Y7" s="8"/>
      <c r="Z7" s="46"/>
      <c r="AA7" s="38">
        <v>1</v>
      </c>
      <c r="AB7" s="38"/>
      <c r="AC7" s="38">
        <v>3</v>
      </c>
      <c r="AD7" s="42">
        <v>40</v>
      </c>
      <c r="AE7" s="52" t="s">
        <v>87</v>
      </c>
      <c r="AF7" s="53" t="s">
        <v>87</v>
      </c>
      <c r="AG7" s="53" t="s">
        <v>144</v>
      </c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4"/>
      <c r="AT7" s="8"/>
      <c r="AU7" s="46"/>
      <c r="AV7" s="38"/>
      <c r="AW7" s="38"/>
      <c r="AX7" s="38"/>
      <c r="AY7" s="42"/>
      <c r="AZ7" s="52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4"/>
      <c r="BO7" s="8"/>
      <c r="BP7" s="46"/>
      <c r="BQ7" s="38"/>
      <c r="BR7" s="38"/>
      <c r="BS7" s="38"/>
      <c r="BT7" s="42"/>
      <c r="BU7" s="52"/>
      <c r="BV7" s="53"/>
      <c r="BW7" s="53"/>
      <c r="BX7" s="53"/>
      <c r="BY7" s="53"/>
      <c r="BZ7" s="53"/>
      <c r="CA7" s="53"/>
      <c r="CB7" s="53"/>
      <c r="CC7" s="53"/>
      <c r="CD7" s="53"/>
      <c r="CE7" s="53"/>
      <c r="CF7" s="53"/>
      <c r="CG7" s="53"/>
      <c r="CH7" s="53"/>
      <c r="CI7" s="54"/>
    </row>
    <row r="8" spans="1:87" x14ac:dyDescent="0.4">
      <c r="A8" s="15" t="str">
        <f t="shared" si="9"/>
        <v>東</v>
      </c>
      <c r="B8" s="29">
        <f t="shared" si="10"/>
        <v>2</v>
      </c>
      <c r="C8" s="29">
        <f t="shared" si="11"/>
        <v>3</v>
      </c>
      <c r="D8" s="29">
        <f t="shared" si="12"/>
        <v>0</v>
      </c>
      <c r="E8" s="4" t="s">
        <v>143</v>
      </c>
      <c r="F8" s="8" t="s">
        <v>140</v>
      </c>
      <c r="G8" s="9">
        <v>7700</v>
      </c>
      <c r="H8" s="9"/>
      <c r="I8" s="10">
        <f t="shared" si="4"/>
        <v>3000</v>
      </c>
      <c r="J8" s="32">
        <f t="shared" si="5"/>
        <v>88400</v>
      </c>
      <c r="K8" s="8" t="s">
        <v>141</v>
      </c>
      <c r="L8" s="9">
        <v>-7700</v>
      </c>
      <c r="M8" s="9"/>
      <c r="N8" s="10">
        <f t="shared" si="0"/>
        <v>-3000</v>
      </c>
      <c r="O8" s="32">
        <f t="shared" si="6"/>
        <v>10600</v>
      </c>
      <c r="P8" s="8"/>
      <c r="Q8" s="9"/>
      <c r="R8" s="9"/>
      <c r="S8" s="10" t="str">
        <f t="shared" si="1"/>
        <v/>
      </c>
      <c r="T8" s="32">
        <f t="shared" si="7"/>
        <v>6000</v>
      </c>
      <c r="U8" s="22">
        <f t="shared" si="8"/>
        <v>53</v>
      </c>
      <c r="V8" s="23">
        <f t="shared" si="2"/>
        <v>-24</v>
      </c>
      <c r="W8" s="24">
        <f t="shared" si="3"/>
        <v>-29</v>
      </c>
      <c r="Y8" s="8"/>
      <c r="Z8" s="46"/>
      <c r="AA8" s="38">
        <v>1</v>
      </c>
      <c r="AB8" s="38"/>
      <c r="AC8" s="38">
        <v>3</v>
      </c>
      <c r="AD8" s="42">
        <v>40</v>
      </c>
      <c r="AE8" s="52" t="s">
        <v>144</v>
      </c>
      <c r="AF8" s="53" t="s">
        <v>87</v>
      </c>
      <c r="AG8" s="53" t="s">
        <v>86</v>
      </c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4"/>
      <c r="AT8" s="8"/>
      <c r="AU8" s="46"/>
      <c r="AV8" s="38"/>
      <c r="AW8" s="38"/>
      <c r="AX8" s="38"/>
      <c r="AY8" s="42"/>
      <c r="AZ8" s="52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4"/>
      <c r="BO8" s="8"/>
      <c r="BP8" s="46"/>
      <c r="BQ8" s="38"/>
      <c r="BR8" s="38"/>
      <c r="BS8" s="38"/>
      <c r="BT8" s="42"/>
      <c r="BU8" s="52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4"/>
    </row>
    <row r="9" spans="1:87" x14ac:dyDescent="0.4">
      <c r="A9" s="15" t="str">
        <f t="shared" si="9"/>
        <v>東</v>
      </c>
      <c r="B9" s="29">
        <f t="shared" si="10"/>
        <v>2</v>
      </c>
      <c r="C9" s="29">
        <f t="shared" si="11"/>
        <v>4</v>
      </c>
      <c r="D9" s="29">
        <f t="shared" si="12"/>
        <v>0</v>
      </c>
      <c r="E9" s="4" t="s">
        <v>143</v>
      </c>
      <c r="F9" s="8" t="s">
        <v>141</v>
      </c>
      <c r="G9" s="9">
        <v>-8000</v>
      </c>
      <c r="H9" s="9"/>
      <c r="I9" s="10">
        <f t="shared" si="4"/>
        <v>-4000</v>
      </c>
      <c r="J9" s="32">
        <f t="shared" si="5"/>
        <v>76400</v>
      </c>
      <c r="K9" s="8"/>
      <c r="L9" s="9"/>
      <c r="M9" s="9"/>
      <c r="N9" s="10" t="str">
        <f t="shared" si="0"/>
        <v/>
      </c>
      <c r="O9" s="32">
        <f t="shared" si="6"/>
        <v>10600</v>
      </c>
      <c r="P9" s="8" t="s">
        <v>140</v>
      </c>
      <c r="Q9" s="9">
        <v>8000</v>
      </c>
      <c r="R9" s="9"/>
      <c r="S9" s="10">
        <f t="shared" si="1"/>
        <v>4000</v>
      </c>
      <c r="T9" s="32">
        <f t="shared" si="7"/>
        <v>18000</v>
      </c>
      <c r="U9" s="22">
        <f t="shared" si="8"/>
        <v>41</v>
      </c>
      <c r="V9" s="23">
        <f t="shared" si="2"/>
        <v>-24</v>
      </c>
      <c r="W9" s="24">
        <f t="shared" si="3"/>
        <v>-17</v>
      </c>
      <c r="Y9" s="8"/>
      <c r="Z9" s="46"/>
      <c r="AA9" s="38"/>
      <c r="AB9" s="38"/>
      <c r="AC9" s="38"/>
      <c r="AD9" s="42"/>
      <c r="AE9" s="52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4"/>
      <c r="AT9" s="8"/>
      <c r="AU9" s="46"/>
      <c r="AV9" s="38"/>
      <c r="AW9" s="38"/>
      <c r="AX9" s="38"/>
      <c r="AY9" s="42"/>
      <c r="AZ9" s="52"/>
      <c r="BA9" s="53"/>
      <c r="BB9" s="53"/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4"/>
      <c r="BO9" s="8"/>
      <c r="BP9" s="46"/>
      <c r="BQ9" s="38"/>
      <c r="BR9" s="38">
        <v>1</v>
      </c>
      <c r="BS9" s="38">
        <v>5</v>
      </c>
      <c r="BT9" s="42" t="s">
        <v>142</v>
      </c>
      <c r="BU9" s="52" t="s">
        <v>92</v>
      </c>
      <c r="BV9" s="53" t="s">
        <v>110</v>
      </c>
      <c r="BW9" s="53" t="s">
        <v>104</v>
      </c>
      <c r="BX9" s="53"/>
      <c r="BY9" s="53"/>
      <c r="BZ9" s="53"/>
      <c r="CA9" s="53"/>
      <c r="CB9" s="53"/>
      <c r="CC9" s="53"/>
      <c r="CD9" s="53"/>
      <c r="CE9" s="53"/>
      <c r="CF9" s="53"/>
      <c r="CG9" s="53"/>
      <c r="CH9" s="53"/>
      <c r="CI9" s="54"/>
    </row>
    <row r="10" spans="1:87" x14ac:dyDescent="0.4">
      <c r="A10" s="15" t="str">
        <f t="shared" si="9"/>
        <v>東</v>
      </c>
      <c r="B10" s="29">
        <f t="shared" si="10"/>
        <v>3</v>
      </c>
      <c r="C10" s="29">
        <f t="shared" si="11"/>
        <v>0</v>
      </c>
      <c r="D10" s="29">
        <f t="shared" si="12"/>
        <v>0</v>
      </c>
      <c r="E10" s="4" t="s">
        <v>149</v>
      </c>
      <c r="F10" s="8" t="s">
        <v>141</v>
      </c>
      <c r="G10" s="9">
        <v>-12000</v>
      </c>
      <c r="H10" s="9"/>
      <c r="I10" s="10">
        <f t="shared" si="4"/>
        <v>0</v>
      </c>
      <c r="J10" s="32">
        <f t="shared" si="5"/>
        <v>64400</v>
      </c>
      <c r="K10" s="8" t="s">
        <v>140</v>
      </c>
      <c r="L10" s="9">
        <v>12000</v>
      </c>
      <c r="M10" s="9"/>
      <c r="N10" s="10">
        <f t="shared" si="0"/>
        <v>0</v>
      </c>
      <c r="O10" s="32">
        <f t="shared" si="6"/>
        <v>22600</v>
      </c>
      <c r="P10" s="8"/>
      <c r="Q10" s="9"/>
      <c r="R10" s="9"/>
      <c r="S10" s="10" t="str">
        <f t="shared" si="1"/>
        <v/>
      </c>
      <c r="T10" s="32">
        <f t="shared" si="7"/>
        <v>18000</v>
      </c>
      <c r="U10" s="22">
        <f t="shared" si="8"/>
        <v>29</v>
      </c>
      <c r="V10" s="23">
        <f t="shared" si="2"/>
        <v>-12</v>
      </c>
      <c r="W10" s="24">
        <f t="shared" si="3"/>
        <v>-17</v>
      </c>
      <c r="Y10" s="8"/>
      <c r="Z10" s="46"/>
      <c r="AA10" s="38"/>
      <c r="AB10" s="38"/>
      <c r="AC10" s="38"/>
      <c r="AD10" s="42"/>
      <c r="AE10" s="52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4"/>
      <c r="AT10" s="8"/>
      <c r="AU10" s="46"/>
      <c r="AV10" s="38"/>
      <c r="AW10" s="38">
        <v>1</v>
      </c>
      <c r="AX10" s="38">
        <v>4</v>
      </c>
      <c r="AY10" s="42">
        <v>30</v>
      </c>
      <c r="AZ10" s="52" t="s">
        <v>92</v>
      </c>
      <c r="BA10" s="53" t="s">
        <v>92</v>
      </c>
      <c r="BB10" s="53" t="s">
        <v>92</v>
      </c>
      <c r="BC10" s="53" t="s">
        <v>85</v>
      </c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4"/>
      <c r="BO10" s="8"/>
      <c r="BP10" s="46"/>
      <c r="BQ10" s="38"/>
      <c r="BR10" s="38"/>
      <c r="BS10" s="38"/>
      <c r="BT10" s="42"/>
      <c r="BU10" s="52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4"/>
    </row>
    <row r="11" spans="1:87" x14ac:dyDescent="0.4">
      <c r="A11" s="15" t="str">
        <f t="shared" si="9"/>
        <v>東</v>
      </c>
      <c r="B11" s="29">
        <f t="shared" si="10"/>
        <v>3</v>
      </c>
      <c r="C11" s="29">
        <f t="shared" si="11"/>
        <v>1</v>
      </c>
      <c r="D11" s="29">
        <f t="shared" si="12"/>
        <v>0</v>
      </c>
      <c r="E11" s="4" t="s">
        <v>149</v>
      </c>
      <c r="F11" s="8" t="s">
        <v>141</v>
      </c>
      <c r="G11" s="9">
        <v>-8000</v>
      </c>
      <c r="H11" s="9"/>
      <c r="I11" s="10">
        <f t="shared" si="4"/>
        <v>-1000</v>
      </c>
      <c r="J11" s="32">
        <f t="shared" si="5"/>
        <v>55400</v>
      </c>
      <c r="K11" s="8"/>
      <c r="L11" s="9"/>
      <c r="M11" s="9"/>
      <c r="N11" s="10" t="str">
        <f t="shared" si="0"/>
        <v/>
      </c>
      <c r="O11" s="32">
        <f t="shared" si="6"/>
        <v>22600</v>
      </c>
      <c r="P11" s="8" t="s">
        <v>140</v>
      </c>
      <c r="Q11" s="9">
        <v>8000</v>
      </c>
      <c r="R11" s="9"/>
      <c r="S11" s="10">
        <f t="shared" si="1"/>
        <v>1000</v>
      </c>
      <c r="T11" s="32">
        <f t="shared" si="7"/>
        <v>27000</v>
      </c>
      <c r="U11" s="22">
        <f t="shared" si="8"/>
        <v>20</v>
      </c>
      <c r="V11" s="23">
        <f t="shared" si="2"/>
        <v>-12</v>
      </c>
      <c r="W11" s="24">
        <f t="shared" si="3"/>
        <v>-8</v>
      </c>
      <c r="Y11" s="8"/>
      <c r="Z11" s="46"/>
      <c r="AA11" s="38"/>
      <c r="AB11" s="38">
        <v>1</v>
      </c>
      <c r="AC11" s="38"/>
      <c r="AD11" s="42"/>
      <c r="AE11" s="52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4"/>
      <c r="AT11" s="8"/>
      <c r="AU11" s="46"/>
      <c r="AV11" s="38"/>
      <c r="AW11" s="38">
        <v>1</v>
      </c>
      <c r="AX11" s="38"/>
      <c r="AY11" s="42"/>
      <c r="AZ11" s="52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4"/>
      <c r="BO11" s="8"/>
      <c r="BP11" s="46"/>
      <c r="BQ11" s="38"/>
      <c r="BR11" s="38">
        <v>1</v>
      </c>
      <c r="BS11" s="38">
        <v>4</v>
      </c>
      <c r="BT11" s="42">
        <v>30</v>
      </c>
      <c r="BU11" s="52" t="s">
        <v>110</v>
      </c>
      <c r="BV11" s="53" t="s">
        <v>92</v>
      </c>
      <c r="BW11" s="53" t="s">
        <v>92</v>
      </c>
      <c r="BX11" s="53"/>
      <c r="BY11" s="53"/>
      <c r="BZ11" s="53"/>
      <c r="CA11" s="53"/>
      <c r="CB11" s="53"/>
      <c r="CC11" s="53"/>
      <c r="CD11" s="53"/>
      <c r="CE11" s="53"/>
      <c r="CF11" s="53"/>
      <c r="CG11" s="53"/>
      <c r="CH11" s="53"/>
      <c r="CI11" s="54"/>
    </row>
    <row r="12" spans="1:87" x14ac:dyDescent="0.4">
      <c r="A12" s="15" t="str">
        <f t="shared" si="9"/>
        <v>南</v>
      </c>
      <c r="B12" s="29">
        <f t="shared" si="10"/>
        <v>1</v>
      </c>
      <c r="C12" s="29">
        <f t="shared" si="11"/>
        <v>0</v>
      </c>
      <c r="D12" s="29">
        <f t="shared" si="12"/>
        <v>0</v>
      </c>
      <c r="E12" s="4" t="s">
        <v>152</v>
      </c>
      <c r="F12" s="8" t="s">
        <v>146</v>
      </c>
      <c r="G12" s="9">
        <v>-9000</v>
      </c>
      <c r="H12" s="9">
        <v>-1000</v>
      </c>
      <c r="I12" s="10">
        <f t="shared" si="4"/>
        <v>0</v>
      </c>
      <c r="J12" s="32">
        <f t="shared" si="5"/>
        <v>45400</v>
      </c>
      <c r="K12" s="8" t="s">
        <v>146</v>
      </c>
      <c r="L12" s="9">
        <v>-9000</v>
      </c>
      <c r="M12" s="9"/>
      <c r="N12" s="10">
        <f t="shared" si="0"/>
        <v>0</v>
      </c>
      <c r="O12" s="32">
        <f t="shared" si="6"/>
        <v>13600</v>
      </c>
      <c r="P12" s="8" t="s">
        <v>145</v>
      </c>
      <c r="Q12" s="9">
        <v>18000</v>
      </c>
      <c r="R12" s="9">
        <v>1000</v>
      </c>
      <c r="S12" s="10">
        <f t="shared" si="1"/>
        <v>0</v>
      </c>
      <c r="T12" s="32">
        <f t="shared" si="7"/>
        <v>46000</v>
      </c>
      <c r="U12" s="22">
        <f t="shared" si="8"/>
        <v>10</v>
      </c>
      <c r="V12" s="23">
        <f t="shared" si="2"/>
        <v>-21</v>
      </c>
      <c r="W12" s="24">
        <f t="shared" si="3"/>
        <v>11</v>
      </c>
      <c r="Y12" s="8"/>
      <c r="Z12" s="46"/>
      <c r="AA12" s="38">
        <v>1</v>
      </c>
      <c r="AB12" s="38"/>
      <c r="AC12" s="38"/>
      <c r="AD12" s="42"/>
      <c r="AE12" s="52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4"/>
      <c r="AT12" s="8"/>
      <c r="AU12" s="46"/>
      <c r="AV12" s="38"/>
      <c r="AW12" s="38"/>
      <c r="AX12" s="38"/>
      <c r="AY12" s="42"/>
      <c r="AZ12" s="52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4"/>
      <c r="BO12" s="8"/>
      <c r="BP12" s="46"/>
      <c r="BQ12" s="38">
        <v>1</v>
      </c>
      <c r="BR12" s="38"/>
      <c r="BS12" s="38">
        <v>6</v>
      </c>
      <c r="BT12" s="42" t="s">
        <v>142</v>
      </c>
      <c r="BU12" s="52" t="s">
        <v>144</v>
      </c>
      <c r="BV12" s="53" t="s">
        <v>88</v>
      </c>
      <c r="BW12" s="53" t="s">
        <v>91</v>
      </c>
      <c r="BX12" s="53" t="s">
        <v>87</v>
      </c>
      <c r="BY12" s="53" t="s">
        <v>87</v>
      </c>
      <c r="BZ12" s="53" t="s">
        <v>86</v>
      </c>
      <c r="CA12" s="53"/>
      <c r="CB12" s="53"/>
      <c r="CC12" s="53"/>
      <c r="CD12" s="53"/>
      <c r="CE12" s="53"/>
      <c r="CF12" s="53"/>
      <c r="CG12" s="53"/>
      <c r="CH12" s="53"/>
      <c r="CI12" s="54"/>
    </row>
    <row r="13" spans="1:87" x14ac:dyDescent="0.4">
      <c r="A13" s="15" t="str">
        <f t="shared" si="9"/>
        <v>南</v>
      </c>
      <c r="B13" s="29">
        <f t="shared" si="10"/>
        <v>1</v>
      </c>
      <c r="C13" s="29">
        <f t="shared" si="11"/>
        <v>1</v>
      </c>
      <c r="D13" s="29">
        <f t="shared" si="12"/>
        <v>0</v>
      </c>
      <c r="E13" s="4" t="s">
        <v>152</v>
      </c>
      <c r="F13" s="8" t="s">
        <v>146</v>
      </c>
      <c r="G13" s="9">
        <v>-1500</v>
      </c>
      <c r="H13" s="9"/>
      <c r="I13" s="10">
        <f t="shared" si="4"/>
        <v>-500</v>
      </c>
      <c r="J13" s="32">
        <f t="shared" si="5"/>
        <v>43400</v>
      </c>
      <c r="K13" s="8" t="s">
        <v>146</v>
      </c>
      <c r="L13" s="9">
        <v>-1500</v>
      </c>
      <c r="M13" s="9"/>
      <c r="N13" s="10">
        <f t="shared" si="0"/>
        <v>-500</v>
      </c>
      <c r="O13" s="32">
        <f t="shared" si="6"/>
        <v>11600</v>
      </c>
      <c r="P13" s="8" t="s">
        <v>145</v>
      </c>
      <c r="Q13" s="9">
        <v>3000</v>
      </c>
      <c r="R13" s="9"/>
      <c r="S13" s="10">
        <f t="shared" si="1"/>
        <v>1000</v>
      </c>
      <c r="T13" s="32">
        <f t="shared" si="7"/>
        <v>50000</v>
      </c>
      <c r="U13" s="22">
        <f t="shared" si="8"/>
        <v>8</v>
      </c>
      <c r="V13" s="23">
        <f t="shared" si="2"/>
        <v>-23</v>
      </c>
      <c r="W13" s="24">
        <f t="shared" si="3"/>
        <v>15</v>
      </c>
      <c r="Y13" s="8"/>
      <c r="Z13" s="46"/>
      <c r="AA13" s="38"/>
      <c r="AB13" s="38"/>
      <c r="AC13" s="38"/>
      <c r="AD13" s="42"/>
      <c r="AE13" s="52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4"/>
      <c r="AT13" s="8"/>
      <c r="AU13" s="46"/>
      <c r="AV13" s="38"/>
      <c r="AW13" s="38"/>
      <c r="AX13" s="38"/>
      <c r="AY13" s="42"/>
      <c r="AZ13" s="52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4"/>
      <c r="BO13" s="8"/>
      <c r="BP13" s="46"/>
      <c r="BQ13" s="38"/>
      <c r="BR13" s="38"/>
      <c r="BS13" s="38">
        <v>2</v>
      </c>
      <c r="BT13" s="42">
        <v>30</v>
      </c>
      <c r="BU13" s="52" t="s">
        <v>88</v>
      </c>
      <c r="BV13" s="53" t="s">
        <v>85</v>
      </c>
      <c r="BW13" s="53"/>
      <c r="BX13" s="53"/>
      <c r="BY13" s="53"/>
      <c r="BZ13" s="53"/>
      <c r="CA13" s="53"/>
      <c r="CB13" s="53"/>
      <c r="CC13" s="53"/>
      <c r="CD13" s="53"/>
      <c r="CE13" s="53"/>
      <c r="CF13" s="53"/>
      <c r="CG13" s="53"/>
      <c r="CH13" s="53"/>
      <c r="CI13" s="54"/>
    </row>
    <row r="14" spans="1:87" x14ac:dyDescent="0.4">
      <c r="A14" s="15" t="str">
        <f t="shared" si="9"/>
        <v>南</v>
      </c>
      <c r="B14" s="29">
        <f t="shared" si="10"/>
        <v>1</v>
      </c>
      <c r="C14" s="29">
        <f t="shared" si="11"/>
        <v>2</v>
      </c>
      <c r="D14" s="29">
        <f t="shared" si="12"/>
        <v>0</v>
      </c>
      <c r="E14" s="4" t="s">
        <v>152</v>
      </c>
      <c r="F14" s="8" t="s">
        <v>147</v>
      </c>
      <c r="G14" s="9">
        <v>-1500</v>
      </c>
      <c r="H14" s="9"/>
      <c r="I14" s="10" t="str">
        <f t="shared" si="4"/>
        <v/>
      </c>
      <c r="J14" s="32">
        <f t="shared" si="5"/>
        <v>41900</v>
      </c>
      <c r="K14" s="8" t="s">
        <v>147</v>
      </c>
      <c r="L14" s="9">
        <v>-1500</v>
      </c>
      <c r="M14" s="9"/>
      <c r="N14" s="10" t="str">
        <f t="shared" si="0"/>
        <v/>
      </c>
      <c r="O14" s="32">
        <f t="shared" si="6"/>
        <v>10100</v>
      </c>
      <c r="P14" s="8" t="s">
        <v>147</v>
      </c>
      <c r="Q14" s="9">
        <v>3000</v>
      </c>
      <c r="R14" s="9">
        <v>-1000</v>
      </c>
      <c r="S14" s="10" t="str">
        <f t="shared" si="1"/>
        <v/>
      </c>
      <c r="T14" s="32">
        <f t="shared" si="7"/>
        <v>52000</v>
      </c>
      <c r="U14" s="22">
        <f t="shared" si="8"/>
        <v>7</v>
      </c>
      <c r="V14" s="23">
        <f t="shared" si="2"/>
        <v>-25</v>
      </c>
      <c r="W14" s="24">
        <f t="shared" si="3"/>
        <v>17</v>
      </c>
      <c r="Y14" s="8" t="s">
        <v>151</v>
      </c>
      <c r="Z14" s="46"/>
      <c r="AA14" s="38"/>
      <c r="AB14" s="38"/>
      <c r="AC14" s="38"/>
      <c r="AD14" s="42"/>
      <c r="AE14" s="52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4"/>
      <c r="AT14" s="8" t="s">
        <v>151</v>
      </c>
      <c r="AU14" s="46"/>
      <c r="AV14" s="38"/>
      <c r="AW14" s="38"/>
      <c r="AX14" s="38"/>
      <c r="AY14" s="42"/>
      <c r="AZ14" s="52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4"/>
      <c r="BO14" s="8" t="s">
        <v>150</v>
      </c>
      <c r="BP14" s="46"/>
      <c r="BQ14" s="38">
        <v>1</v>
      </c>
      <c r="BR14" s="38"/>
      <c r="BS14" s="38"/>
      <c r="BT14" s="42"/>
      <c r="BU14" s="52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4"/>
    </row>
    <row r="15" spans="1:87" x14ac:dyDescent="0.4">
      <c r="A15" s="15" t="str">
        <f t="shared" si="9"/>
        <v>南</v>
      </c>
      <c r="B15" s="29">
        <f t="shared" si="10"/>
        <v>1</v>
      </c>
      <c r="C15" s="29">
        <f t="shared" si="11"/>
        <v>3</v>
      </c>
      <c r="D15" s="29">
        <f t="shared" si="12"/>
        <v>1</v>
      </c>
      <c r="E15" s="4" t="s">
        <v>152</v>
      </c>
      <c r="F15" s="8" t="s">
        <v>140</v>
      </c>
      <c r="G15" s="9">
        <v>8000</v>
      </c>
      <c r="H15" s="9">
        <v>1000</v>
      </c>
      <c r="I15" s="10">
        <f t="shared" si="4"/>
        <v>3000</v>
      </c>
      <c r="J15" s="32">
        <f t="shared" si="5"/>
        <v>53900</v>
      </c>
      <c r="K15" s="8"/>
      <c r="L15" s="9"/>
      <c r="M15" s="9"/>
      <c r="N15" s="10" t="str">
        <f t="shared" si="0"/>
        <v/>
      </c>
      <c r="O15" s="32">
        <f t="shared" si="6"/>
        <v>10100</v>
      </c>
      <c r="P15" s="8" t="s">
        <v>141</v>
      </c>
      <c r="Q15" s="9">
        <v>-8000</v>
      </c>
      <c r="R15" s="9"/>
      <c r="S15" s="10">
        <f t="shared" si="1"/>
        <v>-3000</v>
      </c>
      <c r="T15" s="32">
        <f t="shared" si="7"/>
        <v>41000</v>
      </c>
      <c r="U15" s="22">
        <f t="shared" si="8"/>
        <v>19</v>
      </c>
      <c r="V15" s="23">
        <f t="shared" si="2"/>
        <v>-25</v>
      </c>
      <c r="W15" s="24">
        <f t="shared" si="3"/>
        <v>6</v>
      </c>
      <c r="Y15" s="8"/>
      <c r="Z15" s="46"/>
      <c r="AA15" s="38">
        <v>1</v>
      </c>
      <c r="AB15" s="38"/>
      <c r="AC15" s="38">
        <v>4</v>
      </c>
      <c r="AD15" s="42">
        <v>40</v>
      </c>
      <c r="AE15" s="52" t="s">
        <v>144</v>
      </c>
      <c r="AF15" s="53" t="s">
        <v>87</v>
      </c>
      <c r="AG15" s="53" t="s">
        <v>87</v>
      </c>
      <c r="AH15" s="53" t="s">
        <v>85</v>
      </c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4"/>
      <c r="AT15" s="8"/>
      <c r="AU15" s="46"/>
      <c r="AV15" s="38"/>
      <c r="AW15" s="38">
        <v>1</v>
      </c>
      <c r="AX15" s="38"/>
      <c r="AY15" s="42"/>
      <c r="AZ15" s="52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4"/>
      <c r="BO15" s="8"/>
      <c r="BP15" s="46"/>
      <c r="BQ15" s="38"/>
      <c r="BR15" s="38"/>
      <c r="BS15" s="38"/>
      <c r="BT15" s="42"/>
      <c r="BU15" s="52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  <c r="CG15" s="53"/>
      <c r="CH15" s="53"/>
      <c r="CI15" s="54"/>
    </row>
    <row r="16" spans="1:87" x14ac:dyDescent="0.4">
      <c r="A16" s="15" t="str">
        <f t="shared" si="9"/>
        <v>南</v>
      </c>
      <c r="B16" s="29">
        <f t="shared" si="10"/>
        <v>2</v>
      </c>
      <c r="C16" s="29">
        <f t="shared" si="11"/>
        <v>0</v>
      </c>
      <c r="D16" s="29">
        <f t="shared" si="12"/>
        <v>0</v>
      </c>
      <c r="E16" s="4" t="s">
        <v>143</v>
      </c>
      <c r="F16" s="8" t="s">
        <v>146</v>
      </c>
      <c r="G16" s="9">
        <v>-3300</v>
      </c>
      <c r="H16" s="9"/>
      <c r="I16" s="10">
        <f t="shared" si="4"/>
        <v>0</v>
      </c>
      <c r="J16" s="32">
        <f t="shared" si="5"/>
        <v>50600</v>
      </c>
      <c r="K16" s="8" t="s">
        <v>145</v>
      </c>
      <c r="L16" s="9">
        <v>5300</v>
      </c>
      <c r="M16" s="9"/>
      <c r="N16" s="10">
        <f t="shared" si="0"/>
        <v>0</v>
      </c>
      <c r="O16" s="32">
        <f t="shared" si="6"/>
        <v>15400</v>
      </c>
      <c r="P16" s="8" t="s">
        <v>146</v>
      </c>
      <c r="Q16" s="9">
        <v>-2000</v>
      </c>
      <c r="R16" s="9"/>
      <c r="S16" s="10">
        <f t="shared" si="1"/>
        <v>0</v>
      </c>
      <c r="T16" s="32">
        <f t="shared" si="7"/>
        <v>39000</v>
      </c>
      <c r="U16" s="22">
        <f t="shared" si="8"/>
        <v>16</v>
      </c>
      <c r="V16" s="23">
        <f t="shared" si="2"/>
        <v>-20</v>
      </c>
      <c r="W16" s="24">
        <f t="shared" si="3"/>
        <v>4</v>
      </c>
      <c r="Y16" s="8"/>
      <c r="Z16" s="46"/>
      <c r="AA16" s="38"/>
      <c r="AB16" s="38"/>
      <c r="AC16" s="38"/>
      <c r="AD16" s="42"/>
      <c r="AE16" s="52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4"/>
      <c r="AT16" s="8"/>
      <c r="AU16" s="46"/>
      <c r="AV16" s="38">
        <v>1</v>
      </c>
      <c r="AW16" s="38"/>
      <c r="AX16" s="38">
        <v>4</v>
      </c>
      <c r="AY16" s="42">
        <v>20</v>
      </c>
      <c r="AZ16" s="52" t="s">
        <v>144</v>
      </c>
      <c r="BA16" s="53" t="s">
        <v>88</v>
      </c>
      <c r="BB16" s="53" t="s">
        <v>154</v>
      </c>
      <c r="BC16" s="53" t="s">
        <v>89</v>
      </c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4"/>
      <c r="BO16" s="8"/>
      <c r="BP16" s="46"/>
      <c r="BQ16" s="38"/>
      <c r="BR16" s="38">
        <v>1</v>
      </c>
      <c r="BS16" s="38"/>
      <c r="BT16" s="42"/>
      <c r="BU16" s="52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4"/>
    </row>
    <row r="17" spans="1:87" x14ac:dyDescent="0.4">
      <c r="A17" s="15" t="str">
        <f t="shared" si="9"/>
        <v>南</v>
      </c>
      <c r="B17" s="29">
        <f t="shared" si="10"/>
        <v>3</v>
      </c>
      <c r="C17" s="29">
        <f t="shared" si="11"/>
        <v>0</v>
      </c>
      <c r="D17" s="29">
        <f t="shared" si="12"/>
        <v>0</v>
      </c>
      <c r="E17" s="4" t="s">
        <v>149</v>
      </c>
      <c r="F17" s="8" t="s">
        <v>146</v>
      </c>
      <c r="G17" s="9">
        <v>-4500</v>
      </c>
      <c r="H17" s="9"/>
      <c r="I17" s="10">
        <f t="shared" si="4"/>
        <v>0</v>
      </c>
      <c r="J17" s="32">
        <f t="shared" si="5"/>
        <v>46100</v>
      </c>
      <c r="K17" s="8" t="s">
        <v>146</v>
      </c>
      <c r="L17" s="9">
        <v>-7500</v>
      </c>
      <c r="M17" s="9"/>
      <c r="N17" s="10">
        <f t="shared" si="0"/>
        <v>0</v>
      </c>
      <c r="O17" s="32">
        <f t="shared" si="6"/>
        <v>7900</v>
      </c>
      <c r="P17" s="8" t="s">
        <v>145</v>
      </c>
      <c r="Q17" s="9">
        <v>12000</v>
      </c>
      <c r="R17" s="9"/>
      <c r="S17" s="10">
        <f t="shared" si="1"/>
        <v>0</v>
      </c>
      <c r="T17" s="32">
        <f t="shared" si="7"/>
        <v>51000</v>
      </c>
      <c r="U17" s="22">
        <f t="shared" si="8"/>
        <v>11</v>
      </c>
      <c r="V17" s="23">
        <f t="shared" si="2"/>
        <v>-27</v>
      </c>
      <c r="W17" s="24">
        <f t="shared" si="3"/>
        <v>16</v>
      </c>
      <c r="Y17" s="8"/>
      <c r="Z17" s="46"/>
      <c r="AA17" s="38"/>
      <c r="AB17" s="38"/>
      <c r="AC17" s="38"/>
      <c r="AD17" s="42"/>
      <c r="AE17" s="52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4"/>
      <c r="AT17" s="8"/>
      <c r="AU17" s="46"/>
      <c r="AV17" s="38"/>
      <c r="AW17" s="38"/>
      <c r="AX17" s="38"/>
      <c r="AY17" s="42"/>
      <c r="AZ17" s="52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4"/>
      <c r="BO17" s="8"/>
      <c r="BP17" s="46"/>
      <c r="BQ17" s="38">
        <v>1</v>
      </c>
      <c r="BR17" s="38"/>
      <c r="BS17" s="38">
        <v>7</v>
      </c>
      <c r="BT17" s="42" t="s">
        <v>142</v>
      </c>
      <c r="BU17" s="52" t="s">
        <v>144</v>
      </c>
      <c r="BV17" s="53" t="s">
        <v>88</v>
      </c>
      <c r="BW17" s="53" t="s">
        <v>89</v>
      </c>
      <c r="BX17" s="53" t="s">
        <v>85</v>
      </c>
      <c r="BY17" s="53" t="s">
        <v>85</v>
      </c>
      <c r="BZ17" s="53" t="s">
        <v>86</v>
      </c>
      <c r="CA17" s="53" t="s">
        <v>87</v>
      </c>
      <c r="CB17" s="53"/>
      <c r="CC17" s="53"/>
      <c r="CD17" s="53"/>
      <c r="CE17" s="53"/>
      <c r="CF17" s="53"/>
      <c r="CG17" s="53"/>
      <c r="CH17" s="53"/>
      <c r="CI17" s="54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46"/>
      <c r="AA18" s="38"/>
      <c r="AB18" s="38"/>
      <c r="AC18" s="38"/>
      <c r="AD18" s="42"/>
      <c r="AE18" s="52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4"/>
      <c r="AT18" s="8"/>
      <c r="AU18" s="46"/>
      <c r="AV18" s="38"/>
      <c r="AW18" s="38"/>
      <c r="AX18" s="38"/>
      <c r="AY18" s="42"/>
      <c r="AZ18" s="52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4"/>
      <c r="BO18" s="8"/>
      <c r="BP18" s="46"/>
      <c r="BQ18" s="38"/>
      <c r="BR18" s="38"/>
      <c r="BS18" s="38"/>
      <c r="BT18" s="42"/>
      <c r="BU18" s="52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4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46"/>
      <c r="AA19" s="38"/>
      <c r="AB19" s="38"/>
      <c r="AC19" s="38"/>
      <c r="AD19" s="42"/>
      <c r="AE19" s="52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4"/>
      <c r="AT19" s="8"/>
      <c r="AU19" s="46"/>
      <c r="AV19" s="38"/>
      <c r="AW19" s="38"/>
      <c r="AX19" s="38"/>
      <c r="AY19" s="42"/>
      <c r="AZ19" s="52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4"/>
      <c r="BO19" s="8"/>
      <c r="BP19" s="46"/>
      <c r="BQ19" s="38"/>
      <c r="BR19" s="38"/>
      <c r="BS19" s="38"/>
      <c r="BT19" s="42"/>
      <c r="BU19" s="52"/>
      <c r="BV19" s="53"/>
      <c r="BW19" s="53"/>
      <c r="BX19" s="53"/>
      <c r="BY19" s="53"/>
      <c r="BZ19" s="53"/>
      <c r="CA19" s="53"/>
      <c r="CB19" s="53"/>
      <c r="CC19" s="53"/>
      <c r="CD19" s="53"/>
      <c r="CE19" s="53"/>
      <c r="CF19" s="53"/>
      <c r="CG19" s="53"/>
      <c r="CH19" s="53"/>
      <c r="CI19" s="54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46"/>
      <c r="AA20" s="38"/>
      <c r="AB20" s="38"/>
      <c r="AC20" s="38"/>
      <c r="AD20" s="42"/>
      <c r="AE20" s="52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4"/>
      <c r="AT20" s="8"/>
      <c r="AU20" s="46"/>
      <c r="AV20" s="38"/>
      <c r="AW20" s="38"/>
      <c r="AX20" s="38"/>
      <c r="AY20" s="42"/>
      <c r="AZ20" s="52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4"/>
      <c r="BO20" s="8"/>
      <c r="BP20" s="46"/>
      <c r="BQ20" s="38"/>
      <c r="BR20" s="38"/>
      <c r="BS20" s="38"/>
      <c r="BT20" s="42"/>
      <c r="BU20" s="52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4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46"/>
      <c r="AA21" s="38"/>
      <c r="AB21" s="38"/>
      <c r="AC21" s="38"/>
      <c r="AD21" s="42"/>
      <c r="AE21" s="52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4"/>
      <c r="AT21" s="8"/>
      <c r="AU21" s="46"/>
      <c r="AV21" s="38"/>
      <c r="AW21" s="38"/>
      <c r="AX21" s="38"/>
      <c r="AY21" s="42"/>
      <c r="AZ21" s="52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4"/>
      <c r="BO21" s="8"/>
      <c r="BP21" s="46"/>
      <c r="BQ21" s="38"/>
      <c r="BR21" s="38"/>
      <c r="BS21" s="38"/>
      <c r="BT21" s="42"/>
      <c r="BU21" s="52"/>
      <c r="BV21" s="53"/>
      <c r="BW21" s="53"/>
      <c r="BX21" s="53"/>
      <c r="BY21" s="53"/>
      <c r="BZ21" s="53"/>
      <c r="CA21" s="53"/>
      <c r="CB21" s="53"/>
      <c r="CC21" s="53"/>
      <c r="CD21" s="53"/>
      <c r="CE21" s="53"/>
      <c r="CF21" s="53"/>
      <c r="CG21" s="53"/>
      <c r="CH21" s="53"/>
      <c r="CI21" s="54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46"/>
      <c r="AA22" s="38"/>
      <c r="AB22" s="38"/>
      <c r="AC22" s="38"/>
      <c r="AD22" s="42"/>
      <c r="AE22" s="52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4"/>
      <c r="AT22" s="8"/>
      <c r="AU22" s="46"/>
      <c r="AV22" s="38"/>
      <c r="AW22" s="38"/>
      <c r="AX22" s="38"/>
      <c r="AY22" s="42"/>
      <c r="AZ22" s="52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4"/>
      <c r="BO22" s="8"/>
      <c r="BP22" s="46"/>
      <c r="BQ22" s="38"/>
      <c r="BR22" s="38"/>
      <c r="BS22" s="38"/>
      <c r="BT22" s="42"/>
      <c r="BU22" s="52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4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46"/>
      <c r="AA23" s="38"/>
      <c r="AB23" s="38"/>
      <c r="AC23" s="38"/>
      <c r="AD23" s="42"/>
      <c r="AE23" s="52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4"/>
      <c r="AT23" s="8"/>
      <c r="AU23" s="46"/>
      <c r="AV23" s="38"/>
      <c r="AW23" s="38"/>
      <c r="AX23" s="38"/>
      <c r="AY23" s="42"/>
      <c r="AZ23" s="52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4"/>
      <c r="BO23" s="8"/>
      <c r="BP23" s="46"/>
      <c r="BQ23" s="38"/>
      <c r="BR23" s="38"/>
      <c r="BS23" s="38"/>
      <c r="BT23" s="42"/>
      <c r="BU23" s="52"/>
      <c r="BV23" s="53"/>
      <c r="BW23" s="53"/>
      <c r="BX23" s="53"/>
      <c r="BY23" s="53"/>
      <c r="BZ23" s="53"/>
      <c r="CA23" s="53"/>
      <c r="CB23" s="53"/>
      <c r="CC23" s="53"/>
      <c r="CD23" s="53"/>
      <c r="CE23" s="53"/>
      <c r="CF23" s="53"/>
      <c r="CG23" s="53"/>
      <c r="CH23" s="53"/>
      <c r="CI23" s="54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46"/>
      <c r="AA24" s="38"/>
      <c r="AB24" s="38"/>
      <c r="AC24" s="38"/>
      <c r="AD24" s="42"/>
      <c r="AE24" s="52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4"/>
      <c r="AT24" s="8"/>
      <c r="AU24" s="46"/>
      <c r="AV24" s="38"/>
      <c r="AW24" s="38"/>
      <c r="AX24" s="38"/>
      <c r="AY24" s="42"/>
      <c r="AZ24" s="52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4"/>
      <c r="BO24" s="8"/>
      <c r="BP24" s="46"/>
      <c r="BQ24" s="38"/>
      <c r="BR24" s="38"/>
      <c r="BS24" s="38"/>
      <c r="BT24" s="42"/>
      <c r="BU24" s="52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  <c r="CG24" s="53"/>
      <c r="CH24" s="53"/>
      <c r="CI24" s="54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46"/>
      <c r="AA25" s="38"/>
      <c r="AB25" s="38"/>
      <c r="AC25" s="38"/>
      <c r="AD25" s="42"/>
      <c r="AE25" s="52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4"/>
      <c r="AT25" s="8"/>
      <c r="AU25" s="46"/>
      <c r="AV25" s="38"/>
      <c r="AW25" s="38"/>
      <c r="AX25" s="38"/>
      <c r="AY25" s="42"/>
      <c r="AZ25" s="52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4"/>
      <c r="BO25" s="8"/>
      <c r="BP25" s="46"/>
      <c r="BQ25" s="38"/>
      <c r="BR25" s="38"/>
      <c r="BS25" s="38"/>
      <c r="BT25" s="42"/>
      <c r="BU25" s="52"/>
      <c r="BV25" s="53"/>
      <c r="BW25" s="53"/>
      <c r="BX25" s="53"/>
      <c r="BY25" s="53"/>
      <c r="BZ25" s="53"/>
      <c r="CA25" s="53"/>
      <c r="CB25" s="53"/>
      <c r="CC25" s="53"/>
      <c r="CD25" s="53"/>
      <c r="CE25" s="53"/>
      <c r="CF25" s="53"/>
      <c r="CG25" s="53"/>
      <c r="CH25" s="53"/>
      <c r="CI25" s="54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46"/>
      <c r="AA26" s="38"/>
      <c r="AB26" s="38"/>
      <c r="AC26" s="38"/>
      <c r="AD26" s="42"/>
      <c r="AE26" s="52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4"/>
      <c r="AT26" s="8"/>
      <c r="AU26" s="46"/>
      <c r="AV26" s="38"/>
      <c r="AW26" s="38"/>
      <c r="AX26" s="38"/>
      <c r="AY26" s="42"/>
      <c r="AZ26" s="52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4"/>
      <c r="BO26" s="8"/>
      <c r="BP26" s="46"/>
      <c r="BQ26" s="38"/>
      <c r="BR26" s="38"/>
      <c r="BS26" s="38"/>
      <c r="BT26" s="42"/>
      <c r="BU26" s="52"/>
      <c r="BV26" s="53"/>
      <c r="BW26" s="53"/>
      <c r="BX26" s="53"/>
      <c r="BY26" s="53"/>
      <c r="BZ26" s="53"/>
      <c r="CA26" s="53"/>
      <c r="CB26" s="53"/>
      <c r="CC26" s="53"/>
      <c r="CD26" s="53"/>
      <c r="CE26" s="53"/>
      <c r="CF26" s="53"/>
      <c r="CG26" s="53"/>
      <c r="CH26" s="53"/>
      <c r="CI26" s="54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46"/>
      <c r="AA27" s="38"/>
      <c r="AB27" s="38"/>
      <c r="AC27" s="38"/>
      <c r="AD27" s="42"/>
      <c r="AE27" s="52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4"/>
      <c r="AT27" s="8"/>
      <c r="AU27" s="46"/>
      <c r="AV27" s="38"/>
      <c r="AW27" s="38"/>
      <c r="AX27" s="38"/>
      <c r="AY27" s="42"/>
      <c r="AZ27" s="52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4"/>
      <c r="BO27" s="8"/>
      <c r="BP27" s="46"/>
      <c r="BQ27" s="38"/>
      <c r="BR27" s="38"/>
      <c r="BS27" s="38"/>
      <c r="BT27" s="42"/>
      <c r="BU27" s="52"/>
      <c r="BV27" s="53"/>
      <c r="BW27" s="53"/>
      <c r="BX27" s="53"/>
      <c r="BY27" s="53"/>
      <c r="BZ27" s="53"/>
      <c r="CA27" s="53"/>
      <c r="CB27" s="53"/>
      <c r="CC27" s="53"/>
      <c r="CD27" s="53"/>
      <c r="CE27" s="53"/>
      <c r="CF27" s="53"/>
      <c r="CG27" s="53"/>
      <c r="CH27" s="53"/>
      <c r="CI27" s="54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46"/>
      <c r="AA28" s="38"/>
      <c r="AB28" s="38"/>
      <c r="AC28" s="38"/>
      <c r="AD28" s="42"/>
      <c r="AE28" s="52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4"/>
      <c r="AT28" s="8"/>
      <c r="AU28" s="46"/>
      <c r="AV28" s="38"/>
      <c r="AW28" s="38"/>
      <c r="AX28" s="38"/>
      <c r="AY28" s="42"/>
      <c r="AZ28" s="52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4"/>
      <c r="BO28" s="8"/>
      <c r="BP28" s="46"/>
      <c r="BQ28" s="38"/>
      <c r="BR28" s="38"/>
      <c r="BS28" s="38"/>
      <c r="BT28" s="42"/>
      <c r="BU28" s="52"/>
      <c r="BV28" s="53"/>
      <c r="BW28" s="53"/>
      <c r="BX28" s="53"/>
      <c r="BY28" s="53"/>
      <c r="BZ28" s="53"/>
      <c r="CA28" s="53"/>
      <c r="CB28" s="53"/>
      <c r="CC28" s="53"/>
      <c r="CD28" s="53"/>
      <c r="CE28" s="53"/>
      <c r="CF28" s="53"/>
      <c r="CG28" s="53"/>
      <c r="CH28" s="53"/>
      <c r="CI28" s="54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46"/>
      <c r="AA29" s="38"/>
      <c r="AB29" s="38"/>
      <c r="AC29" s="38"/>
      <c r="AD29" s="42"/>
      <c r="AE29" s="52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4"/>
      <c r="AT29" s="8"/>
      <c r="AU29" s="46"/>
      <c r="AV29" s="38"/>
      <c r="AW29" s="38"/>
      <c r="AX29" s="38"/>
      <c r="AY29" s="42"/>
      <c r="AZ29" s="52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4"/>
      <c r="BO29" s="8"/>
      <c r="BP29" s="46"/>
      <c r="BQ29" s="38"/>
      <c r="BR29" s="38"/>
      <c r="BS29" s="38"/>
      <c r="BT29" s="42"/>
      <c r="BU29" s="52"/>
      <c r="BV29" s="53"/>
      <c r="BW29" s="53"/>
      <c r="BX29" s="53"/>
      <c r="BY29" s="53"/>
      <c r="BZ29" s="53"/>
      <c r="CA29" s="53"/>
      <c r="CB29" s="53"/>
      <c r="CC29" s="53"/>
      <c r="CD29" s="53"/>
      <c r="CE29" s="53"/>
      <c r="CF29" s="53"/>
      <c r="CG29" s="53"/>
      <c r="CH29" s="53"/>
      <c r="CI29" s="54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47"/>
      <c r="AA30" s="39"/>
      <c r="AB30" s="39"/>
      <c r="AC30" s="39"/>
      <c r="AD30" s="43"/>
      <c r="AE30" s="55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7"/>
      <c r="AT30" s="11"/>
      <c r="AU30" s="47"/>
      <c r="AV30" s="39"/>
      <c r="AW30" s="39"/>
      <c r="AX30" s="39"/>
      <c r="AY30" s="43"/>
      <c r="AZ30" s="55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7"/>
      <c r="BO30" s="11"/>
      <c r="BP30" s="47"/>
      <c r="BQ30" s="39"/>
      <c r="BR30" s="39"/>
      <c r="BS30" s="39"/>
      <c r="BT30" s="43"/>
      <c r="BU30" s="55"/>
      <c r="BV30" s="56"/>
      <c r="BW30" s="56"/>
      <c r="BX30" s="56"/>
      <c r="BY30" s="56"/>
      <c r="BZ30" s="56"/>
      <c r="CA30" s="56"/>
      <c r="CB30" s="56"/>
      <c r="CC30" s="56"/>
      <c r="CD30" s="56"/>
      <c r="CE30" s="56"/>
      <c r="CF30" s="56"/>
      <c r="CG30" s="56"/>
      <c r="CH30" s="56"/>
      <c r="CI30" s="57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FD548956-C99C-418E-BA77-A02F3A6CCA66}">
      <formula1>"ロン,ツモ,放銃,ツモ支払,流局,チョンボ"</formula1>
    </dataValidation>
    <dataValidation type="list" allowBlank="1" showInputMessage="1" showErrorMessage="1" sqref="E4:E30" xr:uid="{25B2BE9B-6877-420D-B949-3DE8F3D1DA4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D9590-0B0D-4C5E-862A-82B1C3E2CE5B}">
  <sheetPr codeName="Sheet11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37" customWidth="1"/>
    <col min="31" max="45" width="3.5" style="37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6"/>
  </cols>
  <sheetData>
    <row r="1" spans="1:87" x14ac:dyDescent="0.4">
      <c r="A1" s="76" t="s">
        <v>0</v>
      </c>
      <c r="B1" s="78" t="s">
        <v>2</v>
      </c>
      <c r="C1" s="78" t="s">
        <v>1</v>
      </c>
      <c r="D1" s="78" t="s">
        <v>22</v>
      </c>
      <c r="E1" s="80" t="s">
        <v>3</v>
      </c>
      <c r="F1" s="71" t="s">
        <v>139</v>
      </c>
      <c r="G1" s="72"/>
      <c r="H1" s="72"/>
      <c r="I1" s="73"/>
      <c r="J1" s="74"/>
      <c r="K1" s="71" t="s">
        <v>148</v>
      </c>
      <c r="L1" s="72"/>
      <c r="M1" s="72"/>
      <c r="N1" s="73"/>
      <c r="O1" s="74"/>
      <c r="P1" s="71" t="s">
        <v>153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75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75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りくと</v>
      </c>
      <c r="BP1" s="75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7"/>
      <c r="B2" s="79"/>
      <c r="C2" s="79"/>
      <c r="D2" s="79"/>
      <c r="E2" s="81"/>
      <c r="F2" s="1" t="s">
        <v>5</v>
      </c>
      <c r="G2" s="2" t="s">
        <v>9</v>
      </c>
      <c r="H2" s="2" t="s">
        <v>23</v>
      </c>
      <c r="I2" s="68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68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68" t="s">
        <v>7</v>
      </c>
      <c r="T2" s="6" t="s">
        <v>4</v>
      </c>
      <c r="U2" s="67" t="str">
        <f>$F$1</f>
        <v>だいち</v>
      </c>
      <c r="V2" s="68" t="str">
        <f>$K$1</f>
        <v>れんたろう</v>
      </c>
      <c r="W2" s="18" t="str">
        <f>$P$1</f>
        <v>りくと</v>
      </c>
      <c r="Y2" s="64" t="s">
        <v>24</v>
      </c>
      <c r="Z2" s="69" t="s">
        <v>27</v>
      </c>
      <c r="AA2" s="65" t="s">
        <v>25</v>
      </c>
      <c r="AB2" s="65" t="s">
        <v>137</v>
      </c>
      <c r="AC2" s="65" t="s">
        <v>19</v>
      </c>
      <c r="AD2" s="66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64" t="s">
        <v>24</v>
      </c>
      <c r="AU2" s="69" t="s">
        <v>27</v>
      </c>
      <c r="AV2" s="65" t="s">
        <v>25</v>
      </c>
      <c r="AW2" s="65" t="s">
        <v>138</v>
      </c>
      <c r="AX2" s="65" t="s">
        <v>19</v>
      </c>
      <c r="AY2" s="66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64" t="s">
        <v>24</v>
      </c>
      <c r="BP2" s="69" t="s">
        <v>27</v>
      </c>
      <c r="BQ2" s="65" t="s">
        <v>25</v>
      </c>
      <c r="BR2" s="65" t="s">
        <v>138</v>
      </c>
      <c r="BS2" s="65" t="s">
        <v>19</v>
      </c>
      <c r="BT2" s="66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45"/>
      <c r="AA3" s="40"/>
      <c r="AB3" s="40"/>
      <c r="AC3" s="40"/>
      <c r="AD3" s="41"/>
      <c r="AE3" s="49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1"/>
      <c r="AT3" s="7"/>
      <c r="AU3" s="45"/>
      <c r="AV3" s="40"/>
      <c r="AW3" s="40"/>
      <c r="AX3" s="40"/>
      <c r="AY3" s="41"/>
      <c r="AZ3" s="49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1"/>
      <c r="BO3" s="7"/>
      <c r="BP3" s="45"/>
      <c r="BQ3" s="40"/>
      <c r="BR3" s="40"/>
      <c r="BS3" s="40"/>
      <c r="BT3" s="41"/>
      <c r="BU3" s="49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1"/>
    </row>
    <row r="4" spans="1:87" x14ac:dyDescent="0.4">
      <c r="A4" s="15" t="s">
        <v>8</v>
      </c>
      <c r="B4" s="29">
        <v>1</v>
      </c>
      <c r="C4" s="29">
        <v>0</v>
      </c>
      <c r="D4" s="29">
        <v>0</v>
      </c>
      <c r="E4" s="4" t="s">
        <v>149</v>
      </c>
      <c r="F4" s="8" t="s">
        <v>146</v>
      </c>
      <c r="G4" s="9">
        <v>-1500</v>
      </c>
      <c r="H4" s="9"/>
      <c r="I4" s="10">
        <f>_xlfn.SWITCH(F4,"ロン",$C4*1000,"ツモ",$C4*1000,"放銃",$C4*-1000,"ツモ支払",$C4*-500,"")</f>
        <v>0</v>
      </c>
      <c r="J4" s="32">
        <f>IF(COUNTA($F4,$K4,$P4)&gt;0,J3+SUM(G4:I4),"")</f>
        <v>33500</v>
      </c>
      <c r="K4" s="8" t="s">
        <v>146</v>
      </c>
      <c r="L4" s="9">
        <v>-2500</v>
      </c>
      <c r="M4" s="9"/>
      <c r="N4" s="10">
        <f t="shared" ref="N4:N30" si="0">_xlfn.SWITCH(K4,"ロン",$C4*1000,"ツモ",$C4*1000,"放銃",$C4*-1000,"ツモ支払",$C4*-500,"")</f>
        <v>0</v>
      </c>
      <c r="O4" s="32">
        <f>IF(COUNTA($F4,$K4,$P4)&gt;0,O3+SUM(L4:N4),"")</f>
        <v>32500</v>
      </c>
      <c r="P4" s="8" t="s">
        <v>145</v>
      </c>
      <c r="Q4" s="9">
        <v>4000</v>
      </c>
      <c r="R4" s="9"/>
      <c r="S4" s="10">
        <f t="shared" ref="S4:S30" si="1">_xlfn.SWITCH(P4,"ロン",$C4*1000,"ツモ",$C4*1000,"放銃",$C4*-1000,"ツモ支払",$C4*-500,"")</f>
        <v>0</v>
      </c>
      <c r="T4" s="32">
        <f>IF(COUNTA($F4,$K4,$P4)&gt;0,T3+SUM(Q4:S4),"")</f>
        <v>39000</v>
      </c>
      <c r="U4" s="22">
        <f>IF($J4="","",ROUND(($J4-$J$3)/1000,0))</f>
        <v>-2</v>
      </c>
      <c r="V4" s="23">
        <f t="shared" ref="V4:V30" si="2">IF($O4="","",ROUND(($O4-$O$3)/1000,0))</f>
        <v>-3</v>
      </c>
      <c r="W4" s="24">
        <f t="shared" ref="W4:W30" si="3">IF($T4="","",ROUND(($T4-$T$3)/1000,0))</f>
        <v>4</v>
      </c>
      <c r="Y4" s="8"/>
      <c r="Z4" s="46"/>
      <c r="AA4" s="38"/>
      <c r="AB4" s="38">
        <v>1</v>
      </c>
      <c r="AC4" s="38"/>
      <c r="AD4" s="42"/>
      <c r="AE4" s="52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4"/>
      <c r="AT4" s="8"/>
      <c r="AU4" s="46"/>
      <c r="AV4" s="38"/>
      <c r="AW4" s="38"/>
      <c r="AX4" s="38"/>
      <c r="AY4" s="42"/>
      <c r="AZ4" s="52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4"/>
      <c r="BO4" s="8"/>
      <c r="BP4" s="46"/>
      <c r="BQ4" s="38">
        <v>1</v>
      </c>
      <c r="BR4" s="38"/>
      <c r="BS4" s="38">
        <v>3</v>
      </c>
      <c r="BT4" s="42">
        <v>30</v>
      </c>
      <c r="BU4" s="52" t="s">
        <v>144</v>
      </c>
      <c r="BV4" s="53" t="s">
        <v>88</v>
      </c>
      <c r="BW4" s="53" t="s">
        <v>86</v>
      </c>
      <c r="BX4" s="53"/>
      <c r="BY4" s="53"/>
      <c r="BZ4" s="53"/>
      <c r="CA4" s="53"/>
      <c r="CB4" s="53"/>
      <c r="CC4" s="53"/>
      <c r="CD4" s="53"/>
      <c r="CE4" s="53"/>
      <c r="CF4" s="53"/>
      <c r="CG4" s="53"/>
      <c r="CH4" s="53"/>
      <c r="CI4" s="54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2</v>
      </c>
      <c r="C5" s="29">
        <f>IF($E5="","",IF($E4=$E5,C4+1,0))</f>
        <v>0</v>
      </c>
      <c r="D5" s="29">
        <f>IF($E5="","",IF(OR($F4="流局",$F4="チョンボ"),D4+($H4+$M4+$R4)/-1000,0))</f>
        <v>0</v>
      </c>
      <c r="E5" s="4" t="s">
        <v>152</v>
      </c>
      <c r="F5" s="8"/>
      <c r="G5" s="9"/>
      <c r="H5" s="9"/>
      <c r="I5" s="10" t="str">
        <f t="shared" ref="I5:I30" si="4">_xlfn.SWITCH(F5,"ロン",$C5*1000,"ツモ",$C5*1000,"放銃",$C5*-1000,"ツモ支払",$C5*-500,"")</f>
        <v/>
      </c>
      <c r="J5" s="32">
        <f t="shared" ref="J5:J30" si="5">IF(COUNTA($F5,$K5,$P5)&gt;0,J4+SUM(G5:I5),"")</f>
        <v>33500</v>
      </c>
      <c r="K5" s="8" t="s">
        <v>140</v>
      </c>
      <c r="L5" s="9">
        <v>3900</v>
      </c>
      <c r="M5" s="9">
        <v>1000</v>
      </c>
      <c r="N5" s="10">
        <f t="shared" si="0"/>
        <v>0</v>
      </c>
      <c r="O5" s="32">
        <f t="shared" ref="O5:O30" si="6">IF(COUNTA($F5,$K5,$P5)&gt;0,O4+SUM(L5:N5),"")</f>
        <v>37400</v>
      </c>
      <c r="P5" s="8" t="s">
        <v>141</v>
      </c>
      <c r="Q5" s="9">
        <v>-3900</v>
      </c>
      <c r="R5" s="9">
        <v>-1000</v>
      </c>
      <c r="S5" s="10">
        <f t="shared" si="1"/>
        <v>0</v>
      </c>
      <c r="T5" s="32">
        <f t="shared" ref="T5:T30" si="7">IF(COUNTA($F5,$K5,$P5)&gt;0,T4+SUM(Q5:S5),"")</f>
        <v>34100</v>
      </c>
      <c r="U5" s="22">
        <f t="shared" ref="U5:U30" si="8">IF($J5="","",ROUND(($J5-$J$3)/1000,0))</f>
        <v>-2</v>
      </c>
      <c r="V5" s="23">
        <f t="shared" si="2"/>
        <v>2</v>
      </c>
      <c r="W5" s="24">
        <f t="shared" si="3"/>
        <v>-1</v>
      </c>
      <c r="Y5" s="8"/>
      <c r="Z5" s="46"/>
      <c r="AA5" s="38"/>
      <c r="AB5" s="38"/>
      <c r="AC5" s="38"/>
      <c r="AD5" s="42"/>
      <c r="AE5" s="52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4"/>
      <c r="AT5" s="8"/>
      <c r="AU5" s="46"/>
      <c r="AV5" s="38">
        <v>1</v>
      </c>
      <c r="AW5" s="38"/>
      <c r="AX5" s="38">
        <v>3</v>
      </c>
      <c r="AY5" s="42">
        <v>30</v>
      </c>
      <c r="AZ5" s="52" t="s">
        <v>144</v>
      </c>
      <c r="BA5" s="53" t="s">
        <v>89</v>
      </c>
      <c r="BB5" s="53" t="s">
        <v>87</v>
      </c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4"/>
      <c r="BO5" s="8"/>
      <c r="BP5" s="46"/>
      <c r="BQ5" s="38">
        <v>1</v>
      </c>
      <c r="BR5" s="38"/>
      <c r="BS5" s="38"/>
      <c r="BT5" s="42"/>
      <c r="BU5" s="52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4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3</v>
      </c>
      <c r="C6" s="29">
        <f t="shared" ref="C6:C30" si="11">IF($E6="","",IF($E5=$E6,C5+1,0))</f>
        <v>0</v>
      </c>
      <c r="D6" s="29">
        <f t="shared" ref="D6:D30" si="12">IF($E6="","",IF(OR($F5="流局",$F5="チョンボ"),D5+($H5+$M5+$R5)/-1000,0))</f>
        <v>0</v>
      </c>
      <c r="E6" s="4" t="s">
        <v>143</v>
      </c>
      <c r="F6" s="8" t="s">
        <v>146</v>
      </c>
      <c r="G6" s="9">
        <v>-7500</v>
      </c>
      <c r="H6" s="9">
        <v>-1000</v>
      </c>
      <c r="I6" s="10">
        <f t="shared" si="4"/>
        <v>0</v>
      </c>
      <c r="J6" s="32">
        <f t="shared" si="5"/>
        <v>25000</v>
      </c>
      <c r="K6" s="8" t="s">
        <v>145</v>
      </c>
      <c r="L6" s="9">
        <v>12000</v>
      </c>
      <c r="M6" s="9">
        <v>1000</v>
      </c>
      <c r="N6" s="10">
        <f t="shared" si="0"/>
        <v>0</v>
      </c>
      <c r="O6" s="32">
        <f t="shared" si="6"/>
        <v>50400</v>
      </c>
      <c r="P6" s="8" t="s">
        <v>146</v>
      </c>
      <c r="Q6" s="9">
        <v>-4500</v>
      </c>
      <c r="R6" s="9"/>
      <c r="S6" s="10">
        <f t="shared" si="1"/>
        <v>0</v>
      </c>
      <c r="T6" s="32">
        <f t="shared" si="7"/>
        <v>29600</v>
      </c>
      <c r="U6" s="22">
        <f t="shared" si="8"/>
        <v>-10</v>
      </c>
      <c r="V6" s="23">
        <f t="shared" si="2"/>
        <v>15</v>
      </c>
      <c r="W6" s="24">
        <f t="shared" si="3"/>
        <v>-5</v>
      </c>
      <c r="Y6" s="8"/>
      <c r="Z6" s="46"/>
      <c r="AA6" s="38">
        <v>1</v>
      </c>
      <c r="AB6" s="38"/>
      <c r="AC6" s="38"/>
      <c r="AD6" s="42"/>
      <c r="AE6" s="52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4"/>
      <c r="AT6" s="8"/>
      <c r="AU6" s="46"/>
      <c r="AV6" s="38">
        <v>1</v>
      </c>
      <c r="AW6" s="38"/>
      <c r="AX6" s="38">
        <v>7</v>
      </c>
      <c r="AY6" s="42" t="s">
        <v>142</v>
      </c>
      <c r="AZ6" s="52" t="s">
        <v>144</v>
      </c>
      <c r="BA6" s="53" t="s">
        <v>88</v>
      </c>
      <c r="BB6" s="53" t="s">
        <v>98</v>
      </c>
      <c r="BC6" s="53" t="s">
        <v>89</v>
      </c>
      <c r="BD6" s="53" t="s">
        <v>87</v>
      </c>
      <c r="BE6" s="53" t="s">
        <v>87</v>
      </c>
      <c r="BF6" s="53"/>
      <c r="BG6" s="53"/>
      <c r="BH6" s="53"/>
      <c r="BI6" s="53"/>
      <c r="BJ6" s="53"/>
      <c r="BK6" s="53"/>
      <c r="BL6" s="53"/>
      <c r="BM6" s="53"/>
      <c r="BN6" s="54"/>
      <c r="BO6" s="8"/>
      <c r="BP6" s="46"/>
      <c r="BQ6" s="38"/>
      <c r="BR6" s="38">
        <v>1</v>
      </c>
      <c r="BS6" s="38"/>
      <c r="BT6" s="42"/>
      <c r="BU6" s="52"/>
      <c r="BV6" s="53"/>
      <c r="BW6" s="53"/>
      <c r="BX6" s="53"/>
      <c r="BY6" s="53"/>
      <c r="BZ6" s="53"/>
      <c r="CA6" s="53"/>
      <c r="CB6" s="53"/>
      <c r="CC6" s="53"/>
      <c r="CD6" s="53"/>
      <c r="CE6" s="53"/>
      <c r="CF6" s="53"/>
      <c r="CG6" s="53"/>
      <c r="CH6" s="53"/>
      <c r="CI6" s="54"/>
    </row>
    <row r="7" spans="1:87" x14ac:dyDescent="0.4">
      <c r="A7" s="15" t="str">
        <f t="shared" si="9"/>
        <v>南</v>
      </c>
      <c r="B7" s="29">
        <f t="shared" si="10"/>
        <v>1</v>
      </c>
      <c r="C7" s="29">
        <f t="shared" si="11"/>
        <v>0</v>
      </c>
      <c r="D7" s="29">
        <f t="shared" si="12"/>
        <v>0</v>
      </c>
      <c r="E7" s="4" t="s">
        <v>149</v>
      </c>
      <c r="F7" s="8" t="s">
        <v>140</v>
      </c>
      <c r="G7" s="9">
        <v>8000</v>
      </c>
      <c r="H7" s="9"/>
      <c r="I7" s="10">
        <f t="shared" si="4"/>
        <v>0</v>
      </c>
      <c r="J7" s="32">
        <f t="shared" si="5"/>
        <v>33000</v>
      </c>
      <c r="K7" s="8"/>
      <c r="L7" s="9"/>
      <c r="M7" s="9"/>
      <c r="N7" s="10" t="str">
        <f t="shared" si="0"/>
        <v/>
      </c>
      <c r="O7" s="32">
        <f t="shared" si="6"/>
        <v>50400</v>
      </c>
      <c r="P7" s="8" t="s">
        <v>141</v>
      </c>
      <c r="Q7" s="9">
        <v>-8000</v>
      </c>
      <c r="R7" s="9"/>
      <c r="S7" s="10">
        <f t="shared" si="1"/>
        <v>0</v>
      </c>
      <c r="T7" s="32">
        <f t="shared" si="7"/>
        <v>21600</v>
      </c>
      <c r="U7" s="22">
        <f t="shared" si="8"/>
        <v>-2</v>
      </c>
      <c r="V7" s="23">
        <f t="shared" si="2"/>
        <v>15</v>
      </c>
      <c r="W7" s="24">
        <f t="shared" si="3"/>
        <v>-13</v>
      </c>
      <c r="Y7" s="8"/>
      <c r="Z7" s="46"/>
      <c r="AA7" s="38">
        <v>1</v>
      </c>
      <c r="AB7" s="38"/>
      <c r="AC7" s="38">
        <v>5</v>
      </c>
      <c r="AD7" s="42" t="s">
        <v>142</v>
      </c>
      <c r="AE7" s="52" t="s">
        <v>144</v>
      </c>
      <c r="AF7" s="53" t="s">
        <v>88</v>
      </c>
      <c r="AG7" s="53" t="s">
        <v>89</v>
      </c>
      <c r="AH7" s="53" t="s">
        <v>87</v>
      </c>
      <c r="AI7" s="53" t="s">
        <v>86</v>
      </c>
      <c r="AJ7" s="53"/>
      <c r="AK7" s="53"/>
      <c r="AL7" s="53"/>
      <c r="AM7" s="53"/>
      <c r="AN7" s="53"/>
      <c r="AO7" s="53"/>
      <c r="AP7" s="53"/>
      <c r="AQ7" s="53"/>
      <c r="AR7" s="53"/>
      <c r="AS7" s="54"/>
      <c r="AT7" s="8"/>
      <c r="AU7" s="46"/>
      <c r="AV7" s="38"/>
      <c r="AW7" s="38"/>
      <c r="AX7" s="38"/>
      <c r="AY7" s="42"/>
      <c r="AZ7" s="52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4"/>
      <c r="BO7" s="8"/>
      <c r="BP7" s="46"/>
      <c r="BQ7" s="38"/>
      <c r="BR7" s="38">
        <v>1</v>
      </c>
      <c r="BS7" s="38"/>
      <c r="BT7" s="42"/>
      <c r="BU7" s="52"/>
      <c r="BV7" s="53"/>
      <c r="BW7" s="53"/>
      <c r="BX7" s="53"/>
      <c r="BY7" s="53"/>
      <c r="BZ7" s="53"/>
      <c r="CA7" s="53"/>
      <c r="CB7" s="53"/>
      <c r="CC7" s="53"/>
      <c r="CD7" s="53"/>
      <c r="CE7" s="53"/>
      <c r="CF7" s="53"/>
      <c r="CG7" s="53"/>
      <c r="CH7" s="53"/>
      <c r="CI7" s="54"/>
    </row>
    <row r="8" spans="1:87" x14ac:dyDescent="0.4">
      <c r="A8" s="15" t="str">
        <f t="shared" si="9"/>
        <v>南</v>
      </c>
      <c r="B8" s="29">
        <f t="shared" si="10"/>
        <v>2</v>
      </c>
      <c r="C8" s="29">
        <f t="shared" si="11"/>
        <v>0</v>
      </c>
      <c r="D8" s="29">
        <f t="shared" si="12"/>
        <v>0</v>
      </c>
      <c r="E8" s="4" t="s">
        <v>152</v>
      </c>
      <c r="F8" s="8" t="s">
        <v>146</v>
      </c>
      <c r="G8" s="9">
        <v>-800</v>
      </c>
      <c r="H8" s="9"/>
      <c r="I8" s="10">
        <f t="shared" si="4"/>
        <v>0</v>
      </c>
      <c r="J8" s="32">
        <f t="shared" si="5"/>
        <v>32200</v>
      </c>
      <c r="K8" s="8" t="s">
        <v>145</v>
      </c>
      <c r="L8" s="9">
        <v>2100</v>
      </c>
      <c r="M8" s="9"/>
      <c r="N8" s="10">
        <f t="shared" si="0"/>
        <v>0</v>
      </c>
      <c r="O8" s="32">
        <f t="shared" si="6"/>
        <v>52500</v>
      </c>
      <c r="P8" s="8" t="s">
        <v>146</v>
      </c>
      <c r="Q8" s="9">
        <v>-1300</v>
      </c>
      <c r="R8" s="9"/>
      <c r="S8" s="10">
        <f t="shared" si="1"/>
        <v>0</v>
      </c>
      <c r="T8" s="32">
        <f t="shared" si="7"/>
        <v>20300</v>
      </c>
      <c r="U8" s="22">
        <f t="shared" si="8"/>
        <v>-3</v>
      </c>
      <c r="V8" s="23">
        <f t="shared" si="2"/>
        <v>18</v>
      </c>
      <c r="W8" s="24">
        <f t="shared" si="3"/>
        <v>-15</v>
      </c>
      <c r="Y8" s="8"/>
      <c r="Z8" s="46"/>
      <c r="AA8" s="38"/>
      <c r="AB8" s="38"/>
      <c r="AC8" s="38"/>
      <c r="AD8" s="42"/>
      <c r="AE8" s="52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4"/>
      <c r="AT8" s="8"/>
      <c r="AU8" s="46"/>
      <c r="AV8" s="38"/>
      <c r="AW8" s="38">
        <v>1</v>
      </c>
      <c r="AX8" s="38">
        <v>2</v>
      </c>
      <c r="AY8" s="42">
        <v>30</v>
      </c>
      <c r="AZ8" s="52" t="s">
        <v>92</v>
      </c>
      <c r="BA8" s="53" t="s">
        <v>87</v>
      </c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4"/>
      <c r="BO8" s="8"/>
      <c r="BP8" s="46"/>
      <c r="BQ8" s="38"/>
      <c r="BR8" s="38"/>
      <c r="BS8" s="38"/>
      <c r="BT8" s="42"/>
      <c r="BU8" s="52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4"/>
    </row>
    <row r="9" spans="1:87" x14ac:dyDescent="0.4">
      <c r="A9" s="15" t="str">
        <f t="shared" si="9"/>
        <v>南</v>
      </c>
      <c r="B9" s="29">
        <f t="shared" si="10"/>
        <v>3</v>
      </c>
      <c r="C9" s="29">
        <f t="shared" si="11"/>
        <v>0</v>
      </c>
      <c r="D9" s="29">
        <f t="shared" si="12"/>
        <v>0</v>
      </c>
      <c r="E9" s="4" t="s">
        <v>143</v>
      </c>
      <c r="F9" s="8" t="s">
        <v>140</v>
      </c>
      <c r="G9" s="9">
        <v>3900</v>
      </c>
      <c r="H9" s="9"/>
      <c r="I9" s="10">
        <f t="shared" si="4"/>
        <v>0</v>
      </c>
      <c r="J9" s="32">
        <f t="shared" si="5"/>
        <v>36100</v>
      </c>
      <c r="K9" s="8" t="s">
        <v>141</v>
      </c>
      <c r="L9" s="9">
        <v>-3900</v>
      </c>
      <c r="M9" s="9"/>
      <c r="N9" s="10">
        <f t="shared" si="0"/>
        <v>0</v>
      </c>
      <c r="O9" s="32">
        <f t="shared" si="6"/>
        <v>48600</v>
      </c>
      <c r="P9" s="8"/>
      <c r="Q9" s="9"/>
      <c r="R9" s="9"/>
      <c r="S9" s="10" t="str">
        <f t="shared" si="1"/>
        <v/>
      </c>
      <c r="T9" s="32">
        <f t="shared" si="7"/>
        <v>20300</v>
      </c>
      <c r="U9" s="22">
        <f t="shared" si="8"/>
        <v>1</v>
      </c>
      <c r="V9" s="23">
        <f t="shared" si="2"/>
        <v>14</v>
      </c>
      <c r="W9" s="24">
        <f t="shared" si="3"/>
        <v>-15</v>
      </c>
      <c r="Y9" s="8"/>
      <c r="Z9" s="46"/>
      <c r="AA9" s="38">
        <v>1</v>
      </c>
      <c r="AB9" s="38"/>
      <c r="AC9" s="38">
        <v>2</v>
      </c>
      <c r="AD9" s="42">
        <v>40</v>
      </c>
      <c r="AE9" s="52" t="s">
        <v>144</v>
      </c>
      <c r="AF9" s="53" t="s">
        <v>87</v>
      </c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4"/>
      <c r="AT9" s="8"/>
      <c r="AU9" s="46"/>
      <c r="AV9" s="38"/>
      <c r="AW9" s="38"/>
      <c r="AX9" s="38"/>
      <c r="AY9" s="42"/>
      <c r="AZ9" s="52"/>
      <c r="BA9" s="53"/>
      <c r="BB9" s="53"/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4"/>
      <c r="BO9" s="8"/>
      <c r="BP9" s="46"/>
      <c r="BQ9" s="38"/>
      <c r="BR9" s="38"/>
      <c r="BS9" s="38"/>
      <c r="BT9" s="42"/>
      <c r="BU9" s="52"/>
      <c r="BV9" s="53"/>
      <c r="BW9" s="53"/>
      <c r="BX9" s="53"/>
      <c r="BY9" s="53"/>
      <c r="BZ9" s="53"/>
      <c r="CA9" s="53"/>
      <c r="CB9" s="53"/>
      <c r="CC9" s="53"/>
      <c r="CD9" s="53"/>
      <c r="CE9" s="53"/>
      <c r="CF9" s="53"/>
      <c r="CG9" s="53"/>
      <c r="CH9" s="53"/>
      <c r="CI9" s="54"/>
    </row>
    <row r="10" spans="1:87" x14ac:dyDescent="0.4">
      <c r="A10" s="15" t="str">
        <f t="shared" si="9"/>
        <v>南</v>
      </c>
      <c r="B10" s="29">
        <f t="shared" si="10"/>
        <v>3</v>
      </c>
      <c r="C10" s="29">
        <f t="shared" si="11"/>
        <v>1</v>
      </c>
      <c r="D10" s="29">
        <f t="shared" si="12"/>
        <v>0</v>
      </c>
      <c r="E10" s="4" t="s">
        <v>143</v>
      </c>
      <c r="F10" s="8" t="s">
        <v>147</v>
      </c>
      <c r="G10" s="9">
        <v>1500</v>
      </c>
      <c r="H10" s="9">
        <v>-1000</v>
      </c>
      <c r="I10" s="10" t="str">
        <f t="shared" si="4"/>
        <v/>
      </c>
      <c r="J10" s="32">
        <f t="shared" si="5"/>
        <v>36600</v>
      </c>
      <c r="K10" s="8" t="s">
        <v>147</v>
      </c>
      <c r="L10" s="9">
        <v>-3000</v>
      </c>
      <c r="M10" s="9"/>
      <c r="N10" s="10" t="str">
        <f t="shared" si="0"/>
        <v/>
      </c>
      <c r="O10" s="32">
        <f t="shared" si="6"/>
        <v>45600</v>
      </c>
      <c r="P10" s="8" t="s">
        <v>147</v>
      </c>
      <c r="Q10" s="9">
        <v>1500</v>
      </c>
      <c r="R10" s="9">
        <v>-1000</v>
      </c>
      <c r="S10" s="10" t="str">
        <f t="shared" si="1"/>
        <v/>
      </c>
      <c r="T10" s="32">
        <f t="shared" si="7"/>
        <v>20800</v>
      </c>
      <c r="U10" s="22">
        <f t="shared" si="8"/>
        <v>2</v>
      </c>
      <c r="V10" s="23">
        <f t="shared" si="2"/>
        <v>11</v>
      </c>
      <c r="W10" s="24">
        <f t="shared" si="3"/>
        <v>-14</v>
      </c>
      <c r="Y10" s="8" t="s">
        <v>150</v>
      </c>
      <c r="Z10" s="46"/>
      <c r="AA10" s="38">
        <v>1</v>
      </c>
      <c r="AB10" s="38"/>
      <c r="AC10" s="38"/>
      <c r="AD10" s="42"/>
      <c r="AE10" s="52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4"/>
      <c r="AT10" s="8" t="s">
        <v>151</v>
      </c>
      <c r="AU10" s="46"/>
      <c r="AV10" s="38"/>
      <c r="AW10" s="38"/>
      <c r="AX10" s="38"/>
      <c r="AY10" s="42"/>
      <c r="AZ10" s="52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4"/>
      <c r="BO10" s="8" t="s">
        <v>150</v>
      </c>
      <c r="BP10" s="46"/>
      <c r="BQ10" s="38">
        <v>1</v>
      </c>
      <c r="BR10" s="38"/>
      <c r="BS10" s="38"/>
      <c r="BT10" s="42"/>
      <c r="BU10" s="52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4"/>
    </row>
    <row r="11" spans="1:87" x14ac:dyDescent="0.4">
      <c r="A11" s="15" t="str">
        <f t="shared" si="9"/>
        <v>南</v>
      </c>
      <c r="B11" s="29">
        <f t="shared" si="10"/>
        <v>3</v>
      </c>
      <c r="C11" s="29">
        <f t="shared" si="11"/>
        <v>2</v>
      </c>
      <c r="D11" s="29">
        <f t="shared" si="12"/>
        <v>2</v>
      </c>
      <c r="E11" s="4" t="s">
        <v>143</v>
      </c>
      <c r="F11" s="8"/>
      <c r="G11" s="9"/>
      <c r="H11" s="9"/>
      <c r="I11" s="10" t="str">
        <f t="shared" si="4"/>
        <v/>
      </c>
      <c r="J11" s="32">
        <f t="shared" si="5"/>
        <v>36600</v>
      </c>
      <c r="K11" s="8" t="s">
        <v>140</v>
      </c>
      <c r="L11" s="9">
        <v>8000</v>
      </c>
      <c r="M11" s="9">
        <v>2000</v>
      </c>
      <c r="N11" s="10">
        <f t="shared" si="0"/>
        <v>2000</v>
      </c>
      <c r="O11" s="32">
        <f t="shared" si="6"/>
        <v>57600</v>
      </c>
      <c r="P11" s="8" t="s">
        <v>141</v>
      </c>
      <c r="Q11" s="9">
        <v>-8000</v>
      </c>
      <c r="R11" s="9"/>
      <c r="S11" s="10">
        <f t="shared" si="1"/>
        <v>-2000</v>
      </c>
      <c r="T11" s="32">
        <f t="shared" si="7"/>
        <v>10800</v>
      </c>
      <c r="U11" s="22">
        <f t="shared" si="8"/>
        <v>2</v>
      </c>
      <c r="V11" s="23">
        <f t="shared" si="2"/>
        <v>23</v>
      </c>
      <c r="W11" s="24">
        <f t="shared" si="3"/>
        <v>-24</v>
      </c>
      <c r="Y11" s="8"/>
      <c r="Z11" s="46"/>
      <c r="AA11" s="38"/>
      <c r="AB11" s="38"/>
      <c r="AC11" s="38"/>
      <c r="AD11" s="42"/>
      <c r="AE11" s="52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4"/>
      <c r="AT11" s="8"/>
      <c r="AU11" s="46"/>
      <c r="AV11" s="38"/>
      <c r="AW11" s="38">
        <v>1</v>
      </c>
      <c r="AX11" s="38">
        <v>4</v>
      </c>
      <c r="AY11" s="42">
        <v>30</v>
      </c>
      <c r="AZ11" s="52" t="s">
        <v>87</v>
      </c>
      <c r="BA11" s="53" t="s">
        <v>87</v>
      </c>
      <c r="BB11" s="53" t="s">
        <v>104</v>
      </c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4"/>
      <c r="BO11" s="8"/>
      <c r="BP11" s="46"/>
      <c r="BQ11" s="38"/>
      <c r="BR11" s="38">
        <v>1</v>
      </c>
      <c r="BS11" s="38"/>
      <c r="BT11" s="42"/>
      <c r="BU11" s="52"/>
      <c r="BV11" s="53"/>
      <c r="BW11" s="53"/>
      <c r="BX11" s="53"/>
      <c r="BY11" s="53"/>
      <c r="BZ11" s="53"/>
      <c r="CA11" s="53"/>
      <c r="CB11" s="53"/>
      <c r="CC11" s="53"/>
      <c r="CD11" s="53"/>
      <c r="CE11" s="53"/>
      <c r="CF11" s="53"/>
      <c r="CG11" s="53"/>
      <c r="CH11" s="53"/>
      <c r="CI11" s="54"/>
    </row>
    <row r="12" spans="1:87" x14ac:dyDescent="0.4">
      <c r="A12" s="15" t="str">
        <f t="shared" si="9"/>
        <v/>
      </c>
      <c r="B12" s="29" t="str">
        <f t="shared" si="10"/>
        <v/>
      </c>
      <c r="C12" s="29" t="str">
        <f t="shared" si="11"/>
        <v/>
      </c>
      <c r="D12" s="29" t="str">
        <f t="shared" si="12"/>
        <v/>
      </c>
      <c r="E12" s="4"/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0"/>
        <v/>
      </c>
      <c r="O12" s="32" t="str">
        <f t="shared" si="6"/>
        <v/>
      </c>
      <c r="P12" s="8"/>
      <c r="Q12" s="9"/>
      <c r="R12" s="9"/>
      <c r="S12" s="10" t="str">
        <f t="shared" si="1"/>
        <v/>
      </c>
      <c r="T12" s="32" t="str">
        <f t="shared" si="7"/>
        <v/>
      </c>
      <c r="U12" s="22" t="str">
        <f t="shared" si="8"/>
        <v/>
      </c>
      <c r="V12" s="23" t="str">
        <f t="shared" si="2"/>
        <v/>
      </c>
      <c r="W12" s="24" t="str">
        <f t="shared" si="3"/>
        <v/>
      </c>
      <c r="Y12" s="8"/>
      <c r="Z12" s="46"/>
      <c r="AA12" s="38"/>
      <c r="AB12" s="38"/>
      <c r="AC12" s="38"/>
      <c r="AD12" s="42"/>
      <c r="AE12" s="52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4"/>
      <c r="AT12" s="8"/>
      <c r="AU12" s="46"/>
      <c r="AV12" s="38"/>
      <c r="AW12" s="38"/>
      <c r="AX12" s="38"/>
      <c r="AY12" s="42"/>
      <c r="AZ12" s="52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4"/>
      <c r="BO12" s="8"/>
      <c r="BP12" s="46"/>
      <c r="BQ12" s="38"/>
      <c r="BR12" s="38"/>
      <c r="BS12" s="38"/>
      <c r="BT12" s="42"/>
      <c r="BU12" s="52"/>
      <c r="BV12" s="53"/>
      <c r="BW12" s="53"/>
      <c r="BX12" s="53"/>
      <c r="BY12" s="53"/>
      <c r="BZ12" s="53"/>
      <c r="CA12" s="53"/>
      <c r="CB12" s="53"/>
      <c r="CC12" s="53"/>
      <c r="CD12" s="53"/>
      <c r="CE12" s="53"/>
      <c r="CF12" s="53"/>
      <c r="CG12" s="53"/>
      <c r="CH12" s="53"/>
      <c r="CI12" s="54"/>
    </row>
    <row r="13" spans="1:87" x14ac:dyDescent="0.4">
      <c r="A13" s="15" t="str">
        <f t="shared" si="9"/>
        <v/>
      </c>
      <c r="B13" s="29" t="str">
        <f t="shared" si="10"/>
        <v/>
      </c>
      <c r="C13" s="29" t="str">
        <f t="shared" si="11"/>
        <v/>
      </c>
      <c r="D13" s="29" t="str">
        <f t="shared" si="12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0"/>
        <v/>
      </c>
      <c r="O13" s="32" t="str">
        <f t="shared" si="6"/>
        <v/>
      </c>
      <c r="P13" s="8"/>
      <c r="Q13" s="9"/>
      <c r="R13" s="9"/>
      <c r="S13" s="10" t="str">
        <f t="shared" si="1"/>
        <v/>
      </c>
      <c r="T13" s="32" t="str">
        <f t="shared" si="7"/>
        <v/>
      </c>
      <c r="U13" s="22" t="str">
        <f t="shared" si="8"/>
        <v/>
      </c>
      <c r="V13" s="23" t="str">
        <f t="shared" si="2"/>
        <v/>
      </c>
      <c r="W13" s="24" t="str">
        <f t="shared" si="3"/>
        <v/>
      </c>
      <c r="Y13" s="8"/>
      <c r="Z13" s="46"/>
      <c r="AA13" s="38"/>
      <c r="AB13" s="38"/>
      <c r="AC13" s="38"/>
      <c r="AD13" s="42"/>
      <c r="AE13" s="52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4"/>
      <c r="AT13" s="8"/>
      <c r="AU13" s="46"/>
      <c r="AV13" s="38"/>
      <c r="AW13" s="38"/>
      <c r="AX13" s="38"/>
      <c r="AY13" s="42"/>
      <c r="AZ13" s="52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4"/>
      <c r="BO13" s="8"/>
      <c r="BP13" s="46"/>
      <c r="BQ13" s="38"/>
      <c r="BR13" s="38"/>
      <c r="BS13" s="38"/>
      <c r="BT13" s="42"/>
      <c r="BU13" s="52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  <c r="CG13" s="53"/>
      <c r="CH13" s="53"/>
      <c r="CI13" s="54"/>
    </row>
    <row r="14" spans="1:87" x14ac:dyDescent="0.4">
      <c r="A14" s="15" t="str">
        <f t="shared" si="9"/>
        <v/>
      </c>
      <c r="B14" s="29" t="str">
        <f t="shared" si="10"/>
        <v/>
      </c>
      <c r="C14" s="29" t="str">
        <f t="shared" si="11"/>
        <v/>
      </c>
      <c r="D14" s="29" t="str">
        <f t="shared" si="12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0"/>
        <v/>
      </c>
      <c r="O14" s="32" t="str">
        <f t="shared" si="6"/>
        <v/>
      </c>
      <c r="P14" s="8"/>
      <c r="Q14" s="9"/>
      <c r="R14" s="9"/>
      <c r="S14" s="10" t="str">
        <f t="shared" si="1"/>
        <v/>
      </c>
      <c r="T14" s="32" t="str">
        <f t="shared" si="7"/>
        <v/>
      </c>
      <c r="U14" s="22" t="str">
        <f t="shared" si="8"/>
        <v/>
      </c>
      <c r="V14" s="23" t="str">
        <f t="shared" si="2"/>
        <v/>
      </c>
      <c r="W14" s="24" t="str">
        <f t="shared" si="3"/>
        <v/>
      </c>
      <c r="Y14" s="8"/>
      <c r="Z14" s="46"/>
      <c r="AA14" s="38"/>
      <c r="AB14" s="38"/>
      <c r="AC14" s="38"/>
      <c r="AD14" s="42"/>
      <c r="AE14" s="52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4"/>
      <c r="AT14" s="8"/>
      <c r="AU14" s="46"/>
      <c r="AV14" s="38"/>
      <c r="AW14" s="38"/>
      <c r="AX14" s="38"/>
      <c r="AY14" s="42"/>
      <c r="AZ14" s="52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4"/>
      <c r="BO14" s="8"/>
      <c r="BP14" s="46"/>
      <c r="BQ14" s="38"/>
      <c r="BR14" s="38"/>
      <c r="BS14" s="38"/>
      <c r="BT14" s="42"/>
      <c r="BU14" s="52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4"/>
    </row>
    <row r="15" spans="1:87" x14ac:dyDescent="0.4">
      <c r="A15" s="15" t="str">
        <f t="shared" si="9"/>
        <v/>
      </c>
      <c r="B15" s="29" t="str">
        <f t="shared" si="10"/>
        <v/>
      </c>
      <c r="C15" s="29" t="str">
        <f t="shared" si="11"/>
        <v/>
      </c>
      <c r="D15" s="29" t="str">
        <f t="shared" si="12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0"/>
        <v/>
      </c>
      <c r="O15" s="32" t="str">
        <f t="shared" si="6"/>
        <v/>
      </c>
      <c r="P15" s="8"/>
      <c r="Q15" s="9"/>
      <c r="R15" s="9"/>
      <c r="S15" s="10" t="str">
        <f t="shared" si="1"/>
        <v/>
      </c>
      <c r="T15" s="32" t="str">
        <f t="shared" si="7"/>
        <v/>
      </c>
      <c r="U15" s="22" t="str">
        <f t="shared" si="8"/>
        <v/>
      </c>
      <c r="V15" s="23" t="str">
        <f t="shared" si="2"/>
        <v/>
      </c>
      <c r="W15" s="24" t="str">
        <f t="shared" si="3"/>
        <v/>
      </c>
      <c r="Y15" s="8"/>
      <c r="Z15" s="46"/>
      <c r="AA15" s="38"/>
      <c r="AB15" s="38"/>
      <c r="AC15" s="38"/>
      <c r="AD15" s="42"/>
      <c r="AE15" s="52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4"/>
      <c r="AT15" s="8"/>
      <c r="AU15" s="46"/>
      <c r="AV15" s="38"/>
      <c r="AW15" s="38"/>
      <c r="AX15" s="38"/>
      <c r="AY15" s="42"/>
      <c r="AZ15" s="52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4"/>
      <c r="BO15" s="8"/>
      <c r="BP15" s="46"/>
      <c r="BQ15" s="38"/>
      <c r="BR15" s="38"/>
      <c r="BS15" s="38"/>
      <c r="BT15" s="42"/>
      <c r="BU15" s="52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  <c r="CG15" s="53"/>
      <c r="CH15" s="53"/>
      <c r="CI15" s="54"/>
    </row>
    <row r="16" spans="1:87" x14ac:dyDescent="0.4">
      <c r="A16" s="15" t="str">
        <f t="shared" si="9"/>
        <v/>
      </c>
      <c r="B16" s="29" t="str">
        <f t="shared" si="10"/>
        <v/>
      </c>
      <c r="C16" s="29" t="str">
        <f t="shared" si="11"/>
        <v/>
      </c>
      <c r="D16" s="29" t="str">
        <f t="shared" si="12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0"/>
        <v/>
      </c>
      <c r="O16" s="32" t="str">
        <f t="shared" si="6"/>
        <v/>
      </c>
      <c r="P16" s="8"/>
      <c r="Q16" s="9"/>
      <c r="R16" s="9"/>
      <c r="S16" s="10" t="str">
        <f t="shared" si="1"/>
        <v/>
      </c>
      <c r="T16" s="32" t="str">
        <f t="shared" si="7"/>
        <v/>
      </c>
      <c r="U16" s="22" t="str">
        <f t="shared" si="8"/>
        <v/>
      </c>
      <c r="V16" s="23" t="str">
        <f t="shared" si="2"/>
        <v/>
      </c>
      <c r="W16" s="24" t="str">
        <f t="shared" si="3"/>
        <v/>
      </c>
      <c r="Y16" s="8"/>
      <c r="Z16" s="46"/>
      <c r="AA16" s="38"/>
      <c r="AB16" s="38"/>
      <c r="AC16" s="38"/>
      <c r="AD16" s="42"/>
      <c r="AE16" s="52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4"/>
      <c r="AT16" s="8"/>
      <c r="AU16" s="46"/>
      <c r="AV16" s="38"/>
      <c r="AW16" s="38"/>
      <c r="AX16" s="38"/>
      <c r="AY16" s="42"/>
      <c r="AZ16" s="52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4"/>
      <c r="BO16" s="8"/>
      <c r="BP16" s="46"/>
      <c r="BQ16" s="38"/>
      <c r="BR16" s="38"/>
      <c r="BS16" s="38"/>
      <c r="BT16" s="42"/>
      <c r="BU16" s="52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4"/>
    </row>
    <row r="17" spans="1:87" x14ac:dyDescent="0.4">
      <c r="A17" s="15" t="str">
        <f t="shared" si="9"/>
        <v/>
      </c>
      <c r="B17" s="29" t="str">
        <f t="shared" si="10"/>
        <v/>
      </c>
      <c r="C17" s="29" t="str">
        <f t="shared" si="11"/>
        <v/>
      </c>
      <c r="D17" s="29" t="str">
        <f t="shared" si="12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0"/>
        <v/>
      </c>
      <c r="O17" s="32" t="str">
        <f t="shared" si="6"/>
        <v/>
      </c>
      <c r="P17" s="8"/>
      <c r="Q17" s="9"/>
      <c r="R17" s="9"/>
      <c r="S17" s="10" t="str">
        <f t="shared" si="1"/>
        <v/>
      </c>
      <c r="T17" s="32" t="str">
        <f t="shared" si="7"/>
        <v/>
      </c>
      <c r="U17" s="22" t="str">
        <f t="shared" si="8"/>
        <v/>
      </c>
      <c r="V17" s="23" t="str">
        <f t="shared" si="2"/>
        <v/>
      </c>
      <c r="W17" s="24" t="str">
        <f t="shared" si="3"/>
        <v/>
      </c>
      <c r="Y17" s="8"/>
      <c r="Z17" s="46"/>
      <c r="AA17" s="38"/>
      <c r="AB17" s="38"/>
      <c r="AC17" s="38"/>
      <c r="AD17" s="42"/>
      <c r="AE17" s="52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4"/>
      <c r="AT17" s="8"/>
      <c r="AU17" s="46"/>
      <c r="AV17" s="38"/>
      <c r="AW17" s="38"/>
      <c r="AX17" s="38"/>
      <c r="AY17" s="42"/>
      <c r="AZ17" s="52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4"/>
      <c r="BO17" s="8"/>
      <c r="BP17" s="46"/>
      <c r="BQ17" s="38"/>
      <c r="BR17" s="38"/>
      <c r="BS17" s="38"/>
      <c r="BT17" s="42"/>
      <c r="BU17" s="52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  <c r="CG17" s="53"/>
      <c r="CH17" s="53"/>
      <c r="CI17" s="54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46"/>
      <c r="AA18" s="38"/>
      <c r="AB18" s="38"/>
      <c r="AC18" s="38"/>
      <c r="AD18" s="42"/>
      <c r="AE18" s="52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4"/>
      <c r="AT18" s="8"/>
      <c r="AU18" s="46"/>
      <c r="AV18" s="38"/>
      <c r="AW18" s="38"/>
      <c r="AX18" s="38"/>
      <c r="AY18" s="42"/>
      <c r="AZ18" s="52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4"/>
      <c r="BO18" s="8"/>
      <c r="BP18" s="46"/>
      <c r="BQ18" s="38"/>
      <c r="BR18" s="38"/>
      <c r="BS18" s="38"/>
      <c r="BT18" s="42"/>
      <c r="BU18" s="52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4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46"/>
      <c r="AA19" s="38"/>
      <c r="AB19" s="38"/>
      <c r="AC19" s="38"/>
      <c r="AD19" s="42"/>
      <c r="AE19" s="52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4"/>
      <c r="AT19" s="8"/>
      <c r="AU19" s="46"/>
      <c r="AV19" s="38"/>
      <c r="AW19" s="38"/>
      <c r="AX19" s="38"/>
      <c r="AY19" s="42"/>
      <c r="AZ19" s="52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4"/>
      <c r="BO19" s="8"/>
      <c r="BP19" s="46"/>
      <c r="BQ19" s="38"/>
      <c r="BR19" s="38"/>
      <c r="BS19" s="38"/>
      <c r="BT19" s="42"/>
      <c r="BU19" s="52"/>
      <c r="BV19" s="53"/>
      <c r="BW19" s="53"/>
      <c r="BX19" s="53"/>
      <c r="BY19" s="53"/>
      <c r="BZ19" s="53"/>
      <c r="CA19" s="53"/>
      <c r="CB19" s="53"/>
      <c r="CC19" s="53"/>
      <c r="CD19" s="53"/>
      <c r="CE19" s="53"/>
      <c r="CF19" s="53"/>
      <c r="CG19" s="53"/>
      <c r="CH19" s="53"/>
      <c r="CI19" s="54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46"/>
      <c r="AA20" s="38"/>
      <c r="AB20" s="38"/>
      <c r="AC20" s="38"/>
      <c r="AD20" s="42"/>
      <c r="AE20" s="52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4"/>
      <c r="AT20" s="8"/>
      <c r="AU20" s="46"/>
      <c r="AV20" s="38"/>
      <c r="AW20" s="38"/>
      <c r="AX20" s="38"/>
      <c r="AY20" s="42"/>
      <c r="AZ20" s="52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4"/>
      <c r="BO20" s="8"/>
      <c r="BP20" s="46"/>
      <c r="BQ20" s="38"/>
      <c r="BR20" s="38"/>
      <c r="BS20" s="38"/>
      <c r="BT20" s="42"/>
      <c r="BU20" s="52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4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46"/>
      <c r="AA21" s="38"/>
      <c r="AB21" s="38"/>
      <c r="AC21" s="38"/>
      <c r="AD21" s="42"/>
      <c r="AE21" s="52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4"/>
      <c r="AT21" s="8"/>
      <c r="AU21" s="46"/>
      <c r="AV21" s="38"/>
      <c r="AW21" s="38"/>
      <c r="AX21" s="38"/>
      <c r="AY21" s="42"/>
      <c r="AZ21" s="52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4"/>
      <c r="BO21" s="8"/>
      <c r="BP21" s="46"/>
      <c r="BQ21" s="38"/>
      <c r="BR21" s="38"/>
      <c r="BS21" s="38"/>
      <c r="BT21" s="42"/>
      <c r="BU21" s="52"/>
      <c r="BV21" s="53"/>
      <c r="BW21" s="53"/>
      <c r="BX21" s="53"/>
      <c r="BY21" s="53"/>
      <c r="BZ21" s="53"/>
      <c r="CA21" s="53"/>
      <c r="CB21" s="53"/>
      <c r="CC21" s="53"/>
      <c r="CD21" s="53"/>
      <c r="CE21" s="53"/>
      <c r="CF21" s="53"/>
      <c r="CG21" s="53"/>
      <c r="CH21" s="53"/>
      <c r="CI21" s="54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46"/>
      <c r="AA22" s="38"/>
      <c r="AB22" s="38"/>
      <c r="AC22" s="38"/>
      <c r="AD22" s="42"/>
      <c r="AE22" s="52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4"/>
      <c r="AT22" s="8"/>
      <c r="AU22" s="46"/>
      <c r="AV22" s="38"/>
      <c r="AW22" s="38"/>
      <c r="AX22" s="38"/>
      <c r="AY22" s="42"/>
      <c r="AZ22" s="52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4"/>
      <c r="BO22" s="8"/>
      <c r="BP22" s="46"/>
      <c r="BQ22" s="38"/>
      <c r="BR22" s="38"/>
      <c r="BS22" s="38"/>
      <c r="BT22" s="42"/>
      <c r="BU22" s="52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4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46"/>
      <c r="AA23" s="38"/>
      <c r="AB23" s="38"/>
      <c r="AC23" s="38"/>
      <c r="AD23" s="42"/>
      <c r="AE23" s="52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4"/>
      <c r="AT23" s="8"/>
      <c r="AU23" s="46"/>
      <c r="AV23" s="38"/>
      <c r="AW23" s="38"/>
      <c r="AX23" s="38"/>
      <c r="AY23" s="42"/>
      <c r="AZ23" s="52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4"/>
      <c r="BO23" s="8"/>
      <c r="BP23" s="46"/>
      <c r="BQ23" s="38"/>
      <c r="BR23" s="38"/>
      <c r="BS23" s="38"/>
      <c r="BT23" s="42"/>
      <c r="BU23" s="52"/>
      <c r="BV23" s="53"/>
      <c r="BW23" s="53"/>
      <c r="BX23" s="53"/>
      <c r="BY23" s="53"/>
      <c r="BZ23" s="53"/>
      <c r="CA23" s="53"/>
      <c r="CB23" s="53"/>
      <c r="CC23" s="53"/>
      <c r="CD23" s="53"/>
      <c r="CE23" s="53"/>
      <c r="CF23" s="53"/>
      <c r="CG23" s="53"/>
      <c r="CH23" s="53"/>
      <c r="CI23" s="54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46"/>
      <c r="AA24" s="38"/>
      <c r="AB24" s="38"/>
      <c r="AC24" s="38"/>
      <c r="AD24" s="42"/>
      <c r="AE24" s="52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4"/>
      <c r="AT24" s="8"/>
      <c r="AU24" s="46"/>
      <c r="AV24" s="38"/>
      <c r="AW24" s="38"/>
      <c r="AX24" s="38"/>
      <c r="AY24" s="42"/>
      <c r="AZ24" s="52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4"/>
      <c r="BO24" s="8"/>
      <c r="BP24" s="46"/>
      <c r="BQ24" s="38"/>
      <c r="BR24" s="38"/>
      <c r="BS24" s="38"/>
      <c r="BT24" s="42"/>
      <c r="BU24" s="52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  <c r="CG24" s="53"/>
      <c r="CH24" s="53"/>
      <c r="CI24" s="54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46"/>
      <c r="AA25" s="38"/>
      <c r="AB25" s="38"/>
      <c r="AC25" s="38"/>
      <c r="AD25" s="42"/>
      <c r="AE25" s="52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4"/>
      <c r="AT25" s="8"/>
      <c r="AU25" s="46"/>
      <c r="AV25" s="38"/>
      <c r="AW25" s="38"/>
      <c r="AX25" s="38"/>
      <c r="AY25" s="42"/>
      <c r="AZ25" s="52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4"/>
      <c r="BO25" s="8"/>
      <c r="BP25" s="46"/>
      <c r="BQ25" s="38"/>
      <c r="BR25" s="38"/>
      <c r="BS25" s="38"/>
      <c r="BT25" s="42"/>
      <c r="BU25" s="52"/>
      <c r="BV25" s="53"/>
      <c r="BW25" s="53"/>
      <c r="BX25" s="53"/>
      <c r="BY25" s="53"/>
      <c r="BZ25" s="53"/>
      <c r="CA25" s="53"/>
      <c r="CB25" s="53"/>
      <c r="CC25" s="53"/>
      <c r="CD25" s="53"/>
      <c r="CE25" s="53"/>
      <c r="CF25" s="53"/>
      <c r="CG25" s="53"/>
      <c r="CH25" s="53"/>
      <c r="CI25" s="54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46"/>
      <c r="AA26" s="38"/>
      <c r="AB26" s="38"/>
      <c r="AC26" s="38"/>
      <c r="AD26" s="42"/>
      <c r="AE26" s="52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4"/>
      <c r="AT26" s="8"/>
      <c r="AU26" s="46"/>
      <c r="AV26" s="38"/>
      <c r="AW26" s="38"/>
      <c r="AX26" s="38"/>
      <c r="AY26" s="42"/>
      <c r="AZ26" s="52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4"/>
      <c r="BO26" s="8"/>
      <c r="BP26" s="46"/>
      <c r="BQ26" s="38"/>
      <c r="BR26" s="38"/>
      <c r="BS26" s="38"/>
      <c r="BT26" s="42"/>
      <c r="BU26" s="52"/>
      <c r="BV26" s="53"/>
      <c r="BW26" s="53"/>
      <c r="BX26" s="53"/>
      <c r="BY26" s="53"/>
      <c r="BZ26" s="53"/>
      <c r="CA26" s="53"/>
      <c r="CB26" s="53"/>
      <c r="CC26" s="53"/>
      <c r="CD26" s="53"/>
      <c r="CE26" s="53"/>
      <c r="CF26" s="53"/>
      <c r="CG26" s="53"/>
      <c r="CH26" s="53"/>
      <c r="CI26" s="54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46"/>
      <c r="AA27" s="38"/>
      <c r="AB27" s="38"/>
      <c r="AC27" s="38"/>
      <c r="AD27" s="42"/>
      <c r="AE27" s="52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4"/>
      <c r="AT27" s="8"/>
      <c r="AU27" s="46"/>
      <c r="AV27" s="38"/>
      <c r="AW27" s="38"/>
      <c r="AX27" s="38"/>
      <c r="AY27" s="42"/>
      <c r="AZ27" s="52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4"/>
      <c r="BO27" s="8"/>
      <c r="BP27" s="46"/>
      <c r="BQ27" s="38"/>
      <c r="BR27" s="38"/>
      <c r="BS27" s="38"/>
      <c r="BT27" s="42"/>
      <c r="BU27" s="52"/>
      <c r="BV27" s="53"/>
      <c r="BW27" s="53"/>
      <c r="BX27" s="53"/>
      <c r="BY27" s="53"/>
      <c r="BZ27" s="53"/>
      <c r="CA27" s="53"/>
      <c r="CB27" s="53"/>
      <c r="CC27" s="53"/>
      <c r="CD27" s="53"/>
      <c r="CE27" s="53"/>
      <c r="CF27" s="53"/>
      <c r="CG27" s="53"/>
      <c r="CH27" s="53"/>
      <c r="CI27" s="54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46"/>
      <c r="AA28" s="38"/>
      <c r="AB28" s="38"/>
      <c r="AC28" s="38"/>
      <c r="AD28" s="42"/>
      <c r="AE28" s="52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4"/>
      <c r="AT28" s="8"/>
      <c r="AU28" s="46"/>
      <c r="AV28" s="38"/>
      <c r="AW28" s="38"/>
      <c r="AX28" s="38"/>
      <c r="AY28" s="42"/>
      <c r="AZ28" s="52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4"/>
      <c r="BO28" s="8"/>
      <c r="BP28" s="46"/>
      <c r="BQ28" s="38"/>
      <c r="BR28" s="38"/>
      <c r="BS28" s="38"/>
      <c r="BT28" s="42"/>
      <c r="BU28" s="52"/>
      <c r="BV28" s="53"/>
      <c r="BW28" s="53"/>
      <c r="BX28" s="53"/>
      <c r="BY28" s="53"/>
      <c r="BZ28" s="53"/>
      <c r="CA28" s="53"/>
      <c r="CB28" s="53"/>
      <c r="CC28" s="53"/>
      <c r="CD28" s="53"/>
      <c r="CE28" s="53"/>
      <c r="CF28" s="53"/>
      <c r="CG28" s="53"/>
      <c r="CH28" s="53"/>
      <c r="CI28" s="54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46"/>
      <c r="AA29" s="38"/>
      <c r="AB29" s="38"/>
      <c r="AC29" s="38"/>
      <c r="AD29" s="42"/>
      <c r="AE29" s="52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4"/>
      <c r="AT29" s="8"/>
      <c r="AU29" s="46"/>
      <c r="AV29" s="38"/>
      <c r="AW29" s="38"/>
      <c r="AX29" s="38"/>
      <c r="AY29" s="42"/>
      <c r="AZ29" s="52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4"/>
      <c r="BO29" s="8"/>
      <c r="BP29" s="46"/>
      <c r="BQ29" s="38"/>
      <c r="BR29" s="38"/>
      <c r="BS29" s="38"/>
      <c r="BT29" s="42"/>
      <c r="BU29" s="52"/>
      <c r="BV29" s="53"/>
      <c r="BW29" s="53"/>
      <c r="BX29" s="53"/>
      <c r="BY29" s="53"/>
      <c r="BZ29" s="53"/>
      <c r="CA29" s="53"/>
      <c r="CB29" s="53"/>
      <c r="CC29" s="53"/>
      <c r="CD29" s="53"/>
      <c r="CE29" s="53"/>
      <c r="CF29" s="53"/>
      <c r="CG29" s="53"/>
      <c r="CH29" s="53"/>
      <c r="CI29" s="54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47"/>
      <c r="AA30" s="39"/>
      <c r="AB30" s="39"/>
      <c r="AC30" s="39"/>
      <c r="AD30" s="43"/>
      <c r="AE30" s="55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7"/>
      <c r="AT30" s="11"/>
      <c r="AU30" s="47"/>
      <c r="AV30" s="39"/>
      <c r="AW30" s="39"/>
      <c r="AX30" s="39"/>
      <c r="AY30" s="43"/>
      <c r="AZ30" s="55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7"/>
      <c r="BO30" s="11"/>
      <c r="BP30" s="47"/>
      <c r="BQ30" s="39"/>
      <c r="BR30" s="39"/>
      <c r="BS30" s="39"/>
      <c r="BT30" s="43"/>
      <c r="BU30" s="55"/>
      <c r="BV30" s="56"/>
      <c r="BW30" s="56"/>
      <c r="BX30" s="56"/>
      <c r="BY30" s="56"/>
      <c r="BZ30" s="56"/>
      <c r="CA30" s="56"/>
      <c r="CB30" s="56"/>
      <c r="CC30" s="56"/>
      <c r="CD30" s="56"/>
      <c r="CE30" s="56"/>
      <c r="CF30" s="56"/>
      <c r="CG30" s="56"/>
      <c r="CH30" s="56"/>
      <c r="CI30" s="57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5AE193DD-014E-417B-BA83-82E7B5D2FE17}">
      <formula1>$U$2:$W$2</formula1>
    </dataValidation>
    <dataValidation type="list" showInputMessage="1" showErrorMessage="1" sqref="K4:K30 P4:P30 F4:F30" xr:uid="{4A2A32D2-FFC2-42D0-AE77-6EA8E26F30AF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1"/>
  <sheetViews>
    <sheetView workbookViewId="0"/>
  </sheetViews>
  <sheetFormatPr defaultRowHeight="18.75" x14ac:dyDescent="0.4"/>
  <cols>
    <col min="1" max="1" width="8.375" style="48" customWidth="1"/>
    <col min="2" max="2" width="19.25" style="17" bestFit="1" customWidth="1"/>
    <col min="3" max="4" width="11" style="17" bestFit="1" customWidth="1"/>
    <col min="5" max="5" width="8.375" style="48" customWidth="1"/>
  </cols>
  <sheetData>
    <row r="1" spans="1:5" x14ac:dyDescent="0.4">
      <c r="A1" s="48" t="s">
        <v>28</v>
      </c>
      <c r="B1" s="17" t="s">
        <v>29</v>
      </c>
      <c r="C1" s="17" t="s">
        <v>30</v>
      </c>
      <c r="D1" s="17" t="s">
        <v>31</v>
      </c>
      <c r="E1" s="48" t="s">
        <v>32</v>
      </c>
    </row>
    <row r="2" spans="1:5" x14ac:dyDescent="0.4">
      <c r="A2" s="48" t="s">
        <v>83</v>
      </c>
      <c r="B2" s="17" t="s">
        <v>33</v>
      </c>
      <c r="C2" s="17">
        <v>1</v>
      </c>
    </row>
    <row r="3" spans="1:5" x14ac:dyDescent="0.4">
      <c r="A3" s="48" t="s">
        <v>84</v>
      </c>
      <c r="B3" s="17" t="s">
        <v>34</v>
      </c>
      <c r="C3" s="17">
        <v>1</v>
      </c>
    </row>
    <row r="4" spans="1:5" x14ac:dyDescent="0.4">
      <c r="A4" s="48" t="s">
        <v>85</v>
      </c>
      <c r="B4" s="17" t="s">
        <v>35</v>
      </c>
      <c r="C4" s="17">
        <v>1</v>
      </c>
      <c r="D4" s="17">
        <v>1</v>
      </c>
    </row>
    <row r="5" spans="1:5" x14ac:dyDescent="0.4">
      <c r="A5" s="48" t="s">
        <v>86</v>
      </c>
      <c r="B5" s="17" t="s">
        <v>36</v>
      </c>
      <c r="C5" s="17">
        <v>1</v>
      </c>
      <c r="E5" s="48" t="s">
        <v>133</v>
      </c>
    </row>
    <row r="6" spans="1:5" x14ac:dyDescent="0.4">
      <c r="A6" s="48" t="s">
        <v>87</v>
      </c>
      <c r="B6" s="17" t="s">
        <v>37</v>
      </c>
      <c r="C6" s="17">
        <v>1</v>
      </c>
      <c r="D6" s="17">
        <v>1</v>
      </c>
    </row>
    <row r="7" spans="1:5" x14ac:dyDescent="0.4">
      <c r="A7" s="48" t="s">
        <v>88</v>
      </c>
      <c r="B7" s="17" t="s">
        <v>38</v>
      </c>
      <c r="C7" s="17">
        <v>1</v>
      </c>
    </row>
    <row r="8" spans="1:5" x14ac:dyDescent="0.4">
      <c r="A8" s="48" t="s">
        <v>89</v>
      </c>
      <c r="B8" s="17" t="s">
        <v>39</v>
      </c>
      <c r="C8" s="17">
        <v>1</v>
      </c>
    </row>
    <row r="9" spans="1:5" x14ac:dyDescent="0.4">
      <c r="A9" s="48" t="s">
        <v>90</v>
      </c>
      <c r="B9" s="17" t="s">
        <v>40</v>
      </c>
      <c r="C9" s="17">
        <v>1</v>
      </c>
    </row>
    <row r="10" spans="1:5" x14ac:dyDescent="0.4">
      <c r="A10" s="48" t="s">
        <v>91</v>
      </c>
      <c r="B10" s="17" t="s">
        <v>41</v>
      </c>
      <c r="C10" s="17">
        <v>1</v>
      </c>
      <c r="D10" s="17">
        <v>1</v>
      </c>
    </row>
    <row r="11" spans="1:5" x14ac:dyDescent="0.4">
      <c r="A11" s="48" t="s">
        <v>92</v>
      </c>
      <c r="B11" s="17" t="s">
        <v>42</v>
      </c>
      <c r="C11" s="17">
        <v>1</v>
      </c>
      <c r="D11" s="17">
        <v>1</v>
      </c>
    </row>
    <row r="12" spans="1:5" x14ac:dyDescent="0.4">
      <c r="A12" s="48" t="s">
        <v>93</v>
      </c>
      <c r="B12" s="17" t="s">
        <v>43</v>
      </c>
      <c r="C12" s="17">
        <v>1</v>
      </c>
      <c r="D12" s="17">
        <v>1</v>
      </c>
    </row>
    <row r="13" spans="1:5" x14ac:dyDescent="0.4">
      <c r="A13" s="48" t="s">
        <v>94</v>
      </c>
      <c r="B13" s="17" t="s">
        <v>44</v>
      </c>
      <c r="C13" s="17">
        <v>1</v>
      </c>
      <c r="D13" s="17">
        <v>1</v>
      </c>
    </row>
    <row r="14" spans="1:5" x14ac:dyDescent="0.4">
      <c r="A14" s="48" t="s">
        <v>95</v>
      </c>
      <c r="B14" s="17" t="s">
        <v>45</v>
      </c>
      <c r="C14" s="17">
        <v>1</v>
      </c>
      <c r="D14" s="17">
        <v>1</v>
      </c>
    </row>
    <row r="15" spans="1:5" x14ac:dyDescent="0.4">
      <c r="A15" s="48" t="s">
        <v>96</v>
      </c>
      <c r="B15" s="17" t="s">
        <v>46</v>
      </c>
      <c r="C15" s="17">
        <v>1</v>
      </c>
      <c r="D15" s="17">
        <v>1</v>
      </c>
    </row>
    <row r="16" spans="1:5" x14ac:dyDescent="0.4">
      <c r="A16" s="48" t="s">
        <v>97</v>
      </c>
      <c r="B16" s="17" t="s">
        <v>47</v>
      </c>
      <c r="C16" s="17">
        <v>2</v>
      </c>
      <c r="E16" s="48" t="s">
        <v>83</v>
      </c>
    </row>
    <row r="17" spans="1:4" x14ac:dyDescent="0.4">
      <c r="A17" s="48" t="s">
        <v>98</v>
      </c>
      <c r="B17" s="17" t="s">
        <v>48</v>
      </c>
      <c r="C17" s="17">
        <v>2</v>
      </c>
      <c r="D17" s="17">
        <v>1</v>
      </c>
    </row>
    <row r="18" spans="1:4" x14ac:dyDescent="0.4">
      <c r="A18" s="48" t="s">
        <v>99</v>
      </c>
      <c r="B18" s="17" t="s">
        <v>49</v>
      </c>
      <c r="C18" s="17">
        <v>2</v>
      </c>
      <c r="D18" s="17">
        <v>1</v>
      </c>
    </row>
    <row r="19" spans="1:4" x14ac:dyDescent="0.4">
      <c r="A19" s="48" t="s">
        <v>100</v>
      </c>
      <c r="B19" s="17" t="s">
        <v>50</v>
      </c>
      <c r="C19" s="17">
        <v>2</v>
      </c>
      <c r="D19" s="17">
        <v>1</v>
      </c>
    </row>
    <row r="20" spans="1:4" x14ac:dyDescent="0.4">
      <c r="A20" s="48" t="s">
        <v>101</v>
      </c>
      <c r="B20" s="17" t="s">
        <v>51</v>
      </c>
      <c r="C20" s="17">
        <v>2</v>
      </c>
      <c r="D20" s="17">
        <v>2</v>
      </c>
    </row>
    <row r="21" spans="1:4" x14ac:dyDescent="0.4">
      <c r="A21" s="48" t="s">
        <v>102</v>
      </c>
      <c r="B21" s="17" t="s">
        <v>52</v>
      </c>
      <c r="C21" s="17">
        <v>2</v>
      </c>
      <c r="D21" s="17">
        <v>2</v>
      </c>
    </row>
    <row r="22" spans="1:4" x14ac:dyDescent="0.4">
      <c r="A22" s="48" t="s">
        <v>103</v>
      </c>
      <c r="B22" s="17" t="s">
        <v>53</v>
      </c>
      <c r="C22" s="17">
        <v>2</v>
      </c>
      <c r="D22" s="17">
        <v>2</v>
      </c>
    </row>
    <row r="23" spans="1:4" x14ac:dyDescent="0.4">
      <c r="A23" s="48" t="s">
        <v>104</v>
      </c>
      <c r="B23" s="17" t="s">
        <v>54</v>
      </c>
      <c r="C23" s="17">
        <v>2</v>
      </c>
      <c r="D23" s="17">
        <v>2</v>
      </c>
    </row>
    <row r="24" spans="1:4" x14ac:dyDescent="0.4">
      <c r="A24" s="48" t="s">
        <v>105</v>
      </c>
      <c r="B24" s="17" t="s">
        <v>55</v>
      </c>
      <c r="C24" s="17">
        <v>2</v>
      </c>
      <c r="D24" s="17">
        <v>2</v>
      </c>
    </row>
    <row r="25" spans="1:4" x14ac:dyDescent="0.4">
      <c r="A25" s="48" t="s">
        <v>106</v>
      </c>
      <c r="B25" s="17" t="s">
        <v>56</v>
      </c>
      <c r="C25" s="17">
        <v>2</v>
      </c>
      <c r="D25" s="17">
        <v>2</v>
      </c>
    </row>
    <row r="26" spans="1:4" x14ac:dyDescent="0.4">
      <c r="A26" s="48" t="s">
        <v>107</v>
      </c>
      <c r="B26" s="17" t="s">
        <v>57</v>
      </c>
      <c r="C26" s="17">
        <v>2</v>
      </c>
    </row>
    <row r="27" spans="1:4" x14ac:dyDescent="0.4">
      <c r="A27" s="48" t="s">
        <v>108</v>
      </c>
      <c r="B27" s="17" t="s">
        <v>58</v>
      </c>
      <c r="C27" s="17">
        <v>3</v>
      </c>
    </row>
    <row r="28" spans="1:4" x14ac:dyDescent="0.4">
      <c r="A28" s="48" t="s">
        <v>109</v>
      </c>
      <c r="B28" s="17" t="s">
        <v>59</v>
      </c>
      <c r="C28" s="17">
        <v>3</v>
      </c>
      <c r="D28" s="17">
        <v>2</v>
      </c>
    </row>
    <row r="29" spans="1:4" x14ac:dyDescent="0.4">
      <c r="A29" s="48" t="s">
        <v>110</v>
      </c>
      <c r="B29" s="17" t="s">
        <v>60</v>
      </c>
      <c r="C29" s="17">
        <v>3</v>
      </c>
      <c r="D29" s="17">
        <v>2</v>
      </c>
    </row>
    <row r="30" spans="1:4" x14ac:dyDescent="0.4">
      <c r="A30" s="48" t="s">
        <v>111</v>
      </c>
      <c r="B30" s="17" t="s">
        <v>61</v>
      </c>
      <c r="C30" s="17">
        <v>5</v>
      </c>
    </row>
    <row r="31" spans="1:4" x14ac:dyDescent="0.4">
      <c r="A31" s="48" t="s">
        <v>112</v>
      </c>
      <c r="B31" s="17" t="s">
        <v>62</v>
      </c>
      <c r="C31" s="17">
        <v>6</v>
      </c>
      <c r="D31" s="17">
        <v>5</v>
      </c>
    </row>
    <row r="32" spans="1:4" x14ac:dyDescent="0.4">
      <c r="A32" s="48" t="s">
        <v>113</v>
      </c>
      <c r="B32" s="17" t="s">
        <v>63</v>
      </c>
      <c r="C32" s="17">
        <v>13</v>
      </c>
    </row>
    <row r="33" spans="1:5" x14ac:dyDescent="0.4">
      <c r="A33" s="48" t="s">
        <v>114</v>
      </c>
      <c r="B33" s="17" t="s">
        <v>64</v>
      </c>
      <c r="C33" s="17">
        <v>13</v>
      </c>
    </row>
    <row r="34" spans="1:5" x14ac:dyDescent="0.4">
      <c r="A34" s="48" t="s">
        <v>115</v>
      </c>
      <c r="B34" s="17" t="s">
        <v>65</v>
      </c>
      <c r="C34" s="17">
        <v>13</v>
      </c>
      <c r="D34" s="17">
        <v>13</v>
      </c>
    </row>
    <row r="35" spans="1:5" x14ac:dyDescent="0.4">
      <c r="A35" s="48" t="s">
        <v>116</v>
      </c>
      <c r="B35" s="17" t="s">
        <v>66</v>
      </c>
      <c r="C35" s="17">
        <v>13</v>
      </c>
      <c r="D35" s="17">
        <v>13</v>
      </c>
    </row>
    <row r="36" spans="1:5" x14ac:dyDescent="0.4">
      <c r="A36" s="48" t="s">
        <v>117</v>
      </c>
      <c r="B36" s="17" t="s">
        <v>67</v>
      </c>
      <c r="C36" s="17">
        <v>26</v>
      </c>
      <c r="D36" s="17">
        <v>26</v>
      </c>
    </row>
    <row r="37" spans="1:5" x14ac:dyDescent="0.4">
      <c r="A37" s="48" t="s">
        <v>118</v>
      </c>
      <c r="B37" s="17" t="s">
        <v>68</v>
      </c>
      <c r="C37" s="17">
        <v>13</v>
      </c>
      <c r="D37" s="17">
        <v>13</v>
      </c>
    </row>
    <row r="38" spans="1:5" x14ac:dyDescent="0.4">
      <c r="A38" s="48" t="s">
        <v>119</v>
      </c>
      <c r="B38" s="17" t="s">
        <v>69</v>
      </c>
      <c r="C38" s="17">
        <v>13</v>
      </c>
      <c r="D38" s="17">
        <v>13</v>
      </c>
    </row>
    <row r="39" spans="1:5" x14ac:dyDescent="0.4">
      <c r="A39" s="48" t="s">
        <v>120</v>
      </c>
      <c r="B39" s="17" t="s">
        <v>70</v>
      </c>
      <c r="C39" s="17">
        <v>13</v>
      </c>
      <c r="D39" s="17">
        <v>13</v>
      </c>
    </row>
    <row r="40" spans="1:5" x14ac:dyDescent="0.4">
      <c r="A40" s="48" t="s">
        <v>121</v>
      </c>
      <c r="B40" s="17" t="s">
        <v>71</v>
      </c>
      <c r="C40" s="17">
        <v>13</v>
      </c>
      <c r="D40" s="17">
        <v>13</v>
      </c>
    </row>
    <row r="41" spans="1:5" x14ac:dyDescent="0.4">
      <c r="A41" s="48" t="s">
        <v>122</v>
      </c>
      <c r="B41" s="17" t="s">
        <v>72</v>
      </c>
      <c r="C41" s="17">
        <v>13</v>
      </c>
    </row>
    <row r="42" spans="1:5" x14ac:dyDescent="0.4">
      <c r="A42" s="48" t="s">
        <v>123</v>
      </c>
      <c r="B42" s="17" t="s">
        <v>73</v>
      </c>
      <c r="C42" s="17">
        <v>13</v>
      </c>
    </row>
    <row r="43" spans="1:5" x14ac:dyDescent="0.4">
      <c r="A43" s="48" t="s">
        <v>124</v>
      </c>
      <c r="B43" s="17" t="s">
        <v>74</v>
      </c>
      <c r="C43" s="17">
        <v>13</v>
      </c>
    </row>
    <row r="44" spans="1:5" x14ac:dyDescent="0.4">
      <c r="A44" s="48" t="s">
        <v>125</v>
      </c>
      <c r="B44" s="17" t="s">
        <v>75</v>
      </c>
      <c r="C44" s="17">
        <v>13</v>
      </c>
    </row>
    <row r="45" spans="1:5" x14ac:dyDescent="0.4">
      <c r="A45" s="48" t="s">
        <v>126</v>
      </c>
      <c r="B45" s="17" t="s">
        <v>76</v>
      </c>
      <c r="C45" s="17">
        <v>26</v>
      </c>
      <c r="E45" s="48" t="s">
        <v>134</v>
      </c>
    </row>
    <row r="46" spans="1:5" x14ac:dyDescent="0.4">
      <c r="A46" s="48" t="s">
        <v>127</v>
      </c>
      <c r="B46" s="17" t="s">
        <v>77</v>
      </c>
      <c r="C46" s="17">
        <v>26</v>
      </c>
      <c r="E46" s="48" t="s">
        <v>135</v>
      </c>
    </row>
    <row r="47" spans="1:5" x14ac:dyDescent="0.4">
      <c r="A47" s="48" t="s">
        <v>128</v>
      </c>
      <c r="B47" s="17" t="s">
        <v>78</v>
      </c>
      <c r="C47" s="17">
        <v>26</v>
      </c>
      <c r="E47" s="48" t="s">
        <v>136</v>
      </c>
    </row>
    <row r="48" spans="1:5" x14ac:dyDescent="0.4">
      <c r="A48" s="48" t="s">
        <v>129</v>
      </c>
      <c r="B48" s="17" t="s">
        <v>79</v>
      </c>
      <c r="C48" s="17">
        <v>13</v>
      </c>
    </row>
    <row r="49" spans="1:3" x14ac:dyDescent="0.4">
      <c r="A49" s="48" t="s">
        <v>130</v>
      </c>
      <c r="B49" s="17" t="s">
        <v>80</v>
      </c>
      <c r="C49" s="17">
        <v>13</v>
      </c>
    </row>
    <row r="50" spans="1:3" x14ac:dyDescent="0.4">
      <c r="A50" s="48" t="s">
        <v>131</v>
      </c>
      <c r="B50" s="17" t="s">
        <v>81</v>
      </c>
      <c r="C50" s="17">
        <v>13</v>
      </c>
    </row>
    <row r="51" spans="1:3" x14ac:dyDescent="0.4">
      <c r="A51" s="48" t="s">
        <v>132</v>
      </c>
      <c r="B51" s="17" t="s">
        <v>82</v>
      </c>
      <c r="C51" s="17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3"/>
  <sheetViews>
    <sheetView workbookViewId="0"/>
  </sheetViews>
  <sheetFormatPr defaultRowHeight="18.75" x14ac:dyDescent="0.4"/>
  <cols>
    <col min="1" max="11" width="9" style="44"/>
    <col min="12" max="12" width="9" style="44" customWidth="1"/>
    <col min="13" max="16384" width="9" style="44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F2" s="44">
        <v>12000</v>
      </c>
      <c r="G2" s="44">
        <v>18000</v>
      </c>
      <c r="H2" s="44">
        <v>24000</v>
      </c>
      <c r="I2" s="44">
        <v>36000</v>
      </c>
      <c r="J2" s="44">
        <v>48000</v>
      </c>
      <c r="K2" s="44">
        <v>96000</v>
      </c>
      <c r="L2" s="44">
        <v>144000</v>
      </c>
    </row>
    <row r="3" spans="1:12" x14ac:dyDescent="0.4">
      <c r="A3" s="17">
        <v>20</v>
      </c>
      <c r="D3" s="44">
        <v>3900</v>
      </c>
      <c r="E3" s="44">
        <v>7700</v>
      </c>
    </row>
    <row r="4" spans="1:12" x14ac:dyDescent="0.4">
      <c r="A4" s="17">
        <v>25</v>
      </c>
      <c r="C4" s="44">
        <v>2400</v>
      </c>
      <c r="D4" s="44">
        <v>4800</v>
      </c>
      <c r="E4" s="44">
        <v>9600</v>
      </c>
    </row>
    <row r="5" spans="1:12" x14ac:dyDescent="0.4">
      <c r="A5" s="17">
        <v>30</v>
      </c>
      <c r="B5" s="44">
        <v>1500</v>
      </c>
      <c r="C5" s="44">
        <v>2900</v>
      </c>
      <c r="D5" s="44">
        <v>5800</v>
      </c>
      <c r="E5" s="44">
        <v>12000</v>
      </c>
    </row>
    <row r="6" spans="1:12" x14ac:dyDescent="0.4">
      <c r="A6" s="17">
        <v>40</v>
      </c>
      <c r="B6" s="44">
        <v>2000</v>
      </c>
      <c r="C6" s="44">
        <v>3900</v>
      </c>
      <c r="D6" s="44">
        <v>7700</v>
      </c>
      <c r="E6" s="44">
        <v>12000</v>
      </c>
    </row>
    <row r="7" spans="1:12" x14ac:dyDescent="0.4">
      <c r="A7" s="17">
        <v>50</v>
      </c>
      <c r="B7" s="44">
        <v>2400</v>
      </c>
      <c r="C7" s="44">
        <v>4800</v>
      </c>
      <c r="D7" s="44">
        <v>9600</v>
      </c>
      <c r="E7" s="44">
        <v>12000</v>
      </c>
    </row>
    <row r="8" spans="1:12" x14ac:dyDescent="0.4">
      <c r="A8" s="17">
        <v>60</v>
      </c>
      <c r="B8" s="44">
        <v>2900</v>
      </c>
      <c r="C8" s="44">
        <v>5800</v>
      </c>
      <c r="D8" s="44">
        <v>12000</v>
      </c>
      <c r="E8" s="44">
        <v>12000</v>
      </c>
    </row>
    <row r="9" spans="1:12" x14ac:dyDescent="0.4">
      <c r="A9" s="17">
        <v>70</v>
      </c>
      <c r="B9" s="44">
        <v>3400</v>
      </c>
      <c r="C9" s="44">
        <v>6800</v>
      </c>
      <c r="D9" s="44">
        <v>12000</v>
      </c>
      <c r="E9" s="44">
        <v>12000</v>
      </c>
    </row>
    <row r="10" spans="1:12" x14ac:dyDescent="0.4">
      <c r="A10" s="17">
        <v>80</v>
      </c>
      <c r="B10" s="44">
        <v>3900</v>
      </c>
      <c r="C10" s="44">
        <v>7700</v>
      </c>
      <c r="D10" s="44">
        <v>12000</v>
      </c>
      <c r="E10" s="44">
        <v>12000</v>
      </c>
    </row>
    <row r="11" spans="1:12" x14ac:dyDescent="0.4">
      <c r="A11" s="17">
        <v>90</v>
      </c>
      <c r="B11" s="44">
        <v>4400</v>
      </c>
      <c r="C11" s="44">
        <v>8700</v>
      </c>
      <c r="D11" s="44">
        <v>12000</v>
      </c>
      <c r="E11" s="44">
        <v>12000</v>
      </c>
    </row>
    <row r="12" spans="1:12" x14ac:dyDescent="0.4">
      <c r="A12" s="17">
        <v>100</v>
      </c>
      <c r="B12" s="44">
        <v>4800</v>
      </c>
      <c r="C12" s="44">
        <v>9600</v>
      </c>
      <c r="D12" s="44">
        <v>12000</v>
      </c>
      <c r="E12" s="44">
        <v>12000</v>
      </c>
    </row>
    <row r="13" spans="1:12" x14ac:dyDescent="0.4">
      <c r="A13" s="17">
        <v>110</v>
      </c>
      <c r="C13" s="44">
        <v>10600</v>
      </c>
      <c r="D13" s="44">
        <v>12000</v>
      </c>
      <c r="E13" s="44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3"/>
  <sheetViews>
    <sheetView workbookViewId="0"/>
  </sheetViews>
  <sheetFormatPr defaultRowHeight="18.75" x14ac:dyDescent="0.4"/>
  <cols>
    <col min="1" max="16384" width="9" style="44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F2" s="44">
        <v>12000</v>
      </c>
      <c r="G2" s="44">
        <v>18000</v>
      </c>
      <c r="H2" s="44">
        <v>24000</v>
      </c>
      <c r="I2" s="44">
        <v>36000</v>
      </c>
      <c r="J2" s="44">
        <v>48000</v>
      </c>
      <c r="K2" s="44">
        <v>96000</v>
      </c>
      <c r="L2" s="44">
        <v>144000</v>
      </c>
    </row>
    <row r="3" spans="1:12" x14ac:dyDescent="0.4">
      <c r="A3" s="17">
        <v>20</v>
      </c>
      <c r="B3" s="44" t="s">
        <v>11</v>
      </c>
      <c r="C3" s="44">
        <v>2200</v>
      </c>
      <c r="D3" s="44">
        <v>4000</v>
      </c>
      <c r="E3" s="44">
        <v>7800</v>
      </c>
    </row>
    <row r="4" spans="1:12" x14ac:dyDescent="0.4">
      <c r="A4" s="17">
        <v>25</v>
      </c>
      <c r="B4" s="44" t="s">
        <v>11</v>
      </c>
      <c r="C4" s="44" t="s">
        <v>11</v>
      </c>
      <c r="D4" s="44">
        <v>4800</v>
      </c>
      <c r="E4" s="44">
        <v>9600</v>
      </c>
    </row>
    <row r="5" spans="1:12" x14ac:dyDescent="0.4">
      <c r="A5" s="17">
        <v>30</v>
      </c>
      <c r="B5" s="44">
        <v>1600</v>
      </c>
      <c r="C5" s="44">
        <v>3000</v>
      </c>
      <c r="D5" s="44">
        <v>6000</v>
      </c>
      <c r="E5" s="44">
        <v>12000</v>
      </c>
    </row>
    <row r="6" spans="1:12" x14ac:dyDescent="0.4">
      <c r="A6" s="17">
        <v>40</v>
      </c>
      <c r="B6" s="44">
        <v>2200</v>
      </c>
      <c r="C6" s="44">
        <v>4000</v>
      </c>
      <c r="D6" s="44">
        <v>7800</v>
      </c>
      <c r="E6" s="44">
        <v>12000</v>
      </c>
    </row>
    <row r="7" spans="1:12" x14ac:dyDescent="0.4">
      <c r="A7" s="17">
        <v>50</v>
      </c>
      <c r="B7" s="44">
        <v>2400</v>
      </c>
      <c r="C7" s="44">
        <v>4800</v>
      </c>
      <c r="D7" s="44">
        <v>9600</v>
      </c>
      <c r="E7" s="44">
        <v>12000</v>
      </c>
    </row>
    <row r="8" spans="1:12" x14ac:dyDescent="0.4">
      <c r="A8" s="17">
        <v>60</v>
      </c>
      <c r="B8" s="44">
        <v>3000</v>
      </c>
      <c r="C8" s="44">
        <v>6000</v>
      </c>
      <c r="D8" s="44">
        <v>12000</v>
      </c>
      <c r="E8" s="44">
        <v>12000</v>
      </c>
    </row>
    <row r="9" spans="1:12" x14ac:dyDescent="0.4">
      <c r="A9" s="17">
        <v>70</v>
      </c>
      <c r="B9" s="44">
        <v>3600</v>
      </c>
      <c r="C9" s="44">
        <v>7000</v>
      </c>
      <c r="D9" s="44">
        <v>12000</v>
      </c>
      <c r="E9" s="44">
        <v>12000</v>
      </c>
    </row>
    <row r="10" spans="1:12" x14ac:dyDescent="0.4">
      <c r="A10" s="17">
        <v>80</v>
      </c>
      <c r="B10" s="44">
        <v>4000</v>
      </c>
      <c r="C10" s="44">
        <v>7800</v>
      </c>
      <c r="D10" s="44">
        <v>12000</v>
      </c>
      <c r="E10" s="44">
        <v>12000</v>
      </c>
    </row>
    <row r="11" spans="1:12" x14ac:dyDescent="0.4">
      <c r="A11" s="17">
        <v>90</v>
      </c>
      <c r="B11" s="44">
        <v>4600</v>
      </c>
      <c r="C11" s="44">
        <v>8800</v>
      </c>
      <c r="D11" s="44">
        <v>12000</v>
      </c>
      <c r="E11" s="44">
        <v>12000</v>
      </c>
    </row>
    <row r="12" spans="1:12" x14ac:dyDescent="0.4">
      <c r="A12" s="17">
        <v>100</v>
      </c>
      <c r="B12" s="44">
        <v>4800</v>
      </c>
      <c r="C12" s="44">
        <v>9600</v>
      </c>
      <c r="D12" s="44">
        <v>12000</v>
      </c>
      <c r="E12" s="44">
        <v>12000</v>
      </c>
    </row>
    <row r="13" spans="1:12" x14ac:dyDescent="0.4">
      <c r="A13" s="17">
        <v>110</v>
      </c>
      <c r="B13" s="44" t="s">
        <v>11</v>
      </c>
      <c r="C13" s="44">
        <v>10800</v>
      </c>
      <c r="D13" s="44">
        <v>12000</v>
      </c>
      <c r="E13" s="44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3"/>
  <sheetViews>
    <sheetView workbookViewId="0"/>
  </sheetViews>
  <sheetFormatPr defaultRowHeight="18.75" x14ac:dyDescent="0.4"/>
  <cols>
    <col min="1" max="16384" width="9" style="44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B2" s="44" t="s">
        <v>11</v>
      </c>
      <c r="C2" s="44" t="s">
        <v>11</v>
      </c>
      <c r="D2" s="44" t="s">
        <v>11</v>
      </c>
      <c r="E2" s="44" t="s">
        <v>11</v>
      </c>
      <c r="F2" s="44">
        <v>-6000</v>
      </c>
      <c r="G2" s="44">
        <v>-9000</v>
      </c>
      <c r="H2" s="44">
        <v>-12000</v>
      </c>
      <c r="I2" s="44">
        <v>-18000</v>
      </c>
      <c r="J2" s="44">
        <v>-24000</v>
      </c>
      <c r="K2" s="44">
        <v>-48000</v>
      </c>
      <c r="L2" s="44">
        <v>-72000</v>
      </c>
    </row>
    <row r="3" spans="1:12" x14ac:dyDescent="0.4">
      <c r="A3" s="17">
        <v>20</v>
      </c>
      <c r="B3" s="44" t="s">
        <v>11</v>
      </c>
      <c r="C3" s="44">
        <v>-1100</v>
      </c>
      <c r="D3" s="44">
        <v>-2000</v>
      </c>
      <c r="E3" s="44">
        <v>-3900</v>
      </c>
      <c r="F3" s="44" t="s">
        <v>11</v>
      </c>
      <c r="G3" s="44" t="s">
        <v>11</v>
      </c>
      <c r="H3" s="44" t="s">
        <v>11</v>
      </c>
      <c r="I3" s="44" t="s">
        <v>11</v>
      </c>
      <c r="J3" s="44" t="s">
        <v>11</v>
      </c>
      <c r="K3" s="44" t="s">
        <v>11</v>
      </c>
      <c r="L3" s="44" t="s">
        <v>11</v>
      </c>
    </row>
    <row r="4" spans="1:12" x14ac:dyDescent="0.4">
      <c r="A4" s="17">
        <v>25</v>
      </c>
      <c r="B4" s="44" t="s">
        <v>11</v>
      </c>
      <c r="C4" s="44" t="s">
        <v>11</v>
      </c>
      <c r="D4" s="44">
        <v>-2400</v>
      </c>
      <c r="E4" s="44">
        <v>-4800</v>
      </c>
      <c r="F4" s="44" t="s">
        <v>11</v>
      </c>
      <c r="G4" s="44" t="s">
        <v>11</v>
      </c>
      <c r="H4" s="44" t="s">
        <v>11</v>
      </c>
      <c r="I4" s="44" t="s">
        <v>11</v>
      </c>
      <c r="J4" s="44" t="s">
        <v>11</v>
      </c>
      <c r="K4" s="44" t="s">
        <v>11</v>
      </c>
      <c r="L4" s="44" t="s">
        <v>11</v>
      </c>
    </row>
    <row r="5" spans="1:12" x14ac:dyDescent="0.4">
      <c r="A5" s="17">
        <v>30</v>
      </c>
      <c r="B5" s="44">
        <v>-800</v>
      </c>
      <c r="C5" s="44">
        <v>-1500</v>
      </c>
      <c r="D5" s="44">
        <v>-3000</v>
      </c>
      <c r="E5" s="44">
        <v>-6000</v>
      </c>
      <c r="F5" s="44" t="s">
        <v>11</v>
      </c>
      <c r="G5" s="44" t="s">
        <v>11</v>
      </c>
      <c r="H5" s="44" t="s">
        <v>11</v>
      </c>
      <c r="I5" s="44" t="s">
        <v>11</v>
      </c>
      <c r="J5" s="44" t="s">
        <v>11</v>
      </c>
      <c r="K5" s="44" t="s">
        <v>11</v>
      </c>
      <c r="L5" s="44" t="s">
        <v>11</v>
      </c>
    </row>
    <row r="6" spans="1:12" x14ac:dyDescent="0.4">
      <c r="A6" s="17">
        <v>40</v>
      </c>
      <c r="B6" s="44">
        <v>-1100</v>
      </c>
      <c r="C6" s="44">
        <v>-2000</v>
      </c>
      <c r="D6" s="44">
        <v>-3900</v>
      </c>
      <c r="E6" s="44">
        <v>-6000</v>
      </c>
      <c r="F6" s="44" t="s">
        <v>11</v>
      </c>
      <c r="G6" s="44" t="s">
        <v>11</v>
      </c>
      <c r="H6" s="44" t="s">
        <v>11</v>
      </c>
      <c r="I6" s="44" t="s">
        <v>11</v>
      </c>
      <c r="J6" s="44" t="s">
        <v>11</v>
      </c>
      <c r="K6" s="44" t="s">
        <v>11</v>
      </c>
      <c r="L6" s="44" t="s">
        <v>11</v>
      </c>
    </row>
    <row r="7" spans="1:12" x14ac:dyDescent="0.4">
      <c r="A7" s="17">
        <v>50</v>
      </c>
      <c r="B7" s="44">
        <v>-1200</v>
      </c>
      <c r="C7" s="44">
        <v>-2400</v>
      </c>
      <c r="D7" s="44">
        <v>-4800</v>
      </c>
      <c r="E7" s="44">
        <v>-6000</v>
      </c>
      <c r="F7" s="44" t="s">
        <v>11</v>
      </c>
      <c r="G7" s="44" t="s">
        <v>11</v>
      </c>
      <c r="H7" s="44" t="s">
        <v>11</v>
      </c>
      <c r="I7" s="44" t="s">
        <v>11</v>
      </c>
      <c r="J7" s="44" t="s">
        <v>11</v>
      </c>
      <c r="K7" s="44" t="s">
        <v>11</v>
      </c>
      <c r="L7" s="44" t="s">
        <v>11</v>
      </c>
    </row>
    <row r="8" spans="1:12" x14ac:dyDescent="0.4">
      <c r="A8" s="17">
        <v>60</v>
      </c>
      <c r="B8" s="44">
        <v>-1500</v>
      </c>
      <c r="C8" s="44">
        <v>-3000</v>
      </c>
      <c r="D8" s="44">
        <v>-6000</v>
      </c>
      <c r="E8" s="44">
        <v>-6000</v>
      </c>
      <c r="F8" s="44" t="s">
        <v>11</v>
      </c>
      <c r="G8" s="44" t="s">
        <v>11</v>
      </c>
      <c r="H8" s="44" t="s">
        <v>11</v>
      </c>
      <c r="I8" s="44" t="s">
        <v>11</v>
      </c>
      <c r="J8" s="44" t="s">
        <v>11</v>
      </c>
      <c r="K8" s="44" t="s">
        <v>11</v>
      </c>
      <c r="L8" s="44" t="s">
        <v>11</v>
      </c>
    </row>
    <row r="9" spans="1:12" x14ac:dyDescent="0.4">
      <c r="A9" s="17">
        <v>70</v>
      </c>
      <c r="B9" s="44">
        <v>-1800</v>
      </c>
      <c r="C9" s="44">
        <v>-3500</v>
      </c>
      <c r="D9" s="44">
        <v>-6000</v>
      </c>
      <c r="E9" s="44">
        <v>-6000</v>
      </c>
      <c r="F9" s="44" t="s">
        <v>11</v>
      </c>
      <c r="G9" s="44" t="s">
        <v>11</v>
      </c>
      <c r="H9" s="44" t="s">
        <v>11</v>
      </c>
      <c r="I9" s="44" t="s">
        <v>11</v>
      </c>
      <c r="J9" s="44" t="s">
        <v>11</v>
      </c>
      <c r="K9" s="44" t="s">
        <v>11</v>
      </c>
      <c r="L9" s="44" t="s">
        <v>11</v>
      </c>
    </row>
    <row r="10" spans="1:12" x14ac:dyDescent="0.4">
      <c r="A10" s="17">
        <v>80</v>
      </c>
      <c r="B10" s="44">
        <v>-2000</v>
      </c>
      <c r="C10" s="44">
        <v>-3900</v>
      </c>
      <c r="D10" s="44">
        <v>-6000</v>
      </c>
      <c r="E10" s="44">
        <v>-6000</v>
      </c>
      <c r="F10" s="44" t="s">
        <v>11</v>
      </c>
      <c r="G10" s="44" t="s">
        <v>11</v>
      </c>
      <c r="H10" s="44" t="s">
        <v>11</v>
      </c>
      <c r="I10" s="44" t="s">
        <v>11</v>
      </c>
      <c r="J10" s="44" t="s">
        <v>11</v>
      </c>
      <c r="K10" s="44" t="s">
        <v>11</v>
      </c>
      <c r="L10" s="44" t="s">
        <v>11</v>
      </c>
    </row>
    <row r="11" spans="1:12" x14ac:dyDescent="0.4">
      <c r="A11" s="17">
        <v>90</v>
      </c>
      <c r="B11" s="44">
        <v>-2300</v>
      </c>
      <c r="C11" s="44">
        <v>-4400</v>
      </c>
      <c r="D11" s="44">
        <v>-6000</v>
      </c>
      <c r="E11" s="44">
        <v>-6000</v>
      </c>
      <c r="F11" s="44" t="s">
        <v>11</v>
      </c>
      <c r="G11" s="44" t="s">
        <v>11</v>
      </c>
      <c r="H11" s="44" t="s">
        <v>11</v>
      </c>
      <c r="I11" s="44" t="s">
        <v>11</v>
      </c>
      <c r="J11" s="44" t="s">
        <v>11</v>
      </c>
      <c r="K11" s="44" t="s">
        <v>11</v>
      </c>
      <c r="L11" s="44" t="s">
        <v>11</v>
      </c>
    </row>
    <row r="12" spans="1:12" x14ac:dyDescent="0.4">
      <c r="A12" s="17">
        <v>100</v>
      </c>
      <c r="B12" s="44">
        <v>-2400</v>
      </c>
      <c r="C12" s="44">
        <v>-4800</v>
      </c>
      <c r="D12" s="44">
        <v>-6000</v>
      </c>
      <c r="E12" s="44">
        <v>-6000</v>
      </c>
      <c r="F12" s="44" t="s">
        <v>11</v>
      </c>
      <c r="G12" s="44" t="s">
        <v>11</v>
      </c>
      <c r="H12" s="44" t="s">
        <v>11</v>
      </c>
      <c r="I12" s="44" t="s">
        <v>11</v>
      </c>
      <c r="J12" s="44" t="s">
        <v>11</v>
      </c>
      <c r="K12" s="44" t="s">
        <v>11</v>
      </c>
      <c r="L12" s="44" t="s">
        <v>11</v>
      </c>
    </row>
    <row r="13" spans="1:12" x14ac:dyDescent="0.4">
      <c r="A13" s="17">
        <v>110</v>
      </c>
      <c r="B13" s="44" t="s">
        <v>11</v>
      </c>
      <c r="C13" s="44">
        <v>-5400</v>
      </c>
      <c r="D13" s="44">
        <v>-6000</v>
      </c>
      <c r="E13" s="44">
        <v>-6000</v>
      </c>
      <c r="F13" s="44" t="s">
        <v>11</v>
      </c>
      <c r="G13" s="44" t="s">
        <v>11</v>
      </c>
      <c r="H13" s="44" t="s">
        <v>11</v>
      </c>
      <c r="I13" s="44" t="s">
        <v>11</v>
      </c>
      <c r="J13" s="44" t="s">
        <v>11</v>
      </c>
      <c r="K13" s="44" t="s">
        <v>11</v>
      </c>
      <c r="L13" s="44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3"/>
  <sheetViews>
    <sheetView workbookViewId="0"/>
  </sheetViews>
  <sheetFormatPr defaultRowHeight="18.75" x14ac:dyDescent="0.4"/>
  <cols>
    <col min="1" max="16384" width="9" style="44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F2" s="44">
        <v>8000</v>
      </c>
      <c r="G2" s="44">
        <v>12000</v>
      </c>
      <c r="H2" s="44">
        <v>16000</v>
      </c>
      <c r="I2" s="44">
        <v>24000</v>
      </c>
      <c r="J2" s="44">
        <v>32000</v>
      </c>
      <c r="K2" s="44">
        <v>64000</v>
      </c>
      <c r="L2" s="44">
        <v>96000</v>
      </c>
    </row>
    <row r="3" spans="1:12" x14ac:dyDescent="0.4">
      <c r="A3" s="17">
        <v>20</v>
      </c>
      <c r="B3" s="44" t="s">
        <v>11</v>
      </c>
      <c r="C3" s="44" t="s">
        <v>11</v>
      </c>
      <c r="D3" s="44">
        <v>2600</v>
      </c>
      <c r="E3" s="44">
        <v>5200</v>
      </c>
    </row>
    <row r="4" spans="1:12" x14ac:dyDescent="0.4">
      <c r="A4" s="17">
        <v>25</v>
      </c>
      <c r="B4" s="44" t="s">
        <v>11</v>
      </c>
      <c r="C4" s="44">
        <v>1600</v>
      </c>
      <c r="D4" s="44">
        <v>3200</v>
      </c>
      <c r="E4" s="44">
        <v>6400</v>
      </c>
    </row>
    <row r="5" spans="1:12" x14ac:dyDescent="0.4">
      <c r="A5" s="17">
        <v>30</v>
      </c>
      <c r="B5" s="44">
        <v>1000</v>
      </c>
      <c r="C5" s="44">
        <v>2000</v>
      </c>
      <c r="D5" s="44">
        <v>3900</v>
      </c>
      <c r="E5" s="44">
        <v>8000</v>
      </c>
    </row>
    <row r="6" spans="1:12" x14ac:dyDescent="0.4">
      <c r="A6" s="17">
        <v>40</v>
      </c>
      <c r="B6" s="44">
        <v>1300</v>
      </c>
      <c r="C6" s="44">
        <v>2600</v>
      </c>
      <c r="D6" s="44">
        <v>5200</v>
      </c>
      <c r="E6" s="44">
        <v>8000</v>
      </c>
    </row>
    <row r="7" spans="1:12" x14ac:dyDescent="0.4">
      <c r="A7" s="17">
        <v>50</v>
      </c>
      <c r="B7" s="44">
        <v>1600</v>
      </c>
      <c r="C7" s="44">
        <v>3200</v>
      </c>
      <c r="D7" s="44">
        <v>6400</v>
      </c>
      <c r="E7" s="44">
        <v>8000</v>
      </c>
    </row>
    <row r="8" spans="1:12" x14ac:dyDescent="0.4">
      <c r="A8" s="17">
        <v>60</v>
      </c>
      <c r="B8" s="44">
        <v>2000</v>
      </c>
      <c r="C8" s="44">
        <v>3900</v>
      </c>
      <c r="D8" s="44">
        <v>8000</v>
      </c>
      <c r="E8" s="44">
        <v>8000</v>
      </c>
    </row>
    <row r="9" spans="1:12" x14ac:dyDescent="0.4">
      <c r="A9" s="17">
        <v>70</v>
      </c>
      <c r="B9" s="44">
        <v>2300</v>
      </c>
      <c r="C9" s="44">
        <v>4500</v>
      </c>
      <c r="D9" s="44">
        <v>8000</v>
      </c>
      <c r="E9" s="44">
        <v>8000</v>
      </c>
    </row>
    <row r="10" spans="1:12" x14ac:dyDescent="0.4">
      <c r="A10" s="17">
        <v>80</v>
      </c>
      <c r="B10" s="44">
        <v>2600</v>
      </c>
      <c r="C10" s="44">
        <v>5200</v>
      </c>
      <c r="D10" s="44">
        <v>8000</v>
      </c>
      <c r="E10" s="44">
        <v>8000</v>
      </c>
    </row>
    <row r="11" spans="1:12" x14ac:dyDescent="0.4">
      <c r="A11" s="17">
        <v>90</v>
      </c>
      <c r="B11" s="44">
        <v>2900</v>
      </c>
      <c r="C11" s="44">
        <v>5800</v>
      </c>
      <c r="D11" s="44">
        <v>8000</v>
      </c>
      <c r="E11" s="44">
        <v>8000</v>
      </c>
    </row>
    <row r="12" spans="1:12" x14ac:dyDescent="0.4">
      <c r="A12" s="17">
        <v>100</v>
      </c>
      <c r="B12" s="44">
        <v>3200</v>
      </c>
      <c r="C12" s="44">
        <v>6400</v>
      </c>
      <c r="D12" s="44">
        <v>8000</v>
      </c>
      <c r="E12" s="44">
        <v>8000</v>
      </c>
    </row>
    <row r="13" spans="1:12" x14ac:dyDescent="0.4">
      <c r="A13" s="17">
        <v>110</v>
      </c>
      <c r="B13" s="44" t="s">
        <v>11</v>
      </c>
      <c r="C13" s="44">
        <v>7100</v>
      </c>
      <c r="D13" s="44">
        <v>8000</v>
      </c>
      <c r="E13" s="44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3"/>
  <sheetViews>
    <sheetView workbookViewId="0"/>
  </sheetViews>
  <sheetFormatPr defaultRowHeight="18.75" x14ac:dyDescent="0.4"/>
  <cols>
    <col min="1" max="16384" width="9" style="44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F2" s="44">
        <v>8000</v>
      </c>
      <c r="G2" s="44">
        <v>12000</v>
      </c>
      <c r="H2" s="44">
        <v>16000</v>
      </c>
      <c r="I2" s="44">
        <v>24000</v>
      </c>
      <c r="J2" s="44">
        <v>32000</v>
      </c>
      <c r="K2" s="44">
        <v>64000</v>
      </c>
      <c r="L2" s="44">
        <v>96000</v>
      </c>
    </row>
    <row r="3" spans="1:12" x14ac:dyDescent="0.4">
      <c r="A3" s="17">
        <v>20</v>
      </c>
      <c r="B3" s="44" t="s">
        <v>11</v>
      </c>
      <c r="C3" s="44">
        <v>1500</v>
      </c>
      <c r="D3" s="44">
        <v>2800</v>
      </c>
      <c r="E3" s="44">
        <v>5300</v>
      </c>
    </row>
    <row r="4" spans="1:12" x14ac:dyDescent="0.4">
      <c r="A4" s="17">
        <v>25</v>
      </c>
      <c r="B4" s="44" t="s">
        <v>11</v>
      </c>
      <c r="C4" s="44" t="s">
        <v>11</v>
      </c>
      <c r="D4" s="44">
        <v>3200</v>
      </c>
      <c r="E4" s="44">
        <v>6400</v>
      </c>
    </row>
    <row r="5" spans="1:12" x14ac:dyDescent="0.4">
      <c r="A5" s="17">
        <v>30</v>
      </c>
      <c r="B5" s="44">
        <v>1200</v>
      </c>
      <c r="C5" s="44">
        <v>2100</v>
      </c>
      <c r="D5" s="44">
        <v>4000</v>
      </c>
      <c r="E5" s="44">
        <v>8000</v>
      </c>
    </row>
    <row r="6" spans="1:12" x14ac:dyDescent="0.4">
      <c r="A6" s="17">
        <v>40</v>
      </c>
      <c r="B6" s="44">
        <v>1500</v>
      </c>
      <c r="C6" s="44">
        <v>2800</v>
      </c>
      <c r="D6" s="44">
        <v>5300</v>
      </c>
      <c r="E6" s="44">
        <v>8000</v>
      </c>
    </row>
    <row r="7" spans="1:12" x14ac:dyDescent="0.4">
      <c r="A7" s="17">
        <v>50</v>
      </c>
      <c r="B7" s="44">
        <v>1600</v>
      </c>
      <c r="C7" s="44">
        <v>3200</v>
      </c>
      <c r="D7" s="44">
        <v>6400</v>
      </c>
      <c r="E7" s="44">
        <v>8000</v>
      </c>
    </row>
    <row r="8" spans="1:12" x14ac:dyDescent="0.4">
      <c r="A8" s="17">
        <v>60</v>
      </c>
      <c r="B8" s="44">
        <v>2100</v>
      </c>
      <c r="C8" s="44">
        <v>4000</v>
      </c>
      <c r="D8" s="44">
        <v>8000</v>
      </c>
      <c r="E8" s="44">
        <v>8000</v>
      </c>
    </row>
    <row r="9" spans="1:12" x14ac:dyDescent="0.4">
      <c r="A9" s="17">
        <v>70</v>
      </c>
      <c r="B9" s="44">
        <v>2400</v>
      </c>
      <c r="C9" s="44">
        <v>4700</v>
      </c>
      <c r="D9" s="44">
        <v>8000</v>
      </c>
      <c r="E9" s="44">
        <v>8000</v>
      </c>
    </row>
    <row r="10" spans="1:12" x14ac:dyDescent="0.4">
      <c r="A10" s="17">
        <v>80</v>
      </c>
      <c r="B10" s="44">
        <v>2800</v>
      </c>
      <c r="C10" s="44">
        <v>5300</v>
      </c>
      <c r="D10" s="44">
        <v>8000</v>
      </c>
      <c r="E10" s="44">
        <v>8000</v>
      </c>
    </row>
    <row r="11" spans="1:12" x14ac:dyDescent="0.4">
      <c r="A11" s="17">
        <v>90</v>
      </c>
      <c r="B11" s="44">
        <v>3100</v>
      </c>
      <c r="C11" s="44">
        <v>6000</v>
      </c>
      <c r="D11" s="44">
        <v>8000</v>
      </c>
      <c r="E11" s="44">
        <v>8000</v>
      </c>
    </row>
    <row r="12" spans="1:12" x14ac:dyDescent="0.4">
      <c r="A12" s="17">
        <v>100</v>
      </c>
      <c r="B12" s="44">
        <v>3200</v>
      </c>
      <c r="C12" s="44">
        <v>6400</v>
      </c>
      <c r="D12" s="44">
        <v>8000</v>
      </c>
      <c r="E12" s="44">
        <v>8000</v>
      </c>
    </row>
    <row r="13" spans="1:12" x14ac:dyDescent="0.4">
      <c r="A13" s="17">
        <v>110</v>
      </c>
      <c r="B13" s="44" t="s">
        <v>11</v>
      </c>
      <c r="C13" s="44">
        <v>7200</v>
      </c>
      <c r="D13" s="44">
        <v>8000</v>
      </c>
      <c r="E13" s="44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3"/>
  <sheetViews>
    <sheetView workbookViewId="0"/>
  </sheetViews>
  <sheetFormatPr defaultRowHeight="18.75" x14ac:dyDescent="0.4"/>
  <cols>
    <col min="1" max="16384" width="9" style="44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B2" s="44" t="s">
        <v>11</v>
      </c>
      <c r="C2" s="44" t="s">
        <v>11</v>
      </c>
      <c r="D2" s="44" t="s">
        <v>11</v>
      </c>
      <c r="E2" s="44" t="s">
        <v>11</v>
      </c>
      <c r="F2" s="44">
        <v>-3000</v>
      </c>
      <c r="G2" s="44">
        <v>-4500</v>
      </c>
      <c r="H2" s="44">
        <v>-6000</v>
      </c>
      <c r="I2" s="44">
        <v>-9000</v>
      </c>
      <c r="J2" s="44">
        <v>-12000</v>
      </c>
      <c r="K2" s="44">
        <v>-24000</v>
      </c>
      <c r="L2" s="44">
        <v>-36000</v>
      </c>
    </row>
    <row r="3" spans="1:12" x14ac:dyDescent="0.4">
      <c r="A3" s="17">
        <v>20</v>
      </c>
      <c r="B3" s="44" t="s">
        <v>11</v>
      </c>
      <c r="C3" s="44">
        <v>-600</v>
      </c>
      <c r="D3" s="44">
        <v>-1100</v>
      </c>
      <c r="E3" s="44">
        <v>-2000</v>
      </c>
      <c r="F3" s="44" t="s">
        <v>11</v>
      </c>
      <c r="G3" s="44" t="s">
        <v>11</v>
      </c>
      <c r="H3" s="44" t="s">
        <v>11</v>
      </c>
      <c r="I3" s="44" t="s">
        <v>11</v>
      </c>
      <c r="J3" s="44" t="s">
        <v>11</v>
      </c>
      <c r="K3" s="44" t="s">
        <v>11</v>
      </c>
      <c r="L3" s="44" t="s">
        <v>11</v>
      </c>
    </row>
    <row r="4" spans="1:12" x14ac:dyDescent="0.4">
      <c r="A4" s="17">
        <v>25</v>
      </c>
      <c r="B4" s="44" t="s">
        <v>11</v>
      </c>
      <c r="C4" s="44" t="s">
        <v>11</v>
      </c>
      <c r="D4" s="44">
        <v>-1200</v>
      </c>
      <c r="E4" s="44">
        <v>-2400</v>
      </c>
      <c r="F4" s="44" t="s">
        <v>11</v>
      </c>
      <c r="G4" s="44" t="s">
        <v>11</v>
      </c>
      <c r="H4" s="44" t="s">
        <v>11</v>
      </c>
      <c r="I4" s="44" t="s">
        <v>11</v>
      </c>
      <c r="J4" s="44" t="s">
        <v>11</v>
      </c>
      <c r="K4" s="44" t="s">
        <v>11</v>
      </c>
      <c r="L4" s="44" t="s">
        <v>11</v>
      </c>
    </row>
    <row r="5" spans="1:12" x14ac:dyDescent="0.4">
      <c r="A5" s="17">
        <v>30</v>
      </c>
      <c r="B5" s="44">
        <v>-500</v>
      </c>
      <c r="C5" s="44">
        <v>-800</v>
      </c>
      <c r="D5" s="44">
        <v>-1500</v>
      </c>
      <c r="E5" s="44">
        <v>-3000</v>
      </c>
      <c r="F5" s="44" t="s">
        <v>11</v>
      </c>
      <c r="G5" s="44" t="s">
        <v>11</v>
      </c>
      <c r="H5" s="44" t="s">
        <v>11</v>
      </c>
      <c r="I5" s="44" t="s">
        <v>11</v>
      </c>
      <c r="J5" s="44" t="s">
        <v>11</v>
      </c>
      <c r="K5" s="44" t="s">
        <v>11</v>
      </c>
      <c r="L5" s="44" t="s">
        <v>11</v>
      </c>
    </row>
    <row r="6" spans="1:12" x14ac:dyDescent="0.4">
      <c r="A6" s="17">
        <v>40</v>
      </c>
      <c r="B6" s="44">
        <v>-600</v>
      </c>
      <c r="C6" s="44">
        <v>-1100</v>
      </c>
      <c r="D6" s="44">
        <v>-2000</v>
      </c>
      <c r="E6" s="44">
        <v>-3000</v>
      </c>
      <c r="F6" s="44" t="s">
        <v>11</v>
      </c>
      <c r="G6" s="44" t="s">
        <v>11</v>
      </c>
      <c r="H6" s="44" t="s">
        <v>11</v>
      </c>
      <c r="I6" s="44" t="s">
        <v>11</v>
      </c>
      <c r="J6" s="44" t="s">
        <v>11</v>
      </c>
      <c r="K6" s="44" t="s">
        <v>11</v>
      </c>
      <c r="L6" s="44" t="s">
        <v>11</v>
      </c>
    </row>
    <row r="7" spans="1:12" x14ac:dyDescent="0.4">
      <c r="A7" s="17">
        <v>50</v>
      </c>
      <c r="B7" s="44">
        <v>-600</v>
      </c>
      <c r="C7" s="44">
        <v>-1200</v>
      </c>
      <c r="D7" s="44">
        <v>-2400</v>
      </c>
      <c r="E7" s="44">
        <v>-3000</v>
      </c>
      <c r="F7" s="44" t="s">
        <v>11</v>
      </c>
      <c r="G7" s="44" t="s">
        <v>11</v>
      </c>
      <c r="H7" s="44" t="s">
        <v>11</v>
      </c>
      <c r="I7" s="44" t="s">
        <v>11</v>
      </c>
      <c r="J7" s="44" t="s">
        <v>11</v>
      </c>
      <c r="K7" s="44" t="s">
        <v>11</v>
      </c>
      <c r="L7" s="44" t="s">
        <v>11</v>
      </c>
    </row>
    <row r="8" spans="1:12" x14ac:dyDescent="0.4">
      <c r="A8" s="17">
        <v>60</v>
      </c>
      <c r="B8" s="44">
        <v>-800</v>
      </c>
      <c r="C8" s="44">
        <v>-1500</v>
      </c>
      <c r="D8" s="44">
        <v>-3000</v>
      </c>
      <c r="E8" s="44">
        <v>-3000</v>
      </c>
      <c r="F8" s="44" t="s">
        <v>11</v>
      </c>
      <c r="G8" s="44" t="s">
        <v>11</v>
      </c>
      <c r="H8" s="44" t="s">
        <v>11</v>
      </c>
      <c r="I8" s="44" t="s">
        <v>11</v>
      </c>
      <c r="J8" s="44" t="s">
        <v>11</v>
      </c>
      <c r="K8" s="44" t="s">
        <v>11</v>
      </c>
      <c r="L8" s="44" t="s">
        <v>11</v>
      </c>
    </row>
    <row r="9" spans="1:12" x14ac:dyDescent="0.4">
      <c r="A9" s="17">
        <v>70</v>
      </c>
      <c r="B9" s="44">
        <v>-900</v>
      </c>
      <c r="C9" s="44">
        <v>-1800</v>
      </c>
      <c r="D9" s="44">
        <v>-3000</v>
      </c>
      <c r="E9" s="44">
        <v>-3000</v>
      </c>
      <c r="F9" s="44" t="s">
        <v>11</v>
      </c>
      <c r="G9" s="44" t="s">
        <v>11</v>
      </c>
      <c r="H9" s="44" t="s">
        <v>11</v>
      </c>
      <c r="I9" s="44" t="s">
        <v>11</v>
      </c>
      <c r="J9" s="44" t="s">
        <v>11</v>
      </c>
      <c r="K9" s="44" t="s">
        <v>11</v>
      </c>
      <c r="L9" s="44" t="s">
        <v>11</v>
      </c>
    </row>
    <row r="10" spans="1:12" x14ac:dyDescent="0.4">
      <c r="A10" s="17">
        <v>80</v>
      </c>
      <c r="B10" s="44">
        <v>-1100</v>
      </c>
      <c r="C10" s="44">
        <v>-2000</v>
      </c>
      <c r="D10" s="44">
        <v>-3000</v>
      </c>
      <c r="E10" s="44">
        <v>-3000</v>
      </c>
      <c r="F10" s="44" t="s">
        <v>11</v>
      </c>
      <c r="G10" s="44" t="s">
        <v>11</v>
      </c>
      <c r="H10" s="44" t="s">
        <v>11</v>
      </c>
      <c r="I10" s="44" t="s">
        <v>11</v>
      </c>
      <c r="J10" s="44" t="s">
        <v>11</v>
      </c>
      <c r="K10" s="44" t="s">
        <v>11</v>
      </c>
      <c r="L10" s="44" t="s">
        <v>11</v>
      </c>
    </row>
    <row r="11" spans="1:12" x14ac:dyDescent="0.4">
      <c r="A11" s="17">
        <v>90</v>
      </c>
      <c r="B11" s="44">
        <v>-1200</v>
      </c>
      <c r="C11" s="44">
        <v>-2300</v>
      </c>
      <c r="D11" s="44">
        <v>-3000</v>
      </c>
      <c r="E11" s="44">
        <v>-3000</v>
      </c>
      <c r="F11" s="44" t="s">
        <v>11</v>
      </c>
      <c r="G11" s="44" t="s">
        <v>11</v>
      </c>
      <c r="H11" s="44" t="s">
        <v>11</v>
      </c>
      <c r="I11" s="44" t="s">
        <v>11</v>
      </c>
      <c r="J11" s="44" t="s">
        <v>11</v>
      </c>
      <c r="K11" s="44" t="s">
        <v>11</v>
      </c>
      <c r="L11" s="44" t="s">
        <v>11</v>
      </c>
    </row>
    <row r="12" spans="1:12" x14ac:dyDescent="0.4">
      <c r="A12" s="17">
        <v>100</v>
      </c>
      <c r="B12" s="44">
        <v>-1200</v>
      </c>
      <c r="C12" s="44">
        <v>-2400</v>
      </c>
      <c r="D12" s="44">
        <v>-3000</v>
      </c>
      <c r="E12" s="44">
        <v>-3000</v>
      </c>
      <c r="F12" s="44" t="s">
        <v>11</v>
      </c>
      <c r="G12" s="44" t="s">
        <v>11</v>
      </c>
      <c r="H12" s="44" t="s">
        <v>11</v>
      </c>
      <c r="I12" s="44" t="s">
        <v>11</v>
      </c>
      <c r="J12" s="44" t="s">
        <v>11</v>
      </c>
      <c r="K12" s="44" t="s">
        <v>11</v>
      </c>
      <c r="L12" s="44" t="s">
        <v>11</v>
      </c>
    </row>
    <row r="13" spans="1:12" x14ac:dyDescent="0.4">
      <c r="A13" s="17">
        <v>110</v>
      </c>
      <c r="B13" s="44" t="s">
        <v>11</v>
      </c>
      <c r="C13" s="44">
        <v>-2700</v>
      </c>
      <c r="D13" s="44">
        <v>-3000</v>
      </c>
      <c r="E13" s="44">
        <v>-3000</v>
      </c>
      <c r="F13" s="44" t="s">
        <v>11</v>
      </c>
      <c r="G13" s="44" t="s">
        <v>11</v>
      </c>
      <c r="H13" s="44" t="s">
        <v>11</v>
      </c>
      <c r="I13" s="44" t="s">
        <v>11</v>
      </c>
      <c r="J13" s="44" t="s">
        <v>11</v>
      </c>
      <c r="K13" s="44" t="s">
        <v>11</v>
      </c>
      <c r="L13" s="44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3"/>
  <sheetViews>
    <sheetView workbookViewId="0"/>
  </sheetViews>
  <sheetFormatPr defaultRowHeight="18.75" x14ac:dyDescent="0.4"/>
  <cols>
    <col min="1" max="16384" width="9" style="44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B2" s="44" t="s">
        <v>11</v>
      </c>
      <c r="C2" s="44" t="s">
        <v>11</v>
      </c>
      <c r="D2" s="44" t="s">
        <v>11</v>
      </c>
      <c r="E2" s="44" t="s">
        <v>11</v>
      </c>
      <c r="F2" s="44">
        <v>-5000</v>
      </c>
      <c r="G2" s="44">
        <v>-7500</v>
      </c>
      <c r="H2" s="44">
        <v>-10000</v>
      </c>
      <c r="I2" s="44">
        <v>-15000</v>
      </c>
      <c r="J2" s="44">
        <v>-20000</v>
      </c>
      <c r="K2" s="44">
        <v>-40000</v>
      </c>
      <c r="L2" s="44">
        <v>-60000</v>
      </c>
    </row>
    <row r="3" spans="1:12" x14ac:dyDescent="0.4">
      <c r="A3" s="17">
        <v>20</v>
      </c>
      <c r="B3" s="44" t="s">
        <v>11</v>
      </c>
      <c r="C3" s="44">
        <v>-900</v>
      </c>
      <c r="D3" s="44">
        <v>-1700</v>
      </c>
      <c r="E3" s="44">
        <v>-3300</v>
      </c>
      <c r="F3" s="44" t="s">
        <v>11</v>
      </c>
      <c r="G3" s="44" t="s">
        <v>11</v>
      </c>
      <c r="H3" s="44" t="s">
        <v>11</v>
      </c>
      <c r="I3" s="44" t="s">
        <v>11</v>
      </c>
      <c r="J3" s="44" t="s">
        <v>11</v>
      </c>
      <c r="K3" s="44" t="s">
        <v>11</v>
      </c>
      <c r="L3" s="44" t="s">
        <v>11</v>
      </c>
    </row>
    <row r="4" spans="1:12" x14ac:dyDescent="0.4">
      <c r="A4" s="17">
        <v>25</v>
      </c>
      <c r="B4" s="44" t="s">
        <v>11</v>
      </c>
      <c r="C4" s="44" t="s">
        <v>11</v>
      </c>
      <c r="D4" s="44">
        <v>-2000</v>
      </c>
      <c r="E4" s="44">
        <v>-4000</v>
      </c>
      <c r="F4" s="44" t="s">
        <v>11</v>
      </c>
      <c r="G4" s="44" t="s">
        <v>11</v>
      </c>
      <c r="H4" s="44" t="s">
        <v>11</v>
      </c>
      <c r="I4" s="44" t="s">
        <v>11</v>
      </c>
      <c r="J4" s="44" t="s">
        <v>11</v>
      </c>
      <c r="K4" s="44" t="s">
        <v>11</v>
      </c>
      <c r="L4" s="44" t="s">
        <v>11</v>
      </c>
    </row>
    <row r="5" spans="1:12" x14ac:dyDescent="0.4">
      <c r="A5" s="17">
        <v>30</v>
      </c>
      <c r="B5" s="44">
        <v>-700</v>
      </c>
      <c r="C5" s="44">
        <v>-1300</v>
      </c>
      <c r="D5" s="44">
        <v>-2500</v>
      </c>
      <c r="E5" s="44">
        <v>-5000</v>
      </c>
      <c r="F5" s="44" t="s">
        <v>11</v>
      </c>
      <c r="G5" s="44" t="s">
        <v>11</v>
      </c>
      <c r="H5" s="44" t="s">
        <v>11</v>
      </c>
      <c r="I5" s="44" t="s">
        <v>11</v>
      </c>
      <c r="J5" s="44" t="s">
        <v>11</v>
      </c>
      <c r="K5" s="44" t="s">
        <v>11</v>
      </c>
      <c r="L5" s="44" t="s">
        <v>11</v>
      </c>
    </row>
    <row r="6" spans="1:12" x14ac:dyDescent="0.4">
      <c r="A6" s="17">
        <v>40</v>
      </c>
      <c r="B6" s="44">
        <v>-900</v>
      </c>
      <c r="C6" s="44">
        <v>-1700</v>
      </c>
      <c r="D6" s="44">
        <v>-3300</v>
      </c>
      <c r="E6" s="44">
        <v>-5000</v>
      </c>
      <c r="F6" s="44" t="s">
        <v>11</v>
      </c>
      <c r="G6" s="44" t="s">
        <v>11</v>
      </c>
      <c r="H6" s="44" t="s">
        <v>11</v>
      </c>
      <c r="I6" s="44" t="s">
        <v>11</v>
      </c>
      <c r="J6" s="44" t="s">
        <v>11</v>
      </c>
      <c r="K6" s="44" t="s">
        <v>11</v>
      </c>
      <c r="L6" s="44" t="s">
        <v>11</v>
      </c>
    </row>
    <row r="7" spans="1:12" x14ac:dyDescent="0.4">
      <c r="A7" s="17">
        <v>50</v>
      </c>
      <c r="B7" s="44">
        <v>-1000</v>
      </c>
      <c r="C7" s="44">
        <v>-2000</v>
      </c>
      <c r="D7" s="44">
        <v>-4000</v>
      </c>
      <c r="E7" s="44">
        <v>-5000</v>
      </c>
      <c r="F7" s="44" t="s">
        <v>11</v>
      </c>
      <c r="G7" s="44" t="s">
        <v>11</v>
      </c>
      <c r="H7" s="44" t="s">
        <v>11</v>
      </c>
      <c r="I7" s="44" t="s">
        <v>11</v>
      </c>
      <c r="J7" s="44" t="s">
        <v>11</v>
      </c>
      <c r="K7" s="44" t="s">
        <v>11</v>
      </c>
      <c r="L7" s="44" t="s">
        <v>11</v>
      </c>
    </row>
    <row r="8" spans="1:12" x14ac:dyDescent="0.4">
      <c r="A8" s="17">
        <v>60</v>
      </c>
      <c r="B8" s="44">
        <v>-1300</v>
      </c>
      <c r="C8" s="44">
        <v>-2500</v>
      </c>
      <c r="D8" s="44">
        <v>-5000</v>
      </c>
      <c r="E8" s="44">
        <v>-5000</v>
      </c>
      <c r="F8" s="44" t="s">
        <v>11</v>
      </c>
      <c r="G8" s="44" t="s">
        <v>11</v>
      </c>
      <c r="H8" s="44" t="s">
        <v>11</v>
      </c>
      <c r="I8" s="44" t="s">
        <v>11</v>
      </c>
      <c r="J8" s="44" t="s">
        <v>11</v>
      </c>
      <c r="K8" s="44" t="s">
        <v>11</v>
      </c>
      <c r="L8" s="44" t="s">
        <v>11</v>
      </c>
    </row>
    <row r="9" spans="1:12" x14ac:dyDescent="0.4">
      <c r="A9" s="17">
        <v>70</v>
      </c>
      <c r="B9" s="44">
        <v>-1500</v>
      </c>
      <c r="C9" s="44">
        <v>-2900</v>
      </c>
      <c r="D9" s="44">
        <v>-5000</v>
      </c>
      <c r="E9" s="44">
        <v>-5000</v>
      </c>
      <c r="F9" s="44" t="s">
        <v>11</v>
      </c>
      <c r="G9" s="44" t="s">
        <v>11</v>
      </c>
      <c r="H9" s="44" t="s">
        <v>11</v>
      </c>
      <c r="I9" s="44" t="s">
        <v>11</v>
      </c>
      <c r="J9" s="44" t="s">
        <v>11</v>
      </c>
      <c r="K9" s="44" t="s">
        <v>11</v>
      </c>
      <c r="L9" s="44" t="s">
        <v>11</v>
      </c>
    </row>
    <row r="10" spans="1:12" x14ac:dyDescent="0.4">
      <c r="A10" s="17">
        <v>80</v>
      </c>
      <c r="B10" s="44">
        <v>-1700</v>
      </c>
      <c r="C10" s="44">
        <v>-3300</v>
      </c>
      <c r="D10" s="44">
        <v>-5000</v>
      </c>
      <c r="E10" s="44">
        <v>-5000</v>
      </c>
      <c r="F10" s="44" t="s">
        <v>11</v>
      </c>
      <c r="G10" s="44" t="s">
        <v>11</v>
      </c>
      <c r="H10" s="44" t="s">
        <v>11</v>
      </c>
      <c r="I10" s="44" t="s">
        <v>11</v>
      </c>
      <c r="J10" s="44" t="s">
        <v>11</v>
      </c>
      <c r="K10" s="44" t="s">
        <v>11</v>
      </c>
      <c r="L10" s="44" t="s">
        <v>11</v>
      </c>
    </row>
    <row r="11" spans="1:12" x14ac:dyDescent="0.4">
      <c r="A11" s="17">
        <v>90</v>
      </c>
      <c r="B11" s="44">
        <v>-1900</v>
      </c>
      <c r="C11" s="44">
        <v>-3700</v>
      </c>
      <c r="D11" s="44">
        <v>-5000</v>
      </c>
      <c r="E11" s="44">
        <v>-5000</v>
      </c>
      <c r="F11" s="44" t="s">
        <v>11</v>
      </c>
      <c r="G11" s="44" t="s">
        <v>11</v>
      </c>
      <c r="H11" s="44" t="s">
        <v>11</v>
      </c>
      <c r="I11" s="44" t="s">
        <v>11</v>
      </c>
      <c r="J11" s="44" t="s">
        <v>11</v>
      </c>
      <c r="K11" s="44" t="s">
        <v>11</v>
      </c>
      <c r="L11" s="44" t="s">
        <v>11</v>
      </c>
    </row>
    <row r="12" spans="1:12" x14ac:dyDescent="0.4">
      <c r="A12" s="17">
        <v>100</v>
      </c>
      <c r="B12" s="44">
        <v>-2000</v>
      </c>
      <c r="C12" s="44">
        <v>-4000</v>
      </c>
      <c r="D12" s="44">
        <v>-5000</v>
      </c>
      <c r="E12" s="44">
        <v>-5000</v>
      </c>
      <c r="F12" s="44" t="s">
        <v>11</v>
      </c>
      <c r="G12" s="44" t="s">
        <v>11</v>
      </c>
      <c r="H12" s="44" t="s">
        <v>11</v>
      </c>
      <c r="I12" s="44" t="s">
        <v>11</v>
      </c>
      <c r="J12" s="44" t="s">
        <v>11</v>
      </c>
      <c r="K12" s="44" t="s">
        <v>11</v>
      </c>
      <c r="L12" s="44" t="s">
        <v>11</v>
      </c>
    </row>
    <row r="13" spans="1:12" x14ac:dyDescent="0.4">
      <c r="A13" s="17">
        <v>110</v>
      </c>
      <c r="B13" s="44" t="s">
        <v>11</v>
      </c>
      <c r="C13" s="44">
        <v>-4500</v>
      </c>
      <c r="D13" s="44">
        <v>-5000</v>
      </c>
      <c r="E13" s="44">
        <v>-5000</v>
      </c>
      <c r="F13" s="44" t="s">
        <v>11</v>
      </c>
      <c r="G13" s="44" t="s">
        <v>11</v>
      </c>
      <c r="H13" s="44" t="s">
        <v>11</v>
      </c>
      <c r="I13" s="44" t="s">
        <v>11</v>
      </c>
      <c r="J13" s="44" t="s">
        <v>11</v>
      </c>
      <c r="K13" s="44" t="s">
        <v>11</v>
      </c>
      <c r="L13" s="44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2018-12-16T07:22:52Z</dcterms:modified>
</cp:coreProperties>
</file>