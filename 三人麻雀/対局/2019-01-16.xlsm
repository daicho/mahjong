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9449DD38-CDED-4138-9369-24573CDB67D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 s="1"/>
  <c r="T14" i="16"/>
  <c r="W14" i="16" s="1"/>
  <c r="O14" i="16"/>
  <c r="V14" i="16" s="1"/>
  <c r="J14" i="16"/>
  <c r="U14" i="16" s="1"/>
  <c r="D14" i="16"/>
  <c r="C14" i="16"/>
  <c r="B14" i="16"/>
  <c r="A14" i="16" s="1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T11" i="16"/>
  <c r="W11" i="16" s="1"/>
  <c r="O11" i="16"/>
  <c r="V11" i="16" s="1"/>
  <c r="J11" i="16"/>
  <c r="U11" i="16" s="1"/>
  <c r="D11" i="16"/>
  <c r="C11" i="16"/>
  <c r="B11" i="16"/>
  <c r="A11" i="16" s="1"/>
  <c r="T10" i="16"/>
  <c r="W10" i="16" s="1"/>
  <c r="O10" i="16"/>
  <c r="V10" i="16" s="1"/>
  <c r="J10" i="16"/>
  <c r="U10" i="16" s="1"/>
  <c r="D10" i="16"/>
  <c r="C10" i="16"/>
  <c r="B10" i="16"/>
  <c r="A10" i="16" s="1"/>
  <c r="T9" i="16"/>
  <c r="W9" i="16" s="1"/>
  <c r="O9" i="16"/>
  <c r="V9" i="16" s="1"/>
  <c r="J9" i="16"/>
  <c r="U9" i="16" s="1"/>
  <c r="D9" i="16"/>
  <c r="C9" i="16"/>
  <c r="B9" i="16"/>
  <c r="A9" i="16" s="1"/>
  <c r="T8" i="16"/>
  <c r="W8" i="16" s="1"/>
  <c r="O8" i="16"/>
  <c r="V8" i="16" s="1"/>
  <c r="J8" i="16"/>
  <c r="U8" i="16" s="1"/>
  <c r="D8" i="16"/>
  <c r="C8" i="16"/>
  <c r="B8" i="16"/>
  <c r="A8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6" l="1"/>
  <c r="B7" i="16"/>
  <c r="A7" i="16" s="1"/>
  <c r="V6" i="16"/>
  <c r="O7" i="16"/>
  <c r="V7" i="16" s="1"/>
  <c r="T5" i="16"/>
  <c r="A6" i="16"/>
  <c r="J6" i="16"/>
  <c r="J7" i="16" l="1"/>
  <c r="U7" i="16" s="1"/>
  <c r="U6" i="16"/>
  <c r="W5" i="16"/>
  <c r="T6" i="16"/>
  <c r="W6" i="16" l="1"/>
  <c r="T7" i="16"/>
  <c r="W7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U9" i="1" s="1"/>
  <c r="T8" i="1"/>
  <c r="W8" i="1" s="1"/>
  <c r="O9" i="1"/>
  <c r="V9" i="1" s="1"/>
  <c r="B13" i="1"/>
  <c r="A13" i="1" s="1"/>
  <c r="W7" i="1" l="1"/>
  <c r="J10" i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<sst xmlns="http://schemas.openxmlformats.org/spreadsheetml/2006/main" count="641" uniqueCount="152">
  <si>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</si>
  <si>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</si>
  <si>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</si>
  <si>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</si>
  <si>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</si>
  <si>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</si>
  <si>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</si>
  <si>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</si>
  <si>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</si>
  <si>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</si>
  <si>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</si>
  <si>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</si>
  <si>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</si>
  <si>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</si>
  <si>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</si>
  <si>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</si>
  <si>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</si>
  <si>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</si>
  <si>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</si>
  <si>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</si>
  <si>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</si>
  <si>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</si>
  <si>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</si>
  <si>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</si>
  <si>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</si>
  <si>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</si>
  <si>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</si>
  <si>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</si>
  <si>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</si>
  <si>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</si>
  <si>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</si>
  <si>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</si>
  <si>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</si>
  <si>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</si>
  <si>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</si>
  <si>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</si>
  <si>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</si>
  <si>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</si>
  <si>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</si>
  <si>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</si>
  <si>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</si>
  <si>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</si>
  <si>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</si>
  <si>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</si>
  <si>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</si>
  <si>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</si>
  <si>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</si>
  <si>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</si>
  <si>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</si>
  <si>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</si>
  <si>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</si>
  <si>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</si>
  <si>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</si>
  <si>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</si>
  <si>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</si>
  <si>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</si>
  <si>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</si>
  <si>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</si>
  <si>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</si>
  <si>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</si>
  <si>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</si>
  <si>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</si>
  <si>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</si>
  <si>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</si>
  <si>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</si>
  <si>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</si>
  <si>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</si>
  <si>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</si>
  <si>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</si>
  <si>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</si>
  <si>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</si>
  <si>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</si>
  <si>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</si>
  <si>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</si>
  <si>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</si>
  <si>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</si>
  <si>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</si>
  <si>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</si>
  <si>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</si>
  <si>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</si>
  <si>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</si>
  <si>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</si>
  <si>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</si>
  <si>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</si>
  <si>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</si>
  <si>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</si>
  <si>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</si>
  <si>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</si>
  <si>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</si>
  <si>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</si>
  <si>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</si>
  <si>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</si>
  <si>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</si>
  <si>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</si>
  <si>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</si>
  <si>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</si>
  <si>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</si>
  <si>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</si>
  <si>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</si>
  <si>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</si>
  <si>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</si>
  <si>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</si>
  <si>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</si>
  <si>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</si>
  <si>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</si>
  <si>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</si>
  <si>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</si>
  <si>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</si>
  <si>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</si>
  <si>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</si>
  <si>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</si>
  <si>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</si>
  <si>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</si>
  <si>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</si>
  <si>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</si>
  <si>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</si>
  <si>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</si>
  <si>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</si>
  <si>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</si>
  <si>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</si>
  <si>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</si>
  <si>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</si>
  <si>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</si>
  <si>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</si>
  <si>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</si>
  <si>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</si>
  <si>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</si>
  <si>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</si>
  <si>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</si>
  <si>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</si>
  <si>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</si>
  <si>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</si>
  <si>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</si>
  <si>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</si>
  <si>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</si>
  <si>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</si>
  <si>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</si>
  <si>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</si>
  <si>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</si>
  <si>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まっつん</t>
  </si>
  <si>
    <t>まっつん</t>
    <phoneticPr fontId="1"/>
  </si>
  <si>
    <t>ツモ支払</t>
  </si>
  <si>
    <t>ツモ</t>
  </si>
  <si>
    <t>*</t>
  </si>
  <si>
    <t>放銃</t>
  </si>
  <si>
    <t>ロン</t>
  </si>
  <si>
    <t>01</t>
  </si>
  <si>
    <t>02</t>
  </si>
  <si>
    <t>N</t>
  </si>
  <si>
    <t>T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</si>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</sst>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141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-3</v>
      </c>
      <c r="V4" s="61">
        <f t="shared" ref="V4:V30" si="1">IF($O4="","",ROUND(($O4-$O$3)/1000,1))</f>
        <v>-5</v>
      </c>
      <c r="W4" s="62">
        <f t="shared" ref="W4:W30" si="2">IF($T4="","",ROUND(($T4-$T$3)/1000,1))</f>
        <v>8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5</v>
      </c>
      <c r="BT4" s="36" t="s">
        <v>143</v>
      </c>
      <c r="BU4" s="47" t="s">
        <v>87</v>
      </c>
      <c r="BV4" s="48" t="s">
        <v>82</v>
      </c>
      <c r="BW4" s="48" t="s">
        <v>82</v>
      </c>
      <c r="BX4" s="48" t="s">
        <v>80</v>
      </c>
      <c r="BY4" s="48" t="s">
        <v>80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-1500</v>
      </c>
      <c r="H5" s="9"/>
      <c r="I5" s="55">
        <v>0</v>
      </c>
      <c r="J5" s="21">
        <f t="shared" ref="J5:J30" si="6">IF(COUNTA($F5,$K5,$P5)&gt;0,J4+SUM(G5:I5),"")</f>
        <v>30500</v>
      </c>
      <c r="K5" s="8" t="s">
        <v>141</v>
      </c>
      <c r="L5" s="9">
        <v>-1500</v>
      </c>
      <c r="M5" s="9"/>
      <c r="N5" s="55">
        <v>0</v>
      </c>
      <c r="O5" s="21">
        <f t="shared" ref="O5:O30" si="7">IF(COUNTA($F5,$K5,$P5)&gt;0,O4+SUM(L5:N5),"")</f>
        <v>28500</v>
      </c>
      <c r="P5" s="8" t="s">
        <v>142</v>
      </c>
      <c r="Q5" s="9">
        <v>3000</v>
      </c>
      <c r="R5" s="9"/>
      <c r="S5" s="55">
        <v>0</v>
      </c>
      <c r="T5" s="21">
        <f t="shared" ref="T5:T30" si="8">IF(COUNTA($F5,$K5,$P5)&gt;0,T4+SUM(Q5:S5),"")</f>
        <v>46000</v>
      </c>
      <c r="U5" s="60">
        <f t="shared" si="0"/>
        <v>-4.5</v>
      </c>
      <c r="V5" s="61">
        <f t="shared" si="1"/>
        <v>-6.5</v>
      </c>
      <c r="W5" s="62">
        <f t="shared" si="2"/>
        <v>11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87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144</v>
      </c>
      <c r="G6" s="9">
        <v>-18000</v>
      </c>
      <c r="H6" s="9"/>
      <c r="I6" s="55">
        <v>-1000</v>
      </c>
      <c r="J6" s="21">
        <f t="shared" si="6"/>
        <v>11500</v>
      </c>
      <c r="K6" s="8"/>
      <c r="L6" s="9"/>
      <c r="M6" s="9"/>
      <c r="N6" s="55"/>
      <c r="O6" s="21">
        <f t="shared" si="7"/>
        <v>28500</v>
      </c>
      <c r="P6" s="8" t="s">
        <v>145</v>
      </c>
      <c r="Q6" s="9">
        <v>18000</v>
      </c>
      <c r="R6" s="9"/>
      <c r="S6" s="55">
        <v>1000</v>
      </c>
      <c r="T6" s="21">
        <f t="shared" si="8"/>
        <v>65000</v>
      </c>
      <c r="U6" s="60">
        <f t="shared" si="0"/>
        <v>-23.5</v>
      </c>
      <c r="V6" s="61">
        <f t="shared" si="1"/>
        <v>-6.5</v>
      </c>
      <c r="W6" s="62">
        <f t="shared" si="2"/>
        <v>30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143</v>
      </c>
      <c r="BU6" s="47" t="s">
        <v>146</v>
      </c>
      <c r="BV6" s="48" t="s">
        <v>147</v>
      </c>
      <c r="BW6" s="48" t="s">
        <v>80</v>
      </c>
      <c r="BX6" s="48" t="s">
        <v>80</v>
      </c>
      <c r="BY6" s="48" t="s">
        <v>80</v>
      </c>
      <c r="BZ6" s="48" t="s">
        <v>84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0</v>
      </c>
      <c r="E7" s="4" t="s">
        <v>137</v>
      </c>
      <c r="F7" s="8" t="s">
        <v>144</v>
      </c>
      <c r="G7" s="9">
        <v>-20000</v>
      </c>
      <c r="H7" s="9">
        <v>-1000</v>
      </c>
      <c r="I7" s="55">
        <v>-2000</v>
      </c>
      <c r="J7" s="21">
        <f t="shared" si="6"/>
        <v>-11500</v>
      </c>
      <c r="K7" s="8" t="s">
        <v>145</v>
      </c>
      <c r="L7" s="9">
        <v>8000</v>
      </c>
      <c r="M7" s="9">
        <v>1000</v>
      </c>
      <c r="N7" s="55">
        <v>2000</v>
      </c>
      <c r="O7" s="21">
        <f t="shared" si="7"/>
        <v>39500</v>
      </c>
      <c r="P7" s="8" t="s">
        <v>145</v>
      </c>
      <c r="Q7" s="9">
        <v>12000</v>
      </c>
      <c r="R7" s="9"/>
      <c r="S7" s="55"/>
      <c r="T7" s="21">
        <f t="shared" si="8"/>
        <v>77000</v>
      </c>
      <c r="U7" s="60">
        <f t="shared" si="0"/>
        <v>-46.5</v>
      </c>
      <c r="V7" s="61">
        <f t="shared" si="1"/>
        <v>4.5</v>
      </c>
      <c r="W7" s="62">
        <f t="shared" si="2"/>
        <v>42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5</v>
      </c>
      <c r="AY7" s="36" t="s">
        <v>143</v>
      </c>
      <c r="AZ7" s="47" t="s">
        <v>80</v>
      </c>
      <c r="BA7" s="48" t="s">
        <v>80</v>
      </c>
      <c r="BB7" s="48" t="s">
        <v>87</v>
      </c>
      <c r="BC7" s="48" t="s">
        <v>82</v>
      </c>
      <c r="BD7" s="48" t="s">
        <v>82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143</v>
      </c>
      <c r="BU7" s="47" t="s">
        <v>80</v>
      </c>
      <c r="BV7" s="48" t="s">
        <v>80</v>
      </c>
      <c r="BW7" s="48" t="s">
        <v>87</v>
      </c>
      <c r="BX7" s="48" t="s">
        <v>82</v>
      </c>
      <c r="BY7" s="48" t="s">
        <v>82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80F22-5967-4CFC-B338-78BE83ABDF59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144</v>
      </c>
      <c r="G4" s="9">
        <v>-2000</v>
      </c>
      <c r="H4" s="9"/>
      <c r="I4" s="55">
        <v>0</v>
      </c>
      <c r="J4" s="21">
        <f>IF(COUNTA($F4,$K4,$P4)&gt;0,J3+SUM(G4:I4),"")</f>
        <v>33000</v>
      </c>
      <c r="K4" s="8"/>
      <c r="L4" s="9"/>
      <c r="M4" s="9"/>
      <c r="N4" s="55"/>
      <c r="O4" s="21">
        <f>IF(COUNTA($F4,$K4,$P4)&gt;0,O3+SUM(L4:N4),"")</f>
        <v>35000</v>
      </c>
      <c r="P4" s="8" t="s">
        <v>145</v>
      </c>
      <c r="Q4" s="9">
        <v>2000</v>
      </c>
      <c r="R4" s="9"/>
      <c r="S4" s="55">
        <v>0</v>
      </c>
      <c r="T4" s="21">
        <f>IF(COUNTA($F4,$K4,$P4)&gt;0,T3+SUM(Q4:S4),"")</f>
        <v>37000</v>
      </c>
      <c r="U4" s="60">
        <f t="shared" ref="U4:U30" si="0">IF($J4="","",ROUND(($J4-$J$3)/1000,1))</f>
        <v>-2</v>
      </c>
      <c r="V4" s="61">
        <f t="shared" ref="V4:V30" si="1">IF($O4="","",ROUND(($O4-$O$3)/1000,1))</f>
        <v>0</v>
      </c>
      <c r="W4" s="62">
        <f t="shared" ref="W4:W30" si="2">IF($T4="","",ROUND(($T4-$T$3)/1000,1))</f>
        <v>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80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144</v>
      </c>
      <c r="G5" s="9">
        <v>-1300</v>
      </c>
      <c r="H5" s="9">
        <v>-1000</v>
      </c>
      <c r="I5" s="55">
        <v>0</v>
      </c>
      <c r="J5" s="21">
        <f t="shared" ref="J5:J30" si="6">IF(COUNTA($F5,$K5,$P5)&gt;0,J4+SUM(G5:I5),"")</f>
        <v>30700</v>
      </c>
      <c r="K5" s="8"/>
      <c r="L5" s="9"/>
      <c r="M5" s="9"/>
      <c r="N5" s="55"/>
      <c r="O5" s="21">
        <f t="shared" ref="O5:O30" si="7">IF(COUNTA($F5,$K5,$P5)&gt;0,O4+SUM(L5:N5),"")</f>
        <v>35000</v>
      </c>
      <c r="P5" s="8" t="s">
        <v>145</v>
      </c>
      <c r="Q5" s="9">
        <v>1300</v>
      </c>
      <c r="R5" s="9">
        <v>1000</v>
      </c>
      <c r="S5" s="55">
        <v>0</v>
      </c>
      <c r="T5" s="21">
        <f t="shared" ref="T5:T30" si="8">IF(COUNTA($F5,$K5,$P5)&gt;0,T4+SUM(Q5:S5),"")</f>
        <v>39300</v>
      </c>
      <c r="U5" s="60">
        <f t="shared" si="0"/>
        <v>-4.3</v>
      </c>
      <c r="V5" s="61">
        <f t="shared" si="1"/>
        <v>0</v>
      </c>
      <c r="W5" s="62">
        <f t="shared" si="2"/>
        <v>4.3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1</v>
      </c>
      <c r="BT5" s="36">
        <v>40</v>
      </c>
      <c r="BU5" s="47" t="s">
        <v>146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150</v>
      </c>
      <c r="G6" s="9">
        <v>-3000</v>
      </c>
      <c r="H6" s="9"/>
      <c r="I6" s="55"/>
      <c r="J6" s="21">
        <f t="shared" si="6"/>
        <v>27700</v>
      </c>
      <c r="K6" s="8" t="s">
        <v>150</v>
      </c>
      <c r="L6" s="9">
        <v>1500</v>
      </c>
      <c r="M6" s="9"/>
      <c r="N6" s="55"/>
      <c r="O6" s="21">
        <f t="shared" si="7"/>
        <v>36500</v>
      </c>
      <c r="P6" s="8" t="s">
        <v>150</v>
      </c>
      <c r="Q6" s="9">
        <v>1500</v>
      </c>
      <c r="R6" s="9">
        <v>-1000</v>
      </c>
      <c r="S6" s="55"/>
      <c r="T6" s="21">
        <f t="shared" si="8"/>
        <v>39800</v>
      </c>
      <c r="U6" s="60">
        <f t="shared" si="0"/>
        <v>-7.3</v>
      </c>
      <c r="V6" s="61">
        <f t="shared" si="1"/>
        <v>1.5</v>
      </c>
      <c r="W6" s="62">
        <f t="shared" si="2"/>
        <v>4.8</v>
      </c>
      <c r="Y6" s="8" t="s">
        <v>148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149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1</v>
      </c>
      <c r="E7" s="4" t="s">
        <v>137</v>
      </c>
      <c r="F7" s="8" t="s">
        <v>144</v>
      </c>
      <c r="G7" s="9">
        <v>-12000</v>
      </c>
      <c r="H7" s="9">
        <v>-1000</v>
      </c>
      <c r="I7" s="55">
        <v>-1000</v>
      </c>
      <c r="J7" s="21">
        <f t="shared" si="6"/>
        <v>13700</v>
      </c>
      <c r="K7" s="8"/>
      <c r="L7" s="9"/>
      <c r="M7" s="9"/>
      <c r="N7" s="55"/>
      <c r="O7" s="21">
        <f t="shared" si="7"/>
        <v>36500</v>
      </c>
      <c r="P7" s="8" t="s">
        <v>145</v>
      </c>
      <c r="Q7" s="9">
        <v>12000</v>
      </c>
      <c r="R7" s="9">
        <v>2000</v>
      </c>
      <c r="S7" s="55">
        <v>1000</v>
      </c>
      <c r="T7" s="21">
        <f t="shared" si="8"/>
        <v>54800</v>
      </c>
      <c r="U7" s="60">
        <f t="shared" si="0"/>
        <v>-21.3</v>
      </c>
      <c r="V7" s="61">
        <f t="shared" si="1"/>
        <v>1.5</v>
      </c>
      <c r="W7" s="62">
        <f t="shared" si="2"/>
        <v>19.8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5</v>
      </c>
      <c r="BT7" s="36" t="s">
        <v>143</v>
      </c>
      <c r="BU7" s="47" t="s">
        <v>87</v>
      </c>
      <c r="BV7" s="48" t="s">
        <v>80</v>
      </c>
      <c r="BW7" s="48" t="s">
        <v>80</v>
      </c>
      <c r="BX7" s="48" t="s">
        <v>80</v>
      </c>
      <c r="BY7" s="48" t="s">
        <v>82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2</v>
      </c>
      <c r="D8" s="18">
        <f t="shared" si="5"/>
        <v>0</v>
      </c>
      <c r="E8" s="4" t="s">
        <v>137</v>
      </c>
      <c r="F8" s="8" t="s">
        <v>145</v>
      </c>
      <c r="G8" s="9">
        <v>32000</v>
      </c>
      <c r="H8" s="9"/>
      <c r="I8" s="55">
        <v>2000</v>
      </c>
      <c r="J8" s="21">
        <f t="shared" si="6"/>
        <v>47700</v>
      </c>
      <c r="K8" s="8"/>
      <c r="L8" s="9"/>
      <c r="M8" s="9"/>
      <c r="N8" s="55"/>
      <c r="O8" s="21">
        <f t="shared" si="7"/>
        <v>36500</v>
      </c>
      <c r="P8" s="8" t="s">
        <v>144</v>
      </c>
      <c r="Q8" s="9">
        <v>-32000</v>
      </c>
      <c r="R8" s="9"/>
      <c r="S8" s="55">
        <v>-2000</v>
      </c>
      <c r="T8" s="21">
        <f t="shared" si="8"/>
        <v>20800</v>
      </c>
      <c r="U8" s="60">
        <f t="shared" si="0"/>
        <v>12.7</v>
      </c>
      <c r="V8" s="61">
        <f t="shared" si="1"/>
        <v>1.5</v>
      </c>
      <c r="W8" s="62">
        <f t="shared" si="2"/>
        <v>-14.2</v>
      </c>
      <c r="Y8" s="8"/>
      <c r="Z8" s="41"/>
      <c r="AA8" s="32"/>
      <c r="AB8" s="32">
        <v>1</v>
      </c>
      <c r="AC8" s="32">
        <v>13</v>
      </c>
      <c r="AD8" s="36" t="s">
        <v>143</v>
      </c>
      <c r="AE8" s="47" t="s">
        <v>105</v>
      </c>
      <c r="AF8" s="48" t="s">
        <v>99</v>
      </c>
      <c r="AG8" s="48" t="s">
        <v>87</v>
      </c>
      <c r="AH8" s="48" t="s">
        <v>87</v>
      </c>
      <c r="AI8" s="48" t="s">
        <v>82</v>
      </c>
      <c r="AJ8" s="48" t="s">
        <v>82</v>
      </c>
      <c r="AK8" s="48" t="s">
        <v>80</v>
      </c>
      <c r="AL8" s="48" t="s">
        <v>80</v>
      </c>
      <c r="AM8" s="48" t="s">
        <v>80</v>
      </c>
      <c r="AN8" s="48" t="s">
        <v>80</v>
      </c>
      <c r="AO8" s="48" t="s">
        <v>80</v>
      </c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12000</v>
      </c>
      <c r="H9" s="9"/>
      <c r="I9" s="55">
        <v>0</v>
      </c>
      <c r="J9" s="21">
        <f t="shared" si="6"/>
        <v>59700</v>
      </c>
      <c r="K9" s="8" t="s">
        <v>141</v>
      </c>
      <c r="L9" s="9">
        <v>-6000</v>
      </c>
      <c r="M9" s="9"/>
      <c r="N9" s="55">
        <v>0</v>
      </c>
      <c r="O9" s="21">
        <f t="shared" si="7"/>
        <v>30500</v>
      </c>
      <c r="P9" s="8" t="s">
        <v>141</v>
      </c>
      <c r="Q9" s="9">
        <v>-6000</v>
      </c>
      <c r="R9" s="9"/>
      <c r="S9" s="55">
        <v>0</v>
      </c>
      <c r="T9" s="21">
        <f t="shared" si="8"/>
        <v>14800</v>
      </c>
      <c r="U9" s="60">
        <f t="shared" si="0"/>
        <v>24.7</v>
      </c>
      <c r="V9" s="61">
        <f t="shared" si="1"/>
        <v>-4.5</v>
      </c>
      <c r="W9" s="62">
        <f t="shared" si="2"/>
        <v>-20.2</v>
      </c>
      <c r="Y9" s="8"/>
      <c r="Z9" s="41"/>
      <c r="AA9" s="32"/>
      <c r="AB9" s="32"/>
      <c r="AC9" s="32">
        <v>5</v>
      </c>
      <c r="AD9" s="36" t="s">
        <v>143</v>
      </c>
      <c r="AE9" s="47" t="s">
        <v>106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135</v>
      </c>
      <c r="F10" s="8"/>
      <c r="G10" s="9"/>
      <c r="H10" s="9">
        <v>-1000</v>
      </c>
      <c r="I10" s="55"/>
      <c r="J10" s="21">
        <f t="shared" si="6"/>
        <v>58700</v>
      </c>
      <c r="K10" s="8" t="s">
        <v>144</v>
      </c>
      <c r="L10" s="9">
        <v>-3900</v>
      </c>
      <c r="M10" s="9"/>
      <c r="N10" s="55">
        <v>-1000</v>
      </c>
      <c r="O10" s="21">
        <f t="shared" si="7"/>
        <v>25600</v>
      </c>
      <c r="P10" s="8" t="s">
        <v>145</v>
      </c>
      <c r="Q10" s="9">
        <v>3900</v>
      </c>
      <c r="R10" s="9">
        <v>1000</v>
      </c>
      <c r="S10" s="55">
        <v>1000</v>
      </c>
      <c r="T10" s="21">
        <f t="shared" si="8"/>
        <v>20700</v>
      </c>
      <c r="U10" s="60">
        <f t="shared" si="0"/>
        <v>23.7</v>
      </c>
      <c r="V10" s="61">
        <f t="shared" si="1"/>
        <v>-9.4</v>
      </c>
      <c r="W10" s="62">
        <f t="shared" si="2"/>
        <v>-14.3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3</v>
      </c>
      <c r="BT10" s="36">
        <v>30</v>
      </c>
      <c r="BU10" s="47" t="s">
        <v>87</v>
      </c>
      <c r="BV10" s="48" t="s">
        <v>87</v>
      </c>
      <c r="BW10" s="48" t="s">
        <v>82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 t="s">
        <v>150</v>
      </c>
      <c r="G11" s="9">
        <v>-1500</v>
      </c>
      <c r="H11" s="9"/>
      <c r="I11" s="55"/>
      <c r="J11" s="21">
        <f t="shared" si="6"/>
        <v>57200</v>
      </c>
      <c r="K11" s="8" t="s">
        <v>150</v>
      </c>
      <c r="L11" s="9">
        <v>3000</v>
      </c>
      <c r="M11" s="9">
        <v>-1000</v>
      </c>
      <c r="N11" s="55"/>
      <c r="O11" s="21">
        <f t="shared" si="7"/>
        <v>27600</v>
      </c>
      <c r="P11" s="8" t="s">
        <v>150</v>
      </c>
      <c r="Q11" s="9">
        <v>-1500</v>
      </c>
      <c r="R11" s="9"/>
      <c r="S11" s="55"/>
      <c r="T11" s="21">
        <f t="shared" si="8"/>
        <v>19200</v>
      </c>
      <c r="U11" s="60">
        <f t="shared" si="0"/>
        <v>22.2</v>
      </c>
      <c r="V11" s="61">
        <f t="shared" si="1"/>
        <v>-7.4</v>
      </c>
      <c r="W11" s="62">
        <f t="shared" si="2"/>
        <v>-15.8</v>
      </c>
      <c r="Y11" s="8" t="s">
        <v>148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149</v>
      </c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148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1</v>
      </c>
      <c r="D12" s="18">
        <f t="shared" si="5"/>
        <v>1</v>
      </c>
      <c r="E12" s="4" t="s">
        <v>139</v>
      </c>
      <c r="F12" s="8" t="s">
        <v>144</v>
      </c>
      <c r="G12" s="9">
        <v>-8000</v>
      </c>
      <c r="H12" s="9"/>
      <c r="I12" s="55">
        <v>-1000</v>
      </c>
      <c r="J12" s="21">
        <f t="shared" si="6"/>
        <v>48200</v>
      </c>
      <c r="K12" s="8"/>
      <c r="L12" s="9"/>
      <c r="M12" s="9"/>
      <c r="N12" s="55"/>
      <c r="O12" s="21">
        <f t="shared" si="7"/>
        <v>27600</v>
      </c>
      <c r="P12" s="8" t="s">
        <v>145</v>
      </c>
      <c r="Q12" s="9">
        <v>8000</v>
      </c>
      <c r="R12" s="9">
        <v>1000</v>
      </c>
      <c r="S12" s="55">
        <v>1000</v>
      </c>
      <c r="T12" s="21">
        <f t="shared" si="8"/>
        <v>29200</v>
      </c>
      <c r="U12" s="60">
        <f t="shared" si="0"/>
        <v>13.2</v>
      </c>
      <c r="V12" s="61">
        <f t="shared" si="1"/>
        <v>-7.4</v>
      </c>
      <c r="W12" s="62">
        <f t="shared" si="2"/>
        <v>-5.8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5</v>
      </c>
      <c r="BT12" s="36" t="s">
        <v>143</v>
      </c>
      <c r="BU12" s="47" t="s">
        <v>146</v>
      </c>
      <c r="BV12" s="48" t="s">
        <v>147</v>
      </c>
      <c r="BW12" s="48" t="s">
        <v>81</v>
      </c>
      <c r="BX12" s="48" t="s">
        <v>81</v>
      </c>
      <c r="BY12" s="48" t="s">
        <v>82</v>
      </c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137</v>
      </c>
      <c r="F13" s="8" t="s">
        <v>141</v>
      </c>
      <c r="G13" s="9">
        <v>-6000</v>
      </c>
      <c r="H13" s="9"/>
      <c r="I13" s="55">
        <v>0</v>
      </c>
      <c r="J13" s="21">
        <f t="shared" si="6"/>
        <v>42200</v>
      </c>
      <c r="K13" s="8" t="s">
        <v>141</v>
      </c>
      <c r="L13" s="9">
        <v>-6000</v>
      </c>
      <c r="M13" s="9"/>
      <c r="N13" s="55">
        <v>0</v>
      </c>
      <c r="O13" s="21">
        <f t="shared" si="7"/>
        <v>21600</v>
      </c>
      <c r="P13" s="8" t="s">
        <v>142</v>
      </c>
      <c r="Q13" s="9">
        <v>12000</v>
      </c>
      <c r="R13" s="9"/>
      <c r="S13" s="55">
        <v>0</v>
      </c>
      <c r="T13" s="21">
        <f t="shared" si="8"/>
        <v>41200</v>
      </c>
      <c r="U13" s="60">
        <f t="shared" si="0"/>
        <v>7.2</v>
      </c>
      <c r="V13" s="61">
        <f t="shared" si="1"/>
        <v>-13.4</v>
      </c>
      <c r="W13" s="62">
        <f t="shared" si="2"/>
        <v>6.2</v>
      </c>
      <c r="Y13" s="8"/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30</v>
      </c>
      <c r="BU13" s="47" t="s">
        <v>146</v>
      </c>
      <c r="BV13" s="48" t="s">
        <v>83</v>
      </c>
      <c r="BW13" s="48" t="s">
        <v>87</v>
      </c>
      <c r="BX13" s="48" t="s">
        <v>82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1</v>
      </c>
      <c r="D14" s="18">
        <f t="shared" si="5"/>
        <v>0</v>
      </c>
      <c r="E14" s="4" t="s">
        <v>137</v>
      </c>
      <c r="F14" s="8" t="s">
        <v>151</v>
      </c>
      <c r="G14" s="9">
        <v>6000</v>
      </c>
      <c r="H14" s="9"/>
      <c r="I14" s="55"/>
      <c r="J14" s="21">
        <f t="shared" si="6"/>
        <v>48200</v>
      </c>
      <c r="K14" s="8" t="s">
        <v>151</v>
      </c>
      <c r="L14" s="9">
        <v>6000</v>
      </c>
      <c r="M14" s="9"/>
      <c r="N14" s="55"/>
      <c r="O14" s="21">
        <f t="shared" si="7"/>
        <v>27600</v>
      </c>
      <c r="P14" s="8" t="s">
        <v>151</v>
      </c>
      <c r="Q14" s="9">
        <v>-12000</v>
      </c>
      <c r="R14" s="9"/>
      <c r="S14" s="55"/>
      <c r="T14" s="21">
        <f t="shared" si="8"/>
        <v>29200</v>
      </c>
      <c r="U14" s="60">
        <f t="shared" si="0"/>
        <v>13.2</v>
      </c>
      <c r="V14" s="61">
        <f t="shared" si="1"/>
        <v>-7.4</v>
      </c>
      <c r="W14" s="62">
        <f t="shared" si="2"/>
        <v>-5.8</v>
      </c>
      <c r="Y14" s="8"/>
      <c r="Z14" s="41"/>
      <c r="AA14" s="32"/>
      <c r="AB14" s="32">
        <v>1</v>
      </c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>
        <v>1</v>
      </c>
      <c r="BQ14" s="32"/>
      <c r="BR14" s="32">
        <v>1</v>
      </c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C8031D5A-32B2-459A-8A18-E3A96B6182AF}">
      <formula1>$U$2:$W$2</formula1>
    </dataValidation>
    <dataValidation type="list" showInputMessage="1" showErrorMessage="1" sqref="K4:K30 P4:P30 F4:F30" xr:uid="{7B214C1D-B0E1-4F56-ADE4-918295CD0ED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2019-01-16T15:29:06Z</dcterms:modified>
</cp:coreProperties>
</file>