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92A52B3F-9ADD-43E9-8CC7-CF0F30087FAA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7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 s="1"/>
  <c r="D15" i="17"/>
  <c r="C15" i="17"/>
  <c r="B15" i="17"/>
  <c r="A15" i="17"/>
  <c r="C14" i="17"/>
  <c r="B14" i="17"/>
  <c r="A14" i="17"/>
  <c r="D13" i="17"/>
  <c r="D14" i="17" s="1"/>
  <c r="C13" i="17"/>
  <c r="B13" i="17"/>
  <c r="A13" i="17" s="1"/>
  <c r="D12" i="17"/>
  <c r="C12" i="17"/>
  <c r="D11" i="17"/>
  <c r="C11" i="17"/>
  <c r="D10" i="17"/>
  <c r="C10" i="17"/>
  <c r="D9" i="17"/>
  <c r="C9" i="17"/>
  <c r="D8" i="17"/>
  <c r="C8" i="17"/>
  <c r="D7" i="17"/>
  <c r="D6" i="17"/>
  <c r="C6" i="17"/>
  <c r="C7" i="17" s="1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V5" i="17" l="1"/>
  <c r="B7" i="17"/>
  <c r="V6" i="17"/>
  <c r="O7" i="17"/>
  <c r="T5" i="17"/>
  <c r="A6" i="17"/>
  <c r="J6" i="17"/>
  <c r="A7" i="17" l="1"/>
  <c r="O8" i="17"/>
  <c r="V7" i="17"/>
  <c r="J7" i="17"/>
  <c r="U6" i="17"/>
  <c r="T6" i="17"/>
  <c r="W5" i="17"/>
  <c r="B8" i="17"/>
  <c r="A8" i="17" s="1"/>
  <c r="U7" i="17" l="1"/>
  <c r="J8" i="17"/>
  <c r="B9" i="17"/>
  <c r="W6" i="17"/>
  <c r="T7" i="17"/>
  <c r="V8" i="17"/>
  <c r="O9" i="17"/>
  <c r="B10" i="17" l="1"/>
  <c r="A10" i="17" s="1"/>
  <c r="A9" i="17"/>
  <c r="W7" i="17"/>
  <c r="T8" i="17"/>
  <c r="J9" i="17"/>
  <c r="U8" i="17"/>
  <c r="O10" i="17"/>
  <c r="V9" i="17"/>
  <c r="V10" i="17" l="1"/>
  <c r="O11" i="17"/>
  <c r="U9" i="17"/>
  <c r="J10" i="17"/>
  <c r="W8" i="17"/>
  <c r="T9" i="17"/>
  <c r="B11" i="17"/>
  <c r="A11" i="17" s="1"/>
  <c r="V11" i="17" l="1"/>
  <c r="O12" i="17"/>
  <c r="U10" i="17"/>
  <c r="J11" i="17"/>
  <c r="B12" i="17"/>
  <c r="A12" i="17" s="1"/>
  <c r="T10" i="17"/>
  <c r="W9" i="17"/>
  <c r="V12" i="17" l="1"/>
  <c r="O13" i="17"/>
  <c r="U11" i="17"/>
  <c r="J12" i="17"/>
  <c r="W10" i="17"/>
  <c r="T11" i="17"/>
  <c r="V13" i="17" l="1"/>
  <c r="O14" i="17"/>
  <c r="W11" i="17"/>
  <c r="T12" i="17"/>
  <c r="U12" i="17"/>
  <c r="J13" i="17"/>
  <c r="B5" i="1"/>
  <c r="A5" i="1" s="1"/>
  <c r="D6" i="1"/>
  <c r="C6" i="1"/>
  <c r="B6" i="1"/>
  <c r="A6" i="1" s="1"/>
  <c r="D5" i="1"/>
  <c r="C5" i="1"/>
  <c r="V14" i="17" l="1"/>
  <c r="O15" i="17"/>
  <c r="V15" i="17" s="1"/>
  <c r="W12" i="17"/>
  <c r="T13" i="17"/>
  <c r="U13" i="17"/>
  <c r="J14" i="17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W13" i="17" l="1"/>
  <c r="T14" i="17"/>
  <c r="U14" i="17"/>
  <c r="J15" i="17"/>
  <c r="U15" i="17" s="1"/>
  <c r="Y1" i="1"/>
  <c r="W14" i="17" l="1"/>
  <c r="T15" i="17"/>
  <c r="W15" i="17" s="1"/>
  <c r="BO1" i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J6" i="1"/>
  <c r="V4" i="1"/>
  <c r="W4" i="1"/>
  <c r="T5" i="1"/>
  <c r="O6" i="1"/>
  <c r="B10" i="1"/>
  <c r="J7" i="1" l="1"/>
  <c r="O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V7" i="1" l="1"/>
  <c r="U7" i="1"/>
  <c r="T7" i="1"/>
  <c r="W7" i="1" s="1"/>
  <c r="J9" i="1"/>
  <c r="V8" i="1"/>
  <c r="O9" i="1"/>
  <c r="W6" i="1"/>
  <c r="B13" i="1"/>
  <c r="A13" i="1" s="1"/>
  <c r="T8" i="1" l="1"/>
  <c r="W8" i="1" s="1"/>
  <c r="U9" i="1"/>
  <c r="J10" i="1"/>
  <c r="J11" i="1" s="1"/>
  <c r="V9" i="1"/>
  <c r="O10" i="1"/>
  <c r="B14" i="1"/>
  <c r="A14" i="1" s="1"/>
  <c r="T9" i="1" l="1"/>
  <c r="W9" i="1" s="1"/>
  <c r="U10" i="1"/>
  <c r="V10" i="1"/>
  <c r="O11" i="1"/>
  <c r="U11" i="1"/>
  <c r="J12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<sst xmlns="http://schemas.openxmlformats.org/spreadsheetml/2006/main" count="803" uniqueCount="158">
  <si>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</si>
  <si>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</si>
  <si>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</si>
  <si>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</si>
  <si>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</si>
  <si>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</si>
  <si>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</si>
  <si>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</si>
  <si>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</si>
  <si>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</si>
  <si>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</si>
  <si>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</si>
  <si>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</si>
  <si>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</si>
  <si>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</si>
  <si>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</si>
  <si>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</si>
  <si>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</si>
  <si>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</si>
  <si>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</si>
  <si>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</si>
  <si>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</si>
  <si>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</si>
  <si>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</si>
  <si>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</si>
  <si>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</si>
  <si>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</si>
  <si>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</si>
  <si>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</si>
  <si>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</si>
  <si>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</si>
  <si>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</si>
  <si>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</si>
  <si>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</si>
  <si>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</si>
  <si>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</si>
  <si>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</si>
  <si>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</si>
  <si>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</si>
  <si>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</si>
  <si>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</si>
  <si>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</si>
  <si>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</si>
  <si>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</si>
  <si>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</si>
  <si>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</si>
  <si>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</si>
  <si>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</si>
  <si>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</si>
  <si>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</si>
  <si>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</si>
  <si>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</si>
  <si>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</si>
  <si>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</si>
  <si>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</si>
  <si>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</si>
  <si>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</si>
  <si>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</si>
  <si>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</si>
  <si>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</si>
  <si>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</si>
  <si>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</si>
  <si>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</si>
  <si>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</si>
  <si>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</si>
  <si>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</si>
  <si>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</si>
  <si>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</si>
  <si>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</si>
  <si>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</si>
  <si>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</si>
  <si>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</si>
  <si>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</si>
  <si>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</si>
  <si>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</si>
  <si>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</si>
  <si>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</si>
  <si>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</si>
  <si>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</si>
  <si>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</si>
  <si>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</si>
  <si>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</si>
  <si>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</si>
  <si>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</si>
  <si>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</si>
  <si>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</si>
  <si>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</si>
  <si>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</si>
  <si>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</si>
  <si>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</si>
  <si>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</si>
  <si>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</si>
  <si>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</si>
  <si>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</si>
  <si>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</si>
  <si>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</si>
  <si>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</si>
  <si>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</si>
  <si>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</si>
  <si>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</si>
  <si>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</si>
  <si>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</si>
  <si>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</si>
  <si>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</si>
  <si>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</si>
  <si>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</si>
  <si>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</si>
  <si>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</si>
  <si>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</si>
  <si>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</si>
  <si>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</si>
  <si>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</si>
  <si>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</si>
  <si>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</si>
  <si>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</si>
  <si>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</si>
  <si>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</si>
  <si>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</si>
  <si>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</si>
  <si>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</si>
  <si>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</si>
  <si>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</si>
  <si>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</si>
  <si>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</si>
  <si>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</si>
  <si>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</si>
  <si>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</si>
  <si>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</si>
  <si>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</si>
  <si>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</si>
  <si>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</si>
  <si>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</si>
  <si>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</si>
  <si>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</si>
  <si>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</si>
  <si>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</si>
  <si>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</si>
  <si>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</si>
  <si>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</si>
  <si>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</si>
  <si>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</si>
  <si>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</si>
  <si>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</si>
  <si>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</si>
  <si>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</si>
  <si>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</si>
  <si>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放銃</t>
  </si>
  <si>
    <t>ロン</t>
  </si>
  <si>
    <t>ツモ</t>
  </si>
  <si>
    <t>ツモ支払</t>
  </si>
  <si>
    <t>*</t>
  </si>
  <si>
    <t>01</t>
  </si>
  <si>
    <t>T</t>
  </si>
  <si>
    <t>N</t>
  </si>
  <si>
    <t>流局</t>
    <phoneticPr fontId="1"/>
  </si>
  <si>
    <t>チョンボ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</si>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</sst>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141</v>
      </c>
      <c r="G1" s="74"/>
      <c r="H1" s="74"/>
      <c r="I1" s="83"/>
      <c r="J1" s="75"/>
      <c r="K1" s="72" t="s">
        <v>143</v>
      </c>
      <c r="L1" s="74"/>
      <c r="M1" s="74"/>
      <c r="N1" s="83"/>
      <c r="O1" s="75"/>
      <c r="P1" s="72" t="s">
        <v>145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35" t="str">
        <f>$F$1</f>
        <v>だいち</v>
      </c>
      <c r="V2" s="36" t="str">
        <f>$K$1</f>
        <v>りくと</v>
      </c>
      <c r="W2" s="16" t="str">
        <f>$P$1</f>
        <v>れんたろう</v>
      </c>
      <c r="Y2" s="38" t="s">
        <v>24</v>
      </c>
      <c r="Z2" s="48" t="s">
        <v>27</v>
      </c>
      <c r="AA2" s="39" t="s">
        <v>25</v>
      </c>
      <c r="AB2" s="39" t="s">
        <v>133</v>
      </c>
      <c r="AC2" s="39" t="s">
        <v>19</v>
      </c>
      <c r="AD2" s="4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38" t="s">
        <v>24</v>
      </c>
      <c r="AU2" s="48" t="s">
        <v>27</v>
      </c>
      <c r="AV2" s="39" t="s">
        <v>25</v>
      </c>
      <c r="AW2" s="39" t="s">
        <v>134</v>
      </c>
      <c r="AX2" s="39" t="s">
        <v>19</v>
      </c>
      <c r="AY2" s="4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38" t="s">
        <v>24</v>
      </c>
      <c r="BP2" s="48" t="s">
        <v>27</v>
      </c>
      <c r="BQ2" s="39" t="s">
        <v>25</v>
      </c>
      <c r="BR2" s="39" t="s">
        <v>134</v>
      </c>
      <c r="BS2" s="39" t="s">
        <v>19</v>
      </c>
      <c r="BT2" s="4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139</v>
      </c>
      <c r="B4" s="27">
        <v>1</v>
      </c>
      <c r="C4" s="27">
        <v>0</v>
      </c>
      <c r="D4" s="27">
        <v>0</v>
      </c>
      <c r="E4" s="4" t="s">
        <v>142</v>
      </c>
      <c r="F4" s="8" t="s">
        <v>146</v>
      </c>
      <c r="G4" s="9">
        <v>-2900</v>
      </c>
      <c r="H4" s="9"/>
      <c r="I4" s="64">
        <v>0</v>
      </c>
      <c r="J4" s="30">
        <f>IF(COUNTA($F4,$K4,$P4)&gt;0,J3+SUM(G4:I4),"")</f>
        <v>32100</v>
      </c>
      <c r="K4" s="8" t="s">
        <v>147</v>
      </c>
      <c r="L4" s="9">
        <v>2900</v>
      </c>
      <c r="M4" s="9"/>
      <c r="N4" s="64">
        <v>0</v>
      </c>
      <c r="O4" s="30">
        <f>IF(COUNTA($F4,$K4,$P4)&gt;0,O3+SUM(L4:N4),"")</f>
        <v>37900</v>
      </c>
      <c r="P4" s="8"/>
      <c r="Q4" s="9"/>
      <c r="R4" s="9"/>
      <c r="S4" s="64"/>
      <c r="T4" s="30">
        <f>IF(COUNTA($F4,$K4,$P4)&gt;0,T3+SUM(Q4:S4),"")</f>
        <v>35000</v>
      </c>
      <c r="U4" s="20">
        <f>IF($J4="","",ROUND(($J4-$J$3)/1000,0))</f>
        <v>-3</v>
      </c>
      <c r="V4" s="21">
        <f t="shared" ref="V4:V30" si="0">IF($O4="","",ROUND(($O4-$O$3)/1000,0))</f>
        <v>3</v>
      </c>
      <c r="W4" s="22">
        <f t="shared" ref="W4:W30" si="1">IF($T4="","",ROUND(($T4-$T$3)/1000,0))</f>
        <v>0</v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>
        <v>1</v>
      </c>
      <c r="AX4" s="41">
        <v>2</v>
      </c>
      <c r="AY4" s="45">
        <v>30</v>
      </c>
      <c r="AZ4" s="56" t="s">
        <v>88</v>
      </c>
      <c r="BA4" s="57" t="s">
        <v>88</v>
      </c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6" si="2">IF($E5="","",IF(AND(B4=3,B5=1),_xlfn.SWITCH(A4,"東","南","南","西","西","北","北","東"),A4))</f>
        <v>東</v>
      </c>
      <c r="B5" s="27">
        <f>IF($E5="","",IF($E4=$E5,B4,IF(B4=3,1,B4+1)))</f>
        <v>1</v>
      </c>
      <c r="C5" s="27">
        <f t="shared" ref="C5:C6" si="3">IF($E5="","",IF(F4="チョンボ",C4,IF($E4=$E5,C4+1,0)))</f>
        <v>1</v>
      </c>
      <c r="D5" s="27">
        <f t="shared" ref="D5:D30" si="4">IF($E5="","",IF(OR($F4="流局",$F4="チョンボ"),D4+($H4+$M4+$R4)/-1000,0))</f>
        <v>0</v>
      </c>
      <c r="E5" s="4" t="s">
        <v>142</v>
      </c>
      <c r="F5" s="8" t="s">
        <v>148</v>
      </c>
      <c r="G5" s="9">
        <v>8000</v>
      </c>
      <c r="H5" s="9"/>
      <c r="I5" s="64">
        <v>1000</v>
      </c>
      <c r="J5" s="30">
        <f t="shared" ref="J5:J30" si="5">IF(COUNTA($F5,$K5,$P5)&gt;0,J4+SUM(G5:I5),"")</f>
        <v>41100</v>
      </c>
      <c r="K5" s="8" t="s">
        <v>149</v>
      </c>
      <c r="L5" s="9">
        <v>-5000</v>
      </c>
      <c r="M5" s="9"/>
      <c r="N5" s="64">
        <v>-500</v>
      </c>
      <c r="O5" s="30">
        <f t="shared" ref="O5:O30" si="6">IF(COUNTA($F5,$K5,$P5)&gt;0,O4+SUM(L5:N5),"")</f>
        <v>32400</v>
      </c>
      <c r="P5" s="8" t="s">
        <v>149</v>
      </c>
      <c r="Q5" s="9">
        <v>-3000</v>
      </c>
      <c r="R5" s="9"/>
      <c r="S5" s="64">
        <v>-500</v>
      </c>
      <c r="T5" s="30">
        <f t="shared" ref="T5:T30" si="7">IF(COUNTA($F5,$K5,$P5)&gt;0,T4+SUM(Q5:S5),"")</f>
        <v>31500</v>
      </c>
      <c r="U5" s="20">
        <f t="shared" ref="U5:U30" si="8">IF($J5="","",ROUND(($J5-$J$3)/1000,0))</f>
        <v>6</v>
      </c>
      <c r="V5" s="21">
        <f t="shared" si="0"/>
        <v>-3</v>
      </c>
      <c r="W5" s="22">
        <f t="shared" si="1"/>
        <v>-4</v>
      </c>
      <c r="Y5" s="8"/>
      <c r="Z5" s="50"/>
      <c r="AA5" s="41">
        <v>1</v>
      </c>
      <c r="AB5" s="41"/>
      <c r="AC5" s="41">
        <v>5</v>
      </c>
      <c r="AD5" s="45" t="s">
        <v>150</v>
      </c>
      <c r="AE5" s="56" t="s">
        <v>151</v>
      </c>
      <c r="AF5" s="57" t="s">
        <v>84</v>
      </c>
      <c r="AG5" s="57" t="s">
        <v>88</v>
      </c>
      <c r="AH5" s="57" t="s">
        <v>83</v>
      </c>
      <c r="AI5" s="57" t="s">
        <v>82</v>
      </c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>
        <v>1</v>
      </c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2</v>
      </c>
      <c r="C6" s="27">
        <f t="shared" si="3"/>
        <v>0</v>
      </c>
      <c r="D6" s="27">
        <f t="shared" si="4"/>
        <v>0</v>
      </c>
      <c r="E6" s="4" t="s">
        <v>144</v>
      </c>
      <c r="F6" s="8"/>
      <c r="G6" s="9"/>
      <c r="H6" s="9"/>
      <c r="I6" s="64"/>
      <c r="J6" s="30">
        <f t="shared" si="5"/>
        <v>41100</v>
      </c>
      <c r="K6" s="8" t="s">
        <v>146</v>
      </c>
      <c r="L6" s="9">
        <v>-12000</v>
      </c>
      <c r="M6" s="9"/>
      <c r="N6" s="64">
        <v>0</v>
      </c>
      <c r="O6" s="30">
        <f t="shared" si="6"/>
        <v>20400</v>
      </c>
      <c r="P6" s="8" t="s">
        <v>147</v>
      </c>
      <c r="Q6" s="9">
        <v>12000</v>
      </c>
      <c r="R6" s="9"/>
      <c r="S6" s="64">
        <v>0</v>
      </c>
      <c r="T6" s="30">
        <f t="shared" si="7"/>
        <v>43500</v>
      </c>
      <c r="U6" s="20">
        <f t="shared" si="8"/>
        <v>6</v>
      </c>
      <c r="V6" s="21">
        <f t="shared" si="0"/>
        <v>-15</v>
      </c>
      <c r="W6" s="22">
        <f t="shared" si="1"/>
        <v>9</v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>
        <v>1</v>
      </c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>
        <v>1</v>
      </c>
      <c r="BS6" s="41">
        <v>4</v>
      </c>
      <c r="BT6" s="45">
        <v>30</v>
      </c>
      <c r="BU6" s="56" t="s">
        <v>106</v>
      </c>
      <c r="BV6" s="57" t="s">
        <v>88</v>
      </c>
      <c r="BW6" s="57" t="s">
        <v>83</v>
      </c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27">
        <f t="shared" si="9"/>
        <v>2</v>
      </c>
      <c r="C7" s="27">
        <f t="shared" ref="C7:C30" si="11">IF($E7="","",IF(F6="チョンボ",C6,IF($E6=$E7,C6+1,0)))</f>
        <v>1</v>
      </c>
      <c r="D7" s="27">
        <f t="shared" si="4"/>
        <v>0</v>
      </c>
      <c r="E7" s="4" t="s">
        <v>144</v>
      </c>
      <c r="F7" s="8" t="s">
        <v>146</v>
      </c>
      <c r="G7" s="9">
        <v>-3200</v>
      </c>
      <c r="H7" s="9"/>
      <c r="I7" s="64">
        <v>-1000</v>
      </c>
      <c r="J7" s="30">
        <f t="shared" si="5"/>
        <v>36900</v>
      </c>
      <c r="K7" s="8" t="s">
        <v>147</v>
      </c>
      <c r="L7" s="9">
        <v>3200</v>
      </c>
      <c r="M7" s="9">
        <v>1000</v>
      </c>
      <c r="N7" s="64">
        <v>1000</v>
      </c>
      <c r="O7" s="30">
        <f t="shared" si="6"/>
        <v>25600</v>
      </c>
      <c r="P7" s="8"/>
      <c r="Q7" s="9"/>
      <c r="R7" s="9">
        <v>-1000</v>
      </c>
      <c r="S7" s="64"/>
      <c r="T7" s="30">
        <f t="shared" si="7"/>
        <v>42500</v>
      </c>
      <c r="U7" s="20">
        <f t="shared" si="8"/>
        <v>2</v>
      </c>
      <c r="V7" s="21">
        <f t="shared" si="0"/>
        <v>-9</v>
      </c>
      <c r="W7" s="22">
        <f t="shared" si="1"/>
        <v>8</v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>
        <v>1</v>
      </c>
      <c r="AW7" s="41"/>
      <c r="AX7" s="41">
        <v>3</v>
      </c>
      <c r="AY7" s="45">
        <v>25</v>
      </c>
      <c r="AZ7" s="56" t="s">
        <v>151</v>
      </c>
      <c r="BA7" s="57" t="s">
        <v>103</v>
      </c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>
        <v>1</v>
      </c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10"/>
        <v>東</v>
      </c>
      <c r="B8" s="27">
        <f t="shared" si="9"/>
        <v>3</v>
      </c>
      <c r="C8" s="27">
        <f t="shared" si="11"/>
        <v>0</v>
      </c>
      <c r="D8" s="27">
        <f t="shared" si="4"/>
        <v>0</v>
      </c>
      <c r="E8" s="4" t="s">
        <v>140</v>
      </c>
      <c r="F8" s="8"/>
      <c r="G8" s="9"/>
      <c r="H8" s="9"/>
      <c r="I8" s="64"/>
      <c r="J8" s="30">
        <f t="shared" si="5"/>
        <v>36900</v>
      </c>
      <c r="K8" s="8" t="s">
        <v>147</v>
      </c>
      <c r="L8" s="9">
        <v>2000</v>
      </c>
      <c r="M8" s="9"/>
      <c r="N8" s="64">
        <v>0</v>
      </c>
      <c r="O8" s="30">
        <f t="shared" si="6"/>
        <v>27600</v>
      </c>
      <c r="P8" s="8" t="s">
        <v>146</v>
      </c>
      <c r="Q8" s="9">
        <v>-2000</v>
      </c>
      <c r="R8" s="9"/>
      <c r="S8" s="64">
        <v>0</v>
      </c>
      <c r="T8" s="30">
        <f t="shared" si="7"/>
        <v>40500</v>
      </c>
      <c r="U8" s="20">
        <f t="shared" si="8"/>
        <v>2</v>
      </c>
      <c r="V8" s="21">
        <f t="shared" si="0"/>
        <v>-7</v>
      </c>
      <c r="W8" s="22">
        <f t="shared" si="1"/>
        <v>6</v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>
        <v>1</v>
      </c>
      <c r="AW8" s="41"/>
      <c r="AX8" s="41">
        <v>2</v>
      </c>
      <c r="AY8" s="45">
        <v>30</v>
      </c>
      <c r="AZ8" s="56" t="s">
        <v>151</v>
      </c>
      <c r="BA8" s="57" t="s">
        <v>85</v>
      </c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>
        <v>1</v>
      </c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10"/>
        <v>南</v>
      </c>
      <c r="B9" s="27">
        <f t="shared" si="9"/>
        <v>1</v>
      </c>
      <c r="C9" s="27">
        <f t="shared" si="11"/>
        <v>0</v>
      </c>
      <c r="D9" s="27">
        <f t="shared" si="4"/>
        <v>0</v>
      </c>
      <c r="E9" s="4" t="s">
        <v>142</v>
      </c>
      <c r="F9" s="8" t="s">
        <v>154</v>
      </c>
      <c r="G9" s="9">
        <v>1500</v>
      </c>
      <c r="H9" s="9"/>
      <c r="I9" s="64"/>
      <c r="J9" s="30">
        <f t="shared" si="5"/>
        <v>38400</v>
      </c>
      <c r="K9" s="8" t="s">
        <v>154</v>
      </c>
      <c r="L9" s="9">
        <v>-3000</v>
      </c>
      <c r="M9" s="9"/>
      <c r="N9" s="64"/>
      <c r="O9" s="30">
        <f t="shared" si="6"/>
        <v>24600</v>
      </c>
      <c r="P9" s="8" t="s">
        <v>154</v>
      </c>
      <c r="Q9" s="9">
        <v>1500</v>
      </c>
      <c r="R9" s="9"/>
      <c r="S9" s="64"/>
      <c r="T9" s="30">
        <f t="shared" si="7"/>
        <v>42000</v>
      </c>
      <c r="U9" s="20">
        <f t="shared" si="8"/>
        <v>3</v>
      </c>
      <c r="V9" s="21">
        <f t="shared" si="0"/>
        <v>-10</v>
      </c>
      <c r="W9" s="22">
        <f t="shared" si="1"/>
        <v>7</v>
      </c>
      <c r="Y9" s="8" t="s">
        <v>152</v>
      </c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 t="s">
        <v>153</v>
      </c>
      <c r="AU9" s="50"/>
      <c r="AV9" s="41"/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 t="s">
        <v>152</v>
      </c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10"/>
        <v>南</v>
      </c>
      <c r="B10" s="27">
        <f t="shared" si="9"/>
        <v>2</v>
      </c>
      <c r="C10" s="27">
        <f t="shared" si="11"/>
        <v>0</v>
      </c>
      <c r="D10" s="27">
        <f t="shared" si="4"/>
        <v>0</v>
      </c>
      <c r="E10" s="4" t="s">
        <v>144</v>
      </c>
      <c r="F10" s="8" t="s">
        <v>148</v>
      </c>
      <c r="G10" s="9">
        <v>32000</v>
      </c>
      <c r="H10" s="9">
        <v>1000</v>
      </c>
      <c r="I10" s="64">
        <v>0</v>
      </c>
      <c r="J10" s="30">
        <f t="shared" si="5"/>
        <v>71400</v>
      </c>
      <c r="K10" s="8" t="s">
        <v>149</v>
      </c>
      <c r="L10" s="9">
        <v>-12000</v>
      </c>
      <c r="M10" s="9"/>
      <c r="N10" s="64">
        <v>0</v>
      </c>
      <c r="O10" s="30">
        <f t="shared" si="6"/>
        <v>12600</v>
      </c>
      <c r="P10" s="8" t="s">
        <v>149</v>
      </c>
      <c r="Q10" s="9">
        <v>-20000</v>
      </c>
      <c r="R10" s="9">
        <v>-1000</v>
      </c>
      <c r="S10" s="64">
        <v>0</v>
      </c>
      <c r="T10" s="30">
        <f t="shared" si="7"/>
        <v>21000</v>
      </c>
      <c r="U10" s="20">
        <f t="shared" si="8"/>
        <v>36</v>
      </c>
      <c r="V10" s="21">
        <f t="shared" si="0"/>
        <v>-22</v>
      </c>
      <c r="W10" s="22">
        <f t="shared" si="1"/>
        <v>-14</v>
      </c>
      <c r="Y10" s="8"/>
      <c r="Z10" s="50"/>
      <c r="AA10" s="41">
        <v>1</v>
      </c>
      <c r="AB10" s="41"/>
      <c r="AC10" s="41">
        <v>13</v>
      </c>
      <c r="AD10" s="45" t="s">
        <v>150</v>
      </c>
      <c r="AE10" s="56" t="s">
        <v>109</v>
      </c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>
        <v>1</v>
      </c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10"/>
        <v>南</v>
      </c>
      <c r="B11" s="27">
        <f t="shared" si="9"/>
        <v>3</v>
      </c>
      <c r="C11" s="27">
        <f t="shared" si="11"/>
        <v>0</v>
      </c>
      <c r="D11" s="27">
        <f t="shared" si="4"/>
        <v>0</v>
      </c>
      <c r="E11" s="4" t="s">
        <v>140</v>
      </c>
      <c r="F11" s="8" t="s">
        <v>149</v>
      </c>
      <c r="G11" s="9">
        <v>-10000</v>
      </c>
      <c r="H11" s="9"/>
      <c r="I11" s="64">
        <v>0</v>
      </c>
      <c r="J11" s="30">
        <f t="shared" si="5"/>
        <v>61400</v>
      </c>
      <c r="K11" s="8" t="s">
        <v>149</v>
      </c>
      <c r="L11" s="9">
        <v>-6000</v>
      </c>
      <c r="M11" s="9"/>
      <c r="N11" s="64">
        <v>0</v>
      </c>
      <c r="O11" s="30">
        <f t="shared" si="6"/>
        <v>6600</v>
      </c>
      <c r="P11" s="8" t="s">
        <v>148</v>
      </c>
      <c r="Q11" s="9">
        <v>16000</v>
      </c>
      <c r="R11" s="9"/>
      <c r="S11" s="64">
        <v>0</v>
      </c>
      <c r="T11" s="30">
        <f t="shared" si="7"/>
        <v>37000</v>
      </c>
      <c r="U11" s="20">
        <f t="shared" si="8"/>
        <v>26</v>
      </c>
      <c r="V11" s="21">
        <f t="shared" si="0"/>
        <v>-28</v>
      </c>
      <c r="W11" s="22">
        <f t="shared" si="1"/>
        <v>2</v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>
        <v>1</v>
      </c>
      <c r="BR11" s="41"/>
      <c r="BS11" s="41">
        <v>9</v>
      </c>
      <c r="BT11" s="45" t="s">
        <v>150</v>
      </c>
      <c r="BU11" s="56" t="s">
        <v>151</v>
      </c>
      <c r="BV11" s="57" t="s">
        <v>84</v>
      </c>
      <c r="BW11" s="57" t="s">
        <v>83</v>
      </c>
      <c r="BX11" s="57" t="s">
        <v>83</v>
      </c>
      <c r="BY11" s="57" t="s">
        <v>106</v>
      </c>
      <c r="BZ11" s="57" t="s">
        <v>88</v>
      </c>
      <c r="CA11" s="57" t="s">
        <v>88</v>
      </c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 t="s">
        <v>11</v>
      </c>
      <c r="AF12" s="57" t="s">
        <v>11</v>
      </c>
      <c r="AG12" s="57" t="s">
        <v>11</v>
      </c>
      <c r="AH12" s="57" t="s">
        <v>11</v>
      </c>
      <c r="AI12" s="57" t="s">
        <v>11</v>
      </c>
      <c r="AJ12" s="57" t="s">
        <v>11</v>
      </c>
      <c r="AK12" s="57" t="s">
        <v>11</v>
      </c>
      <c r="AL12" s="57" t="s">
        <v>11</v>
      </c>
      <c r="AM12" s="57" t="s">
        <v>11</v>
      </c>
      <c r="AN12" s="57" t="s">
        <v>11</v>
      </c>
      <c r="AO12" s="57" t="s">
        <v>11</v>
      </c>
      <c r="AP12" s="57" t="s">
        <v>11</v>
      </c>
      <c r="AQ12" s="57" t="s">
        <v>11</v>
      </c>
      <c r="AR12" s="57" t="s">
        <v>11</v>
      </c>
      <c r="AS12" s="58" t="s">
        <v>11</v>
      </c>
      <c r="AT12" s="8"/>
      <c r="AU12" s="50"/>
      <c r="AV12" s="41"/>
      <c r="AW12" s="41"/>
      <c r="AX12" s="41"/>
      <c r="AY12" s="45"/>
      <c r="AZ12" s="56" t="s">
        <v>11</v>
      </c>
      <c r="BA12" s="57" t="s">
        <v>11</v>
      </c>
      <c r="BB12" s="57" t="s">
        <v>11</v>
      </c>
      <c r="BC12" s="57" t="s">
        <v>11</v>
      </c>
      <c r="BD12" s="57" t="s">
        <v>11</v>
      </c>
      <c r="BE12" s="57" t="s">
        <v>11</v>
      </c>
      <c r="BF12" s="57" t="s">
        <v>11</v>
      </c>
      <c r="BG12" s="57" t="s">
        <v>11</v>
      </c>
      <c r="BH12" s="57" t="s">
        <v>11</v>
      </c>
      <c r="BI12" s="57" t="s">
        <v>11</v>
      </c>
      <c r="BJ12" s="57" t="s">
        <v>11</v>
      </c>
      <c r="BK12" s="57" t="s">
        <v>11</v>
      </c>
      <c r="BL12" s="57" t="s">
        <v>11</v>
      </c>
      <c r="BM12" s="57" t="s">
        <v>11</v>
      </c>
      <c r="BN12" s="58" t="s">
        <v>11</v>
      </c>
      <c r="BO12" s="8"/>
      <c r="BP12" s="50"/>
      <c r="BQ12" s="41"/>
      <c r="BR12" s="41"/>
      <c r="BS12" s="41"/>
      <c r="BT12" s="45"/>
      <c r="BU12" s="56" t="s">
        <v>11</v>
      </c>
      <c r="BV12" s="57" t="s">
        <v>11</v>
      </c>
      <c r="BW12" s="57" t="s">
        <v>11</v>
      </c>
      <c r="BX12" s="57" t="s">
        <v>11</v>
      </c>
      <c r="BY12" s="57" t="s">
        <v>11</v>
      </c>
      <c r="BZ12" s="57" t="s">
        <v>11</v>
      </c>
      <c r="CA12" s="57" t="s">
        <v>11</v>
      </c>
      <c r="CB12" s="57" t="s">
        <v>11</v>
      </c>
      <c r="CC12" s="57" t="s">
        <v>11</v>
      </c>
      <c r="CD12" s="57" t="s">
        <v>11</v>
      </c>
      <c r="CE12" s="57" t="s">
        <v>11</v>
      </c>
      <c r="CF12" s="57" t="s">
        <v>11</v>
      </c>
      <c r="CG12" s="57" t="s">
        <v>11</v>
      </c>
      <c r="CH12" s="57" t="s">
        <v>11</v>
      </c>
      <c r="CI12" s="58" t="s">
        <v>11</v>
      </c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F4759-1B44-4D36-A3F4-842B7FA5551D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141</v>
      </c>
      <c r="G1" s="74"/>
      <c r="H1" s="74"/>
      <c r="I1" s="83"/>
      <c r="J1" s="75"/>
      <c r="K1" s="72" t="s">
        <v>143</v>
      </c>
      <c r="L1" s="74"/>
      <c r="M1" s="74"/>
      <c r="N1" s="83"/>
      <c r="O1" s="75"/>
      <c r="P1" s="72" t="s">
        <v>145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62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133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134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134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139</v>
      </c>
      <c r="B4" s="27">
        <v>1</v>
      </c>
      <c r="C4" s="27">
        <v>0</v>
      </c>
      <c r="D4" s="27">
        <v>0</v>
      </c>
      <c r="E4" s="4" t="s">
        <v>142</v>
      </c>
      <c r="F4" s="8" t="s">
        <v>155</v>
      </c>
      <c r="G4" s="9">
        <v>3000</v>
      </c>
      <c r="H4" s="9"/>
      <c r="I4" s="64"/>
      <c r="J4" s="30">
        <f>IF(COUNTA($F4,$K4,$P4)&gt;0,J3+SUM(G4:I4),"")</f>
        <v>38000</v>
      </c>
      <c r="K4" s="8" t="s">
        <v>155</v>
      </c>
      <c r="L4" s="9">
        <v>5000</v>
      </c>
      <c r="M4" s="9">
        <v>-1000</v>
      </c>
      <c r="N4" s="64"/>
      <c r="O4" s="30">
        <f>IF(COUNTA($F4,$K4,$P4)&gt;0,O3+SUM(L4:N4),"")</f>
        <v>39000</v>
      </c>
      <c r="P4" s="8" t="s">
        <v>155</v>
      </c>
      <c r="Q4" s="9">
        <v>-8000</v>
      </c>
      <c r="R4" s="9"/>
      <c r="S4" s="64"/>
      <c r="T4" s="30">
        <f>IF(COUNTA($F4,$K4,$P4)&gt;0,T3+SUM(Q4:S4),"")</f>
        <v>27000</v>
      </c>
      <c r="U4" s="20">
        <f>IF($J4="","",ROUND(($J4-$J$3)/1000,0))</f>
        <v>3</v>
      </c>
      <c r="V4" s="21">
        <f t="shared" ref="V4:V30" si="0">IF($O4="","",ROUND(($O4-$O$3)/1000,0))</f>
        <v>4</v>
      </c>
      <c r="W4" s="22">
        <f t="shared" ref="W4:W30" si="1">IF($T4="","",ROUND(($T4-$T$3)/1000,0))</f>
        <v>-8</v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>
        <v>1</v>
      </c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>
        <v>1</v>
      </c>
      <c r="BQ4" s="41"/>
      <c r="BR4" s="41">
        <v>1</v>
      </c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30" si="2">IF($E5="","",IF(AND(B4=3,B5=1),_xlfn.SWITCH(A4,"東","南","南","西","西","北","北","東"),A4))</f>
        <v>東</v>
      </c>
      <c r="B5" s="27">
        <f>IF($E5="","",IF($E4=$E5,B4,IF(B4=3,1,B4+1)))</f>
        <v>1</v>
      </c>
      <c r="C5" s="27">
        <f t="shared" ref="C5:C30" si="3">IF($E5="","",IF(F4="チョンボ",C4,IF($E4=$E5,C4+1,0)))</f>
        <v>0</v>
      </c>
      <c r="D5" s="27">
        <f t="shared" ref="D5:D30" si="4">IF($E5="","",IF(OR($F4="流局",$F4="チョンボ"),D4+($H4+$M4+$R4)/-1000,0))</f>
        <v>1</v>
      </c>
      <c r="E5" s="4" t="s">
        <v>142</v>
      </c>
      <c r="F5" s="8" t="s">
        <v>147</v>
      </c>
      <c r="G5" s="9">
        <v>2600</v>
      </c>
      <c r="H5" s="9">
        <v>2000</v>
      </c>
      <c r="I5" s="64">
        <v>0</v>
      </c>
      <c r="J5" s="30">
        <f t="shared" ref="J5:J30" si="5">IF(COUNTA($F5,$K5,$P5)&gt;0,J4+SUM(G5:I5),"")</f>
        <v>42600</v>
      </c>
      <c r="K5" s="8"/>
      <c r="L5" s="9"/>
      <c r="M5" s="9">
        <v>-1000</v>
      </c>
      <c r="N5" s="64"/>
      <c r="O5" s="30">
        <f t="shared" ref="O5:O30" si="6">IF(COUNTA($F5,$K5,$P5)&gt;0,O4+SUM(L5:N5),"")</f>
        <v>38000</v>
      </c>
      <c r="P5" s="8" t="s">
        <v>146</v>
      </c>
      <c r="Q5" s="9">
        <v>-2600</v>
      </c>
      <c r="R5" s="9"/>
      <c r="S5" s="64">
        <v>0</v>
      </c>
      <c r="T5" s="30">
        <f t="shared" ref="T5:T30" si="7">IF(COUNTA($F5,$K5,$P5)&gt;0,T4+SUM(Q5:S5),"")</f>
        <v>24400</v>
      </c>
      <c r="U5" s="20">
        <f t="shared" ref="U5:U30" si="8">IF($J5="","",ROUND(($J5-$J$3)/1000,0))</f>
        <v>8</v>
      </c>
      <c r="V5" s="21">
        <f t="shared" si="0"/>
        <v>3</v>
      </c>
      <c r="W5" s="22">
        <f t="shared" si="1"/>
        <v>-11</v>
      </c>
      <c r="Y5" s="8"/>
      <c r="Z5" s="50"/>
      <c r="AA5" s="41"/>
      <c r="AB5" s="41"/>
      <c r="AC5" s="41">
        <v>2</v>
      </c>
      <c r="AD5" s="45">
        <v>40</v>
      </c>
      <c r="AE5" s="56" t="s">
        <v>88</v>
      </c>
      <c r="AF5" s="57" t="s">
        <v>83</v>
      </c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>
        <v>1</v>
      </c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2</v>
      </c>
      <c r="C6" s="27">
        <f t="shared" si="3"/>
        <v>0</v>
      </c>
      <c r="D6" s="27">
        <f t="shared" si="4"/>
        <v>0</v>
      </c>
      <c r="E6" s="4" t="s">
        <v>144</v>
      </c>
      <c r="F6" s="8"/>
      <c r="G6" s="9"/>
      <c r="H6" s="9"/>
      <c r="I6" s="64"/>
      <c r="J6" s="30">
        <f t="shared" si="5"/>
        <v>42600</v>
      </c>
      <c r="K6" s="8" t="s">
        <v>146</v>
      </c>
      <c r="L6" s="9">
        <v>-18000</v>
      </c>
      <c r="M6" s="9"/>
      <c r="N6" s="64">
        <v>0</v>
      </c>
      <c r="O6" s="30">
        <f t="shared" si="6"/>
        <v>20000</v>
      </c>
      <c r="P6" s="8" t="s">
        <v>147</v>
      </c>
      <c r="Q6" s="9">
        <v>18000</v>
      </c>
      <c r="R6" s="9"/>
      <c r="S6" s="64">
        <v>0</v>
      </c>
      <c r="T6" s="30">
        <f t="shared" si="7"/>
        <v>42400</v>
      </c>
      <c r="U6" s="20">
        <f t="shared" si="8"/>
        <v>8</v>
      </c>
      <c r="V6" s="21">
        <f t="shared" si="0"/>
        <v>-15</v>
      </c>
      <c r="W6" s="22">
        <f t="shared" si="1"/>
        <v>7</v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>
        <v>1</v>
      </c>
      <c r="BR6" s="41"/>
      <c r="BS6" s="41">
        <v>6</v>
      </c>
      <c r="BT6" s="45" t="s">
        <v>150</v>
      </c>
      <c r="BU6" s="56" t="s">
        <v>84</v>
      </c>
      <c r="BV6" s="57" t="s">
        <v>83</v>
      </c>
      <c r="BW6" s="57" t="s">
        <v>82</v>
      </c>
      <c r="BX6" s="57" t="s">
        <v>82</v>
      </c>
      <c r="BY6" s="57" t="s">
        <v>82</v>
      </c>
      <c r="BZ6" s="57" t="s">
        <v>81</v>
      </c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2"/>
        <v>東</v>
      </c>
      <c r="B7" s="27">
        <f t="shared" si="9"/>
        <v>2</v>
      </c>
      <c r="C7" s="27">
        <f t="shared" si="3"/>
        <v>1</v>
      </c>
      <c r="D7" s="27">
        <f t="shared" si="4"/>
        <v>0</v>
      </c>
      <c r="E7" s="4" t="s">
        <v>144</v>
      </c>
      <c r="F7" s="8" t="s">
        <v>147</v>
      </c>
      <c r="G7" s="9">
        <v>5200</v>
      </c>
      <c r="H7" s="9"/>
      <c r="I7" s="64">
        <v>1000</v>
      </c>
      <c r="J7" s="30">
        <f t="shared" si="5"/>
        <v>48800</v>
      </c>
      <c r="K7" s="8"/>
      <c r="L7" s="9"/>
      <c r="M7" s="9"/>
      <c r="N7" s="64"/>
      <c r="O7" s="30">
        <f t="shared" si="6"/>
        <v>20000</v>
      </c>
      <c r="P7" s="8" t="s">
        <v>146</v>
      </c>
      <c r="Q7" s="9">
        <v>-5200</v>
      </c>
      <c r="R7" s="9"/>
      <c r="S7" s="64">
        <v>-1000</v>
      </c>
      <c r="T7" s="30">
        <f t="shared" si="7"/>
        <v>36200</v>
      </c>
      <c r="U7" s="20">
        <f t="shared" si="8"/>
        <v>14</v>
      </c>
      <c r="V7" s="21">
        <f t="shared" si="0"/>
        <v>-15</v>
      </c>
      <c r="W7" s="22">
        <f t="shared" si="1"/>
        <v>1</v>
      </c>
      <c r="Y7" s="8"/>
      <c r="Z7" s="50"/>
      <c r="AA7" s="41">
        <v>1</v>
      </c>
      <c r="AB7" s="41"/>
      <c r="AC7" s="41">
        <v>3</v>
      </c>
      <c r="AD7" s="45">
        <v>40</v>
      </c>
      <c r="AE7" s="56" t="s">
        <v>151</v>
      </c>
      <c r="AF7" s="57" t="s">
        <v>88</v>
      </c>
      <c r="AG7" s="57" t="s">
        <v>83</v>
      </c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2"/>
        <v>東</v>
      </c>
      <c r="B8" s="27">
        <f t="shared" si="9"/>
        <v>3</v>
      </c>
      <c r="C8" s="27">
        <f t="shared" si="3"/>
        <v>0</v>
      </c>
      <c r="D8" s="27">
        <f t="shared" si="4"/>
        <v>0</v>
      </c>
      <c r="E8" s="4" t="s">
        <v>140</v>
      </c>
      <c r="F8" s="8" t="s">
        <v>148</v>
      </c>
      <c r="G8" s="9">
        <v>12000</v>
      </c>
      <c r="H8" s="9">
        <v>1000</v>
      </c>
      <c r="I8" s="64">
        <v>0</v>
      </c>
      <c r="J8" s="30">
        <f t="shared" si="5"/>
        <v>61800</v>
      </c>
      <c r="K8" s="8" t="s">
        <v>149</v>
      </c>
      <c r="L8" s="9">
        <v>-6000</v>
      </c>
      <c r="M8" s="9">
        <v>-1000</v>
      </c>
      <c r="N8" s="64">
        <v>0</v>
      </c>
      <c r="O8" s="30">
        <f t="shared" si="6"/>
        <v>13000</v>
      </c>
      <c r="P8" s="8" t="s">
        <v>149</v>
      </c>
      <c r="Q8" s="9">
        <v>-6000</v>
      </c>
      <c r="R8" s="9"/>
      <c r="S8" s="64">
        <v>0</v>
      </c>
      <c r="T8" s="30">
        <f t="shared" si="7"/>
        <v>30200</v>
      </c>
      <c r="U8" s="20">
        <f t="shared" si="8"/>
        <v>27</v>
      </c>
      <c r="V8" s="21">
        <f t="shared" si="0"/>
        <v>-22</v>
      </c>
      <c r="W8" s="22">
        <f t="shared" si="1"/>
        <v>-5</v>
      </c>
      <c r="Y8" s="8"/>
      <c r="Z8" s="50"/>
      <c r="AA8" s="41"/>
      <c r="AB8" s="41">
        <v>1</v>
      </c>
      <c r="AC8" s="41">
        <v>5</v>
      </c>
      <c r="AD8" s="45" t="s">
        <v>150</v>
      </c>
      <c r="AE8" s="56" t="s">
        <v>81</v>
      </c>
      <c r="AF8" s="57" t="s">
        <v>81</v>
      </c>
      <c r="AG8" s="57" t="s">
        <v>81</v>
      </c>
      <c r="AH8" s="57" t="s">
        <v>100</v>
      </c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>
        <v>1</v>
      </c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2"/>
        <v>東</v>
      </c>
      <c r="B9" s="27">
        <f t="shared" si="9"/>
        <v>3</v>
      </c>
      <c r="C9" s="27">
        <f t="shared" si="3"/>
        <v>1</v>
      </c>
      <c r="D9" s="27">
        <f t="shared" si="4"/>
        <v>0</v>
      </c>
      <c r="E9" s="4" t="s">
        <v>140</v>
      </c>
      <c r="F9" s="8" t="s">
        <v>147</v>
      </c>
      <c r="G9" s="9">
        <v>3900</v>
      </c>
      <c r="H9" s="9">
        <v>1000</v>
      </c>
      <c r="I9" s="64">
        <v>1000</v>
      </c>
      <c r="J9" s="30">
        <f t="shared" si="5"/>
        <v>67700</v>
      </c>
      <c r="K9" s="8" t="s">
        <v>146</v>
      </c>
      <c r="L9" s="9">
        <v>-3900</v>
      </c>
      <c r="M9" s="9">
        <v>-1000</v>
      </c>
      <c r="N9" s="64">
        <v>-1000</v>
      </c>
      <c r="O9" s="30">
        <f t="shared" si="6"/>
        <v>7100</v>
      </c>
      <c r="P9" s="8"/>
      <c r="Q9" s="9"/>
      <c r="R9" s="9"/>
      <c r="S9" s="64"/>
      <c r="T9" s="30">
        <f t="shared" si="7"/>
        <v>30200</v>
      </c>
      <c r="U9" s="20">
        <f t="shared" si="8"/>
        <v>33</v>
      </c>
      <c r="V9" s="21">
        <f t="shared" si="0"/>
        <v>-28</v>
      </c>
      <c r="W9" s="22">
        <f t="shared" si="1"/>
        <v>-5</v>
      </c>
      <c r="Y9" s="8"/>
      <c r="Z9" s="50"/>
      <c r="AA9" s="41">
        <v>1</v>
      </c>
      <c r="AB9" s="41"/>
      <c r="AC9" s="41">
        <v>2</v>
      </c>
      <c r="AD9" s="45">
        <v>40</v>
      </c>
      <c r="AE9" s="56" t="s">
        <v>151</v>
      </c>
      <c r="AF9" s="57" t="s">
        <v>83</v>
      </c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>
        <v>1</v>
      </c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2"/>
        <v>東</v>
      </c>
      <c r="B10" s="27">
        <f t="shared" si="9"/>
        <v>3</v>
      </c>
      <c r="C10" s="27">
        <f t="shared" si="3"/>
        <v>2</v>
      </c>
      <c r="D10" s="27">
        <f t="shared" si="4"/>
        <v>0</v>
      </c>
      <c r="E10" s="4" t="s">
        <v>140</v>
      </c>
      <c r="F10" s="8"/>
      <c r="G10" s="9"/>
      <c r="H10" s="9"/>
      <c r="I10" s="64"/>
      <c r="J10" s="30">
        <f t="shared" si="5"/>
        <v>67700</v>
      </c>
      <c r="K10" s="8" t="s">
        <v>147</v>
      </c>
      <c r="L10" s="9">
        <v>12000</v>
      </c>
      <c r="M10" s="9"/>
      <c r="N10" s="64">
        <v>2000</v>
      </c>
      <c r="O10" s="30">
        <f t="shared" si="6"/>
        <v>21100</v>
      </c>
      <c r="P10" s="8" t="s">
        <v>146</v>
      </c>
      <c r="Q10" s="9">
        <v>-12000</v>
      </c>
      <c r="R10" s="9"/>
      <c r="S10" s="64">
        <v>-2000</v>
      </c>
      <c r="T10" s="30">
        <f t="shared" si="7"/>
        <v>16200</v>
      </c>
      <c r="U10" s="20">
        <f t="shared" si="8"/>
        <v>33</v>
      </c>
      <c r="V10" s="21">
        <f t="shared" si="0"/>
        <v>-14</v>
      </c>
      <c r="W10" s="22">
        <f t="shared" si="1"/>
        <v>-19</v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>
        <v>1</v>
      </c>
      <c r="AW10" s="41"/>
      <c r="AX10" s="41">
        <v>6</v>
      </c>
      <c r="AY10" s="45" t="s">
        <v>150</v>
      </c>
      <c r="AZ10" s="56" t="s">
        <v>151</v>
      </c>
      <c r="BA10" s="57" t="s">
        <v>103</v>
      </c>
      <c r="BB10" s="57" t="s">
        <v>106</v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2"/>
        <v>南</v>
      </c>
      <c r="B11" s="27">
        <f t="shared" si="9"/>
        <v>1</v>
      </c>
      <c r="C11" s="27">
        <f t="shared" si="3"/>
        <v>0</v>
      </c>
      <c r="D11" s="27">
        <f t="shared" si="4"/>
        <v>0</v>
      </c>
      <c r="E11" s="4" t="s">
        <v>142</v>
      </c>
      <c r="F11" s="8" t="s">
        <v>149</v>
      </c>
      <c r="G11" s="9">
        <v>-3000</v>
      </c>
      <c r="H11" s="9"/>
      <c r="I11" s="64">
        <v>0</v>
      </c>
      <c r="J11" s="30">
        <f t="shared" si="5"/>
        <v>64700</v>
      </c>
      <c r="K11" s="8" t="s">
        <v>149</v>
      </c>
      <c r="L11" s="9">
        <v>-5000</v>
      </c>
      <c r="M11" s="9"/>
      <c r="N11" s="64">
        <v>0</v>
      </c>
      <c r="O11" s="30">
        <f t="shared" si="6"/>
        <v>16100</v>
      </c>
      <c r="P11" s="8" t="s">
        <v>148</v>
      </c>
      <c r="Q11" s="9">
        <v>8000</v>
      </c>
      <c r="R11" s="9"/>
      <c r="S11" s="64">
        <v>0</v>
      </c>
      <c r="T11" s="30">
        <f t="shared" si="7"/>
        <v>24200</v>
      </c>
      <c r="U11" s="20">
        <f t="shared" si="8"/>
        <v>30</v>
      </c>
      <c r="V11" s="21">
        <f t="shared" si="0"/>
        <v>-19</v>
      </c>
      <c r="W11" s="22">
        <f t="shared" si="1"/>
        <v>-11</v>
      </c>
      <c r="Y11" s="8"/>
      <c r="Z11" s="50"/>
      <c r="AA11" s="41"/>
      <c r="AB11" s="41">
        <v>1</v>
      </c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>
        <v>1</v>
      </c>
      <c r="BR11" s="41"/>
      <c r="BS11" s="41">
        <v>5</v>
      </c>
      <c r="BT11" s="45" t="s">
        <v>150</v>
      </c>
      <c r="BU11" s="56" t="s">
        <v>151</v>
      </c>
      <c r="BV11" s="57" t="s">
        <v>84</v>
      </c>
      <c r="BW11" s="57" t="s">
        <v>83</v>
      </c>
      <c r="BX11" s="57" t="s">
        <v>88</v>
      </c>
      <c r="BY11" s="57" t="s">
        <v>88</v>
      </c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2"/>
        <v>南</v>
      </c>
      <c r="B12" s="27">
        <f t="shared" si="9"/>
        <v>2</v>
      </c>
      <c r="C12" s="27">
        <f t="shared" si="3"/>
        <v>0</v>
      </c>
      <c r="D12" s="27">
        <f t="shared" si="4"/>
        <v>0</v>
      </c>
      <c r="E12" s="4" t="s">
        <v>144</v>
      </c>
      <c r="F12" s="8"/>
      <c r="G12" s="9"/>
      <c r="H12" s="9"/>
      <c r="I12" s="64"/>
      <c r="J12" s="30">
        <f t="shared" si="5"/>
        <v>64700</v>
      </c>
      <c r="K12" s="8" t="s">
        <v>146</v>
      </c>
      <c r="L12" s="9">
        <v>-12000</v>
      </c>
      <c r="M12" s="9"/>
      <c r="N12" s="64">
        <v>0</v>
      </c>
      <c r="O12" s="30">
        <f t="shared" si="6"/>
        <v>4100</v>
      </c>
      <c r="P12" s="8" t="s">
        <v>147</v>
      </c>
      <c r="Q12" s="9">
        <v>12000</v>
      </c>
      <c r="R12" s="9"/>
      <c r="S12" s="64">
        <v>0</v>
      </c>
      <c r="T12" s="30">
        <f t="shared" si="7"/>
        <v>36200</v>
      </c>
      <c r="U12" s="20">
        <f t="shared" si="8"/>
        <v>30</v>
      </c>
      <c r="V12" s="21">
        <f t="shared" si="0"/>
        <v>-31</v>
      </c>
      <c r="W12" s="22">
        <f t="shared" si="1"/>
        <v>1</v>
      </c>
      <c r="Y12" s="8"/>
      <c r="Z12" s="50"/>
      <c r="AA12" s="41"/>
      <c r="AB12" s="41">
        <v>1</v>
      </c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>
        <v>1</v>
      </c>
      <c r="BR12" s="41"/>
      <c r="BS12" s="41">
        <v>4</v>
      </c>
      <c r="BT12" s="45">
        <v>40</v>
      </c>
      <c r="BU12" s="56" t="s">
        <v>151</v>
      </c>
      <c r="BV12" s="57" t="s">
        <v>81</v>
      </c>
      <c r="BW12" s="57" t="s">
        <v>82</v>
      </c>
      <c r="BX12" s="57" t="s">
        <v>83</v>
      </c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2"/>
        <v>南</v>
      </c>
      <c r="B13" s="27">
        <f t="shared" si="9"/>
        <v>2</v>
      </c>
      <c r="C13" s="27">
        <f t="shared" si="3"/>
        <v>1</v>
      </c>
      <c r="D13" s="27">
        <f t="shared" si="4"/>
        <v>0</v>
      </c>
      <c r="E13" s="4" t="s">
        <v>144</v>
      </c>
      <c r="F13" s="8" t="s">
        <v>156</v>
      </c>
      <c r="G13" s="9">
        <v>1500</v>
      </c>
      <c r="H13" s="9"/>
      <c r="I13" s="64"/>
      <c r="J13" s="30">
        <f t="shared" si="5"/>
        <v>66200</v>
      </c>
      <c r="K13" s="8" t="s">
        <v>156</v>
      </c>
      <c r="L13" s="9">
        <v>-3000</v>
      </c>
      <c r="M13" s="9"/>
      <c r="N13" s="64"/>
      <c r="O13" s="30">
        <f t="shared" si="6"/>
        <v>1100</v>
      </c>
      <c r="P13" s="8" t="s">
        <v>156</v>
      </c>
      <c r="Q13" s="9">
        <v>1500</v>
      </c>
      <c r="R13" s="9">
        <v>-1000</v>
      </c>
      <c r="S13" s="64"/>
      <c r="T13" s="30">
        <f t="shared" si="7"/>
        <v>36700</v>
      </c>
      <c r="U13" s="20">
        <f t="shared" si="8"/>
        <v>31</v>
      </c>
      <c r="V13" s="21">
        <f t="shared" si="0"/>
        <v>-34</v>
      </c>
      <c r="W13" s="22">
        <f t="shared" si="1"/>
        <v>2</v>
      </c>
      <c r="Y13" s="8" t="s">
        <v>152</v>
      </c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 t="s">
        <v>153</v>
      </c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 t="s">
        <v>152</v>
      </c>
      <c r="BP13" s="50"/>
      <c r="BQ13" s="41">
        <v>1</v>
      </c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2"/>
        <v>南</v>
      </c>
      <c r="B14" s="27">
        <f t="shared" si="9"/>
        <v>2</v>
      </c>
      <c r="C14" s="27">
        <f t="shared" si="3"/>
        <v>2</v>
      </c>
      <c r="D14" s="27">
        <f t="shared" si="4"/>
        <v>1</v>
      </c>
      <c r="E14" s="4" t="s">
        <v>144</v>
      </c>
      <c r="F14" s="8" t="s">
        <v>146</v>
      </c>
      <c r="G14" s="9">
        <v>-12000</v>
      </c>
      <c r="H14" s="9"/>
      <c r="I14" s="64">
        <v>-2000</v>
      </c>
      <c r="J14" s="30">
        <f t="shared" si="5"/>
        <v>52200</v>
      </c>
      <c r="K14" s="8"/>
      <c r="L14" s="9"/>
      <c r="M14" s="9"/>
      <c r="N14" s="64"/>
      <c r="O14" s="30">
        <f t="shared" si="6"/>
        <v>1100</v>
      </c>
      <c r="P14" s="8" t="s">
        <v>147</v>
      </c>
      <c r="Q14" s="9">
        <v>12000</v>
      </c>
      <c r="R14" s="9">
        <v>1000</v>
      </c>
      <c r="S14" s="64">
        <v>2000</v>
      </c>
      <c r="T14" s="30">
        <f t="shared" si="7"/>
        <v>51700</v>
      </c>
      <c r="U14" s="20">
        <f t="shared" si="8"/>
        <v>17</v>
      </c>
      <c r="V14" s="21">
        <f t="shared" si="0"/>
        <v>-34</v>
      </c>
      <c r="W14" s="22">
        <f t="shared" si="1"/>
        <v>17</v>
      </c>
      <c r="Y14" s="8"/>
      <c r="Z14" s="50"/>
      <c r="AA14" s="41"/>
      <c r="AB14" s="41">
        <v>1</v>
      </c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>
        <v>1</v>
      </c>
      <c r="BR14" s="41"/>
      <c r="BS14" s="41">
        <v>5</v>
      </c>
      <c r="BT14" s="45" t="s">
        <v>150</v>
      </c>
      <c r="BU14" s="56" t="s">
        <v>151</v>
      </c>
      <c r="BV14" s="57" t="s">
        <v>157</v>
      </c>
      <c r="BW14" s="57" t="s">
        <v>88</v>
      </c>
      <c r="BX14" s="57" t="s">
        <v>81</v>
      </c>
      <c r="BY14" s="57" t="s">
        <v>82</v>
      </c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2"/>
        <v>南</v>
      </c>
      <c r="B15" s="27">
        <f t="shared" si="9"/>
        <v>2</v>
      </c>
      <c r="C15" s="27">
        <f t="shared" si="3"/>
        <v>3</v>
      </c>
      <c r="D15" s="27">
        <f t="shared" si="4"/>
        <v>0</v>
      </c>
      <c r="E15" s="4" t="s">
        <v>144</v>
      </c>
      <c r="F15" s="8" t="s">
        <v>149</v>
      </c>
      <c r="G15" s="9">
        <v>-6000</v>
      </c>
      <c r="H15" s="9"/>
      <c r="I15" s="64">
        <v>-1500</v>
      </c>
      <c r="J15" s="30">
        <f t="shared" si="5"/>
        <v>44700</v>
      </c>
      <c r="K15" s="8" t="s">
        <v>149</v>
      </c>
      <c r="L15" s="9">
        <v>-6000</v>
      </c>
      <c r="M15" s="9">
        <v>-1000</v>
      </c>
      <c r="N15" s="64">
        <v>-1500</v>
      </c>
      <c r="O15" s="30">
        <f t="shared" si="6"/>
        <v>-7400</v>
      </c>
      <c r="P15" s="8" t="s">
        <v>148</v>
      </c>
      <c r="Q15" s="9">
        <v>12000</v>
      </c>
      <c r="R15" s="9">
        <v>1000</v>
      </c>
      <c r="S15" s="64">
        <v>3000</v>
      </c>
      <c r="T15" s="30">
        <f t="shared" si="7"/>
        <v>67700</v>
      </c>
      <c r="U15" s="20">
        <f t="shared" si="8"/>
        <v>10</v>
      </c>
      <c r="V15" s="21">
        <f t="shared" si="0"/>
        <v>-42</v>
      </c>
      <c r="W15" s="22">
        <f t="shared" si="1"/>
        <v>33</v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>
        <v>1</v>
      </c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>
        <v>1</v>
      </c>
      <c r="BR15" s="41"/>
      <c r="BS15" s="41">
        <v>4</v>
      </c>
      <c r="BT15" s="45">
        <v>30</v>
      </c>
      <c r="BU15" s="56" t="s">
        <v>151</v>
      </c>
      <c r="BV15" s="57" t="s">
        <v>84</v>
      </c>
      <c r="BW15" s="57" t="s">
        <v>157</v>
      </c>
      <c r="BX15" s="57" t="s">
        <v>86</v>
      </c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2"/>
        <v/>
      </c>
      <c r="B16" s="27" t="str">
        <f t="shared" si="9"/>
        <v/>
      </c>
      <c r="C16" s="27" t="str">
        <f t="shared" si="3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2"/>
        <v/>
      </c>
      <c r="B17" s="27" t="str">
        <f t="shared" si="9"/>
        <v/>
      </c>
      <c r="C17" s="27" t="str">
        <f t="shared" si="3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2"/>
        <v/>
      </c>
      <c r="B18" s="27" t="str">
        <f t="shared" si="9"/>
        <v/>
      </c>
      <c r="C18" s="27" t="str">
        <f t="shared" si="3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2"/>
        <v/>
      </c>
      <c r="B19" s="27" t="str">
        <f t="shared" si="9"/>
        <v/>
      </c>
      <c r="C19" s="27" t="str">
        <f t="shared" si="3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2"/>
        <v/>
      </c>
      <c r="B20" s="27" t="str">
        <f t="shared" si="9"/>
        <v/>
      </c>
      <c r="C20" s="27" t="str">
        <f t="shared" si="3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2"/>
        <v/>
      </c>
      <c r="B21" s="27" t="str">
        <f t="shared" si="9"/>
        <v/>
      </c>
      <c r="C21" s="27" t="str">
        <f t="shared" si="3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2"/>
        <v/>
      </c>
      <c r="B22" s="27" t="str">
        <f t="shared" si="9"/>
        <v/>
      </c>
      <c r="C22" s="27" t="str">
        <f t="shared" si="3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2"/>
        <v/>
      </c>
      <c r="B23" s="27" t="str">
        <f t="shared" si="9"/>
        <v/>
      </c>
      <c r="C23" s="27" t="str">
        <f t="shared" si="3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2"/>
        <v/>
      </c>
      <c r="B24" s="27" t="str">
        <f t="shared" si="9"/>
        <v/>
      </c>
      <c r="C24" s="27" t="str">
        <f t="shared" si="3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2"/>
        <v/>
      </c>
      <c r="B25" s="27" t="str">
        <f t="shared" si="9"/>
        <v/>
      </c>
      <c r="C25" s="27" t="str">
        <f t="shared" si="3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2"/>
        <v/>
      </c>
      <c r="B26" s="27" t="str">
        <f t="shared" si="9"/>
        <v/>
      </c>
      <c r="C26" s="27" t="str">
        <f t="shared" si="3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2"/>
        <v/>
      </c>
      <c r="B27" s="27" t="str">
        <f t="shared" si="9"/>
        <v/>
      </c>
      <c r="C27" s="27" t="str">
        <f t="shared" si="3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2"/>
        <v/>
      </c>
      <c r="B28" s="27" t="str">
        <f t="shared" si="9"/>
        <v/>
      </c>
      <c r="C28" s="27" t="str">
        <f t="shared" si="3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2"/>
        <v/>
      </c>
      <c r="B29" s="27" t="str">
        <f t="shared" si="9"/>
        <v/>
      </c>
      <c r="C29" s="27" t="str">
        <f t="shared" si="3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2"/>
        <v/>
      </c>
      <c r="B30" s="28" t="str">
        <f t="shared" si="9"/>
        <v/>
      </c>
      <c r="C30" s="28" t="str">
        <f t="shared" si="3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7705DB4F-17C4-4006-B8B8-7A2E5FA239AF}">
      <formula1>$U$2:$W$2</formula1>
    </dataValidation>
    <dataValidation type="list" showInputMessage="1" showErrorMessage="1" sqref="K4:K30 P4:P30 F4:F30" xr:uid="{878F09C3-2FFB-42A7-97C1-56B97E9051D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>
      <selection sqref="A1:A2"/>
    </sheetView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28</v>
      </c>
      <c r="B1" s="15" t="s">
        <v>29</v>
      </c>
      <c r="C1" s="15" t="s">
        <v>30</v>
      </c>
      <c r="D1" s="15" t="s">
        <v>31</v>
      </c>
      <c r="E1" s="52" t="s">
        <v>32</v>
      </c>
    </row>
    <row r="2" spans="1:5" x14ac:dyDescent="0.4">
      <c r="A2" s="52" t="s">
        <v>79</v>
      </c>
      <c r="B2" s="15" t="s">
        <v>138</v>
      </c>
      <c r="C2" s="15">
        <v>1</v>
      </c>
    </row>
    <row r="3" spans="1:5" x14ac:dyDescent="0.4">
      <c r="A3" s="52" t="s">
        <v>80</v>
      </c>
      <c r="B3" s="15" t="s">
        <v>33</v>
      </c>
      <c r="C3" s="15">
        <v>1</v>
      </c>
    </row>
    <row r="4" spans="1:5" x14ac:dyDescent="0.4">
      <c r="A4" s="52" t="s">
        <v>81</v>
      </c>
      <c r="B4" s="15" t="s">
        <v>34</v>
      </c>
      <c r="C4" s="15">
        <v>1</v>
      </c>
      <c r="D4" s="15">
        <v>1</v>
      </c>
    </row>
    <row r="5" spans="1:5" x14ac:dyDescent="0.4">
      <c r="A5" s="52" t="s">
        <v>82</v>
      </c>
      <c r="B5" s="15" t="s">
        <v>35</v>
      </c>
      <c r="C5" s="15">
        <v>1</v>
      </c>
      <c r="E5" s="52" t="s">
        <v>129</v>
      </c>
    </row>
    <row r="6" spans="1:5" x14ac:dyDescent="0.4">
      <c r="A6" s="52" t="s">
        <v>83</v>
      </c>
      <c r="B6" s="15" t="s">
        <v>36</v>
      </c>
      <c r="C6" s="15">
        <v>1</v>
      </c>
      <c r="D6" s="15">
        <v>1</v>
      </c>
    </row>
    <row r="7" spans="1:5" x14ac:dyDescent="0.4">
      <c r="A7" s="52" t="s">
        <v>84</v>
      </c>
      <c r="B7" s="15" t="s">
        <v>37</v>
      </c>
      <c r="C7" s="15">
        <v>1</v>
      </c>
    </row>
    <row r="8" spans="1:5" x14ac:dyDescent="0.4">
      <c r="A8" s="52" t="s">
        <v>85</v>
      </c>
      <c r="B8" s="15" t="s">
        <v>38</v>
      </c>
      <c r="C8" s="15">
        <v>1</v>
      </c>
    </row>
    <row r="9" spans="1:5" x14ac:dyDescent="0.4">
      <c r="A9" s="52" t="s">
        <v>86</v>
      </c>
      <c r="B9" s="15" t="s">
        <v>39</v>
      </c>
      <c r="C9" s="15">
        <v>1</v>
      </c>
    </row>
    <row r="10" spans="1:5" x14ac:dyDescent="0.4">
      <c r="A10" s="52" t="s">
        <v>87</v>
      </c>
      <c r="B10" s="15" t="s">
        <v>135</v>
      </c>
      <c r="C10" s="15">
        <v>1</v>
      </c>
      <c r="D10" s="15">
        <v>1</v>
      </c>
    </row>
    <row r="11" spans="1:5" x14ac:dyDescent="0.4">
      <c r="A11" s="52" t="s">
        <v>88</v>
      </c>
      <c r="B11" s="15" t="s">
        <v>40</v>
      </c>
      <c r="C11" s="15">
        <v>1</v>
      </c>
      <c r="D11" s="15">
        <v>1</v>
      </c>
    </row>
    <row r="12" spans="1:5" x14ac:dyDescent="0.4">
      <c r="A12" s="52" t="s">
        <v>89</v>
      </c>
      <c r="B12" s="15" t="s">
        <v>41</v>
      </c>
      <c r="C12" s="15">
        <v>1</v>
      </c>
      <c r="D12" s="15">
        <v>1</v>
      </c>
    </row>
    <row r="13" spans="1:5" x14ac:dyDescent="0.4">
      <c r="A13" s="52" t="s">
        <v>90</v>
      </c>
      <c r="B13" s="15" t="s">
        <v>42</v>
      </c>
      <c r="C13" s="15">
        <v>1</v>
      </c>
      <c r="D13" s="15">
        <v>1</v>
      </c>
    </row>
    <row r="14" spans="1:5" x14ac:dyDescent="0.4">
      <c r="A14" s="52" t="s">
        <v>91</v>
      </c>
      <c r="B14" s="15" t="s">
        <v>43</v>
      </c>
      <c r="C14" s="15">
        <v>1</v>
      </c>
      <c r="D14" s="15">
        <v>1</v>
      </c>
    </row>
    <row r="15" spans="1:5" x14ac:dyDescent="0.4">
      <c r="A15" s="52" t="s">
        <v>92</v>
      </c>
      <c r="B15" s="15" t="s">
        <v>44</v>
      </c>
      <c r="C15" s="15">
        <v>1</v>
      </c>
      <c r="D15" s="15">
        <v>1</v>
      </c>
    </row>
    <row r="16" spans="1:5" x14ac:dyDescent="0.4">
      <c r="A16" s="52" t="s">
        <v>93</v>
      </c>
      <c r="B16" s="15" t="s">
        <v>45</v>
      </c>
      <c r="C16" s="15">
        <v>2</v>
      </c>
      <c r="E16" s="52" t="s">
        <v>79</v>
      </c>
    </row>
    <row r="17" spans="1:4" x14ac:dyDescent="0.4">
      <c r="A17" s="52" t="s">
        <v>94</v>
      </c>
      <c r="B17" s="15" t="s">
        <v>46</v>
      </c>
      <c r="C17" s="15">
        <v>2</v>
      </c>
      <c r="D17" s="15">
        <v>1</v>
      </c>
    </row>
    <row r="18" spans="1:4" x14ac:dyDescent="0.4">
      <c r="A18" s="52" t="s">
        <v>95</v>
      </c>
      <c r="B18" s="15" t="s">
        <v>137</v>
      </c>
      <c r="C18" s="15">
        <v>2</v>
      </c>
      <c r="D18" s="15">
        <v>1</v>
      </c>
    </row>
    <row r="19" spans="1:4" x14ac:dyDescent="0.4">
      <c r="A19" s="52" t="s">
        <v>96</v>
      </c>
      <c r="B19" s="15" t="s">
        <v>47</v>
      </c>
      <c r="C19" s="15">
        <v>2</v>
      </c>
      <c r="D19" s="15">
        <v>1</v>
      </c>
    </row>
    <row r="20" spans="1:4" x14ac:dyDescent="0.4">
      <c r="A20" s="52" t="s">
        <v>97</v>
      </c>
      <c r="B20" s="15" t="s">
        <v>48</v>
      </c>
      <c r="C20" s="15">
        <v>2</v>
      </c>
      <c r="D20" s="15">
        <v>2</v>
      </c>
    </row>
    <row r="21" spans="1:4" x14ac:dyDescent="0.4">
      <c r="A21" s="52" t="s">
        <v>98</v>
      </c>
      <c r="B21" s="15" t="s">
        <v>49</v>
      </c>
      <c r="C21" s="15">
        <v>2</v>
      </c>
      <c r="D21" s="15">
        <v>2</v>
      </c>
    </row>
    <row r="22" spans="1:4" x14ac:dyDescent="0.4">
      <c r="A22" s="52" t="s">
        <v>99</v>
      </c>
      <c r="B22" s="15" t="s">
        <v>50</v>
      </c>
      <c r="C22" s="15">
        <v>2</v>
      </c>
      <c r="D22" s="15">
        <v>2</v>
      </c>
    </row>
    <row r="23" spans="1:4" x14ac:dyDescent="0.4">
      <c r="A23" s="52" t="s">
        <v>100</v>
      </c>
      <c r="B23" s="15" t="s">
        <v>51</v>
      </c>
      <c r="C23" s="15">
        <v>2</v>
      </c>
      <c r="D23" s="15">
        <v>2</v>
      </c>
    </row>
    <row r="24" spans="1:4" x14ac:dyDescent="0.4">
      <c r="A24" s="52" t="s">
        <v>101</v>
      </c>
      <c r="B24" s="15" t="s">
        <v>52</v>
      </c>
      <c r="C24" s="15">
        <v>2</v>
      </c>
      <c r="D24" s="15">
        <v>2</v>
      </c>
    </row>
    <row r="25" spans="1:4" x14ac:dyDescent="0.4">
      <c r="A25" s="52" t="s">
        <v>102</v>
      </c>
      <c r="B25" s="15" t="s">
        <v>53</v>
      </c>
      <c r="C25" s="15">
        <v>2</v>
      </c>
      <c r="D25" s="15">
        <v>2</v>
      </c>
    </row>
    <row r="26" spans="1:4" x14ac:dyDescent="0.4">
      <c r="A26" s="52" t="s">
        <v>103</v>
      </c>
      <c r="B26" s="15" t="s">
        <v>54</v>
      </c>
      <c r="C26" s="15">
        <v>2</v>
      </c>
    </row>
    <row r="27" spans="1:4" x14ac:dyDescent="0.4">
      <c r="A27" s="52" t="s">
        <v>104</v>
      </c>
      <c r="B27" s="15" t="s">
        <v>55</v>
      </c>
      <c r="C27" s="15">
        <v>3</v>
      </c>
    </row>
    <row r="28" spans="1:4" x14ac:dyDescent="0.4">
      <c r="A28" s="52" t="s">
        <v>105</v>
      </c>
      <c r="B28" s="15" t="s">
        <v>136</v>
      </c>
      <c r="C28" s="15">
        <v>3</v>
      </c>
      <c r="D28" s="15">
        <v>2</v>
      </c>
    </row>
    <row r="29" spans="1:4" x14ac:dyDescent="0.4">
      <c r="A29" s="52" t="s">
        <v>106</v>
      </c>
      <c r="B29" s="15" t="s">
        <v>56</v>
      </c>
      <c r="C29" s="15">
        <v>3</v>
      </c>
      <c r="D29" s="15">
        <v>2</v>
      </c>
    </row>
    <row r="30" spans="1:4" x14ac:dyDescent="0.4">
      <c r="A30" s="52" t="s">
        <v>107</v>
      </c>
      <c r="B30" s="15" t="s">
        <v>57</v>
      </c>
      <c r="C30" s="15">
        <v>5</v>
      </c>
    </row>
    <row r="31" spans="1:4" x14ac:dyDescent="0.4">
      <c r="A31" s="52" t="s">
        <v>108</v>
      </c>
      <c r="B31" s="15" t="s">
        <v>58</v>
      </c>
      <c r="C31" s="15">
        <v>6</v>
      </c>
      <c r="D31" s="15">
        <v>5</v>
      </c>
    </row>
    <row r="32" spans="1:4" x14ac:dyDescent="0.4">
      <c r="A32" s="52" t="s">
        <v>109</v>
      </c>
      <c r="B32" s="15" t="s">
        <v>59</v>
      </c>
      <c r="C32" s="15">
        <v>13</v>
      </c>
    </row>
    <row r="33" spans="1:5" x14ac:dyDescent="0.4">
      <c r="A33" s="52" t="s">
        <v>110</v>
      </c>
      <c r="B33" s="15" t="s">
        <v>60</v>
      </c>
      <c r="C33" s="15">
        <v>13</v>
      </c>
    </row>
    <row r="34" spans="1:5" x14ac:dyDescent="0.4">
      <c r="A34" s="52" t="s">
        <v>111</v>
      </c>
      <c r="B34" s="15" t="s">
        <v>61</v>
      </c>
      <c r="C34" s="15">
        <v>13</v>
      </c>
      <c r="D34" s="15">
        <v>13</v>
      </c>
    </row>
    <row r="35" spans="1:5" x14ac:dyDescent="0.4">
      <c r="A35" s="52" t="s">
        <v>112</v>
      </c>
      <c r="B35" s="15" t="s">
        <v>62</v>
      </c>
      <c r="C35" s="15">
        <v>13</v>
      </c>
      <c r="D35" s="15">
        <v>13</v>
      </c>
    </row>
    <row r="36" spans="1:5" x14ac:dyDescent="0.4">
      <c r="A36" s="52" t="s">
        <v>113</v>
      </c>
      <c r="B36" s="15" t="s">
        <v>63</v>
      </c>
      <c r="C36" s="15">
        <v>26</v>
      </c>
      <c r="D36" s="15">
        <v>26</v>
      </c>
    </row>
    <row r="37" spans="1:5" x14ac:dyDescent="0.4">
      <c r="A37" s="52" t="s">
        <v>114</v>
      </c>
      <c r="B37" s="15" t="s">
        <v>64</v>
      </c>
      <c r="C37" s="15">
        <v>13</v>
      </c>
      <c r="D37" s="15">
        <v>13</v>
      </c>
    </row>
    <row r="38" spans="1:5" x14ac:dyDescent="0.4">
      <c r="A38" s="52" t="s">
        <v>115</v>
      </c>
      <c r="B38" s="15" t="s">
        <v>65</v>
      </c>
      <c r="C38" s="15">
        <v>13</v>
      </c>
      <c r="D38" s="15">
        <v>13</v>
      </c>
    </row>
    <row r="39" spans="1:5" x14ac:dyDescent="0.4">
      <c r="A39" s="52" t="s">
        <v>116</v>
      </c>
      <c r="B39" s="15" t="s">
        <v>66</v>
      </c>
      <c r="C39" s="15">
        <v>13</v>
      </c>
      <c r="D39" s="15">
        <v>13</v>
      </c>
    </row>
    <row r="40" spans="1:5" x14ac:dyDescent="0.4">
      <c r="A40" s="52" t="s">
        <v>117</v>
      </c>
      <c r="B40" s="15" t="s">
        <v>67</v>
      </c>
      <c r="C40" s="15">
        <v>13</v>
      </c>
      <c r="D40" s="15">
        <v>13</v>
      </c>
    </row>
    <row r="41" spans="1:5" x14ac:dyDescent="0.4">
      <c r="A41" s="52" t="s">
        <v>118</v>
      </c>
      <c r="B41" s="15" t="s">
        <v>68</v>
      </c>
      <c r="C41" s="15">
        <v>13</v>
      </c>
    </row>
    <row r="42" spans="1:5" x14ac:dyDescent="0.4">
      <c r="A42" s="52" t="s">
        <v>119</v>
      </c>
      <c r="B42" s="15" t="s">
        <v>69</v>
      </c>
      <c r="C42" s="15">
        <v>13</v>
      </c>
    </row>
    <row r="43" spans="1:5" x14ac:dyDescent="0.4">
      <c r="A43" s="52" t="s">
        <v>120</v>
      </c>
      <c r="B43" s="15" t="s">
        <v>70</v>
      </c>
      <c r="C43" s="15">
        <v>13</v>
      </c>
    </row>
    <row r="44" spans="1:5" x14ac:dyDescent="0.4">
      <c r="A44" s="52" t="s">
        <v>121</v>
      </c>
      <c r="B44" s="15" t="s">
        <v>71</v>
      </c>
      <c r="C44" s="15">
        <v>13</v>
      </c>
    </row>
    <row r="45" spans="1:5" x14ac:dyDescent="0.4">
      <c r="A45" s="52" t="s">
        <v>122</v>
      </c>
      <c r="B45" s="15" t="s">
        <v>72</v>
      </c>
      <c r="C45" s="15">
        <v>26</v>
      </c>
      <c r="E45" s="52" t="s">
        <v>130</v>
      </c>
    </row>
    <row r="46" spans="1:5" x14ac:dyDescent="0.4">
      <c r="A46" s="52" t="s">
        <v>123</v>
      </c>
      <c r="B46" s="15" t="s">
        <v>73</v>
      </c>
      <c r="C46" s="15">
        <v>26</v>
      </c>
      <c r="E46" s="52" t="s">
        <v>131</v>
      </c>
    </row>
    <row r="47" spans="1:5" x14ac:dyDescent="0.4">
      <c r="A47" s="52" t="s">
        <v>124</v>
      </c>
      <c r="B47" s="15" t="s">
        <v>74</v>
      </c>
      <c r="C47" s="15">
        <v>26</v>
      </c>
      <c r="E47" s="52" t="s">
        <v>132</v>
      </c>
    </row>
    <row r="48" spans="1:5" x14ac:dyDescent="0.4">
      <c r="A48" s="52" t="s">
        <v>125</v>
      </c>
      <c r="B48" s="15" t="s">
        <v>75</v>
      </c>
      <c r="C48" s="15">
        <v>13</v>
      </c>
    </row>
    <row r="49" spans="1:3" x14ac:dyDescent="0.4">
      <c r="A49" s="52" t="s">
        <v>126</v>
      </c>
      <c r="B49" s="15" t="s">
        <v>76</v>
      </c>
      <c r="C49" s="15">
        <v>13</v>
      </c>
    </row>
    <row r="50" spans="1:3" x14ac:dyDescent="0.4">
      <c r="A50" s="52" t="s">
        <v>127</v>
      </c>
      <c r="B50" s="15" t="s">
        <v>77</v>
      </c>
      <c r="C50" s="15">
        <v>13</v>
      </c>
    </row>
    <row r="51" spans="1:3" x14ac:dyDescent="0.4">
      <c r="A51" s="52" t="s">
        <v>128</v>
      </c>
      <c r="B51" s="15" t="s">
        <v>78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2018-12-19T07:10:53Z</dcterms:modified>
</cp:coreProperties>
</file>