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8364BE00-B7C4-44B8-B79D-C1B100433BBC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D14" i="17"/>
  <c r="C14" i="17"/>
  <c r="D13" i="17"/>
  <c r="D12" i="17"/>
  <c r="C12" i="17"/>
  <c r="C13" i="17" s="1"/>
  <c r="D11" i="17"/>
  <c r="D10" i="17"/>
  <c r="C10" i="17"/>
  <c r="C11" i="17" s="1"/>
  <c r="D9" i="17"/>
  <c r="C9" i="17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V5" i="17" l="1"/>
  <c r="B7" i="17"/>
  <c r="V6" i="17"/>
  <c r="O7" i="17"/>
  <c r="T5" i="17"/>
  <c r="A6" i="17"/>
  <c r="J6" i="17"/>
  <c r="W5" i="17" l="1"/>
  <c r="T6" i="17"/>
  <c r="B8" i="17"/>
  <c r="A8" i="17"/>
  <c r="O8" i="17"/>
  <c r="V7" i="17"/>
  <c r="U6" i="17"/>
  <c r="J7" i="17"/>
  <c r="A7" i="17"/>
  <c r="U7" i="17" l="1"/>
  <c r="J8" i="17"/>
  <c r="B9" i="17"/>
  <c r="A9" i="17" s="1"/>
  <c r="W6" i="17"/>
  <c r="T7" i="17"/>
  <c r="O9" i="17"/>
  <c r="V8" i="17"/>
  <c r="B10" i="17" l="1"/>
  <c r="W7" i="17"/>
  <c r="T8" i="17"/>
  <c r="U8" i="17"/>
  <c r="J9" i="17"/>
  <c r="O10" i="17"/>
  <c r="V9" i="17"/>
  <c r="W8" i="17" l="1"/>
  <c r="T9" i="17"/>
  <c r="B11" i="17"/>
  <c r="V10" i="17"/>
  <c r="O11" i="17"/>
  <c r="U9" i="17"/>
  <c r="J10" i="17"/>
  <c r="A10" i="17"/>
  <c r="A11" i="17" s="1"/>
  <c r="U10" i="17" l="1"/>
  <c r="J11" i="17"/>
  <c r="B12" i="17"/>
  <c r="A12" i="17"/>
  <c r="O12" i="17"/>
  <c r="V11" i="17"/>
  <c r="W9" i="17"/>
  <c r="T10" i="17"/>
  <c r="V12" i="17" l="1"/>
  <c r="O13" i="17"/>
  <c r="W10" i="17"/>
  <c r="T11" i="17"/>
  <c r="B13" i="17"/>
  <c r="A13" i="17"/>
  <c r="U11" i="17"/>
  <c r="J12" i="17"/>
  <c r="T12" i="17" l="1"/>
  <c r="W11" i="17"/>
  <c r="U12" i="17"/>
  <c r="J13" i="17"/>
  <c r="O14" i="17"/>
  <c r="V14" i="17" s="1"/>
  <c r="V13" i="17"/>
  <c r="B14" i="17"/>
  <c r="A14" i="17" s="1"/>
  <c r="W12" i="17" l="1"/>
  <c r="T13" i="17"/>
  <c r="U13" i="17"/>
  <c r="J14" i="17"/>
  <c r="U14" i="17" s="1"/>
  <c r="W13" i="17" l="1"/>
  <c r="T14" i="17"/>
  <c r="W14" i="17" s="1"/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 s="1"/>
  <c r="T13" i="16"/>
  <c r="W13" i="16" s="1"/>
  <c r="O13" i="16"/>
  <c r="V13" i="16" s="1"/>
  <c r="J13" i="16"/>
  <c r="U13" i="16" s="1"/>
  <c r="D13" i="16"/>
  <c r="C13" i="16"/>
  <c r="B13" i="16"/>
  <c r="A13" i="16" s="1"/>
  <c r="T12" i="16"/>
  <c r="W12" i="16" s="1"/>
  <c r="O12" i="16"/>
  <c r="V12" i="16" s="1"/>
  <c r="J12" i="16"/>
  <c r="U12" i="16" s="1"/>
  <c r="D12" i="16"/>
  <c r="C12" i="16"/>
  <c r="B12" i="16"/>
  <c r="A12" i="16" s="1"/>
  <c r="T11" i="16"/>
  <c r="W11" i="16" s="1"/>
  <c r="O11" i="16"/>
  <c r="V11" i="16" s="1"/>
  <c r="J11" i="16"/>
  <c r="U11" i="16" s="1"/>
  <c r="D11" i="16"/>
  <c r="C11" i="16"/>
  <c r="B11" i="16"/>
  <c r="A11" i="16" s="1"/>
  <c r="T10" i="16"/>
  <c r="W10" i="16" s="1"/>
  <c r="O10" i="16"/>
  <c r="V10" i="16" s="1"/>
  <c r="J10" i="16"/>
  <c r="U10" i="16" s="1"/>
  <c r="D10" i="16"/>
  <c r="C10" i="16"/>
  <c r="B10" i="16"/>
  <c r="A10" i="16"/>
  <c r="D9" i="16"/>
  <c r="C9" i="16"/>
  <c r="D8" i="16"/>
  <c r="C8" i="16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6" l="1"/>
  <c r="V5" i="16"/>
  <c r="B7" i="16"/>
  <c r="V6" i="16"/>
  <c r="O7" i="16"/>
  <c r="T5" i="16"/>
  <c r="A6" i="16"/>
  <c r="J6" i="16"/>
  <c r="W5" i="16" l="1"/>
  <c r="T6" i="16"/>
  <c r="U6" i="16"/>
  <c r="J7" i="16"/>
  <c r="B8" i="16"/>
  <c r="A8" i="16" s="1"/>
  <c r="O8" i="16"/>
  <c r="V7" i="16"/>
  <c r="A7" i="16"/>
  <c r="U7" i="16" l="1"/>
  <c r="J8" i="16"/>
  <c r="V8" i="16"/>
  <c r="O9" i="16"/>
  <c r="V9" i="16" s="1"/>
  <c r="W6" i="16"/>
  <c r="T7" i="16"/>
  <c r="B9" i="16"/>
  <c r="A9" i="16" s="1"/>
  <c r="T8" i="16" l="1"/>
  <c r="W7" i="16"/>
  <c r="J9" i="16"/>
  <c r="U9" i="16" s="1"/>
  <c r="U8" i="16"/>
  <c r="W8" i="16" l="1"/>
  <c r="T9" i="16"/>
  <c r="W9" i="16" s="1"/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<sst xmlns="http://schemas.openxmlformats.org/spreadsheetml/2006/main" count="718" uniqueCount="154">
  <si>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</si>
  <si>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</si>
  <si>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</si>
  <si>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</si>
  <si>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</si>
  <si>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</si>
  <si>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</si>
  <si>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</si>
  <si>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</si>
  <si>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</si>
  <si>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</si>
  <si>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</si>
  <si>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</si>
  <si>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</si>
  <si>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</si>
  <si>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</si>
  <si>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</si>
  <si>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</si>
  <si>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</si>
  <si>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</si>
  <si>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</si>
  <si>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</si>
  <si>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</si>
  <si>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</si>
  <si>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</si>
  <si>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</si>
  <si>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</si>
  <si>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</si>
  <si>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</si>
  <si>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</si>
  <si>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</si>
  <si>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</si>
  <si>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</si>
  <si>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</si>
  <si>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</si>
  <si>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</si>
  <si>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</si>
  <si>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</si>
  <si>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</si>
  <si>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</si>
  <si>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</si>
  <si>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</si>
  <si>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</si>
  <si>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</si>
  <si>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</si>
  <si>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</si>
  <si>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</si>
  <si>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</si>
  <si>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</si>
  <si>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</si>
  <si>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</si>
  <si>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</si>
  <si>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</si>
  <si>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</si>
  <si>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</si>
  <si>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</si>
  <si>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</si>
  <si>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</si>
  <si>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</si>
  <si>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</si>
  <si>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</si>
  <si>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</si>
  <si>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</si>
  <si>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</si>
  <si>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</si>
  <si>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</si>
  <si>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</si>
  <si>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</si>
  <si>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</si>
  <si>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</si>
  <si>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</si>
  <si>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</si>
  <si>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</si>
  <si>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</si>
  <si>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</si>
  <si>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</si>
  <si>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</si>
  <si>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</si>
  <si>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</si>
  <si>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</si>
  <si>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</si>
  <si>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</si>
  <si>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</si>
  <si>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</si>
  <si>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</si>
  <si>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</si>
  <si>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</si>
  <si>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</si>
  <si>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</si>
  <si>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</si>
  <si>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</si>
  <si>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</si>
  <si>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</si>
  <si>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</si>
  <si>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</si>
  <si>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</si>
  <si>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</si>
  <si>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</si>
  <si>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</si>
  <si>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</si>
  <si>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</si>
  <si>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</si>
  <si>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</si>
  <si>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</si>
  <si>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</si>
  <si>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</si>
  <si>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</si>
  <si>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</si>
  <si>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</si>
  <si>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</si>
  <si>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</si>
  <si>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</si>
  <si>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</si>
  <si>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</si>
  <si>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</si>
  <si>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</si>
  <si>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</si>
  <si>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</si>
  <si>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</si>
  <si>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</si>
  <si>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</si>
  <si>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</si>
  <si>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</si>
  <si>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</si>
  <si>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</si>
  <si>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</si>
  <si>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</si>
  <si>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</si>
  <si>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</si>
  <si>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</si>
  <si>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</si>
  <si>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</si>
  <si>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</si>
  <si>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</si>
  <si>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</si>
  <si>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</si>
  <si>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</si>
  <si>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</si>
  <si>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</si>
  <si>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</si>
  <si>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</si>
  <si>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ロン</t>
  </si>
  <si>
    <t>放銃</t>
  </si>
  <si>
    <t>*</t>
  </si>
  <si>
    <t>01</t>
  </si>
  <si>
    <t>02</t>
  </si>
  <si>
    <t>T</t>
  </si>
  <si>
    <t>N</t>
  </si>
  <si>
    <t>流局</t>
    <phoneticPr fontId="1"/>
  </si>
  <si>
    <t>ツモ支払</t>
  </si>
  <si>
    <t>ツモ</t>
  </si>
  <si>
    <t>あさひ</t>
  </si>
  <si>
    <t>あさひ</t>
    <phoneticPr fontId="1"/>
  </si>
  <si>
    <t>ともき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</si>
</sst>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142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/>
      <c r="Q4" s="9"/>
      <c r="R4" s="9"/>
      <c r="S4" s="55"/>
      <c r="T4" s="21">
        <f>IF(COUNTA($F4,$K4,$P4)&gt;0,T3+SUM(Q4:S4),"")</f>
        <v>35000</v>
      </c>
      <c r="U4" s="66">
        <f t="shared" ref="U4:U30" si="0">IF($J4="","",ROUND(($J4-$J$3)/1000,1))</f>
        <v>12</v>
      </c>
      <c r="V4" s="67">
        <f t="shared" ref="V4:V30" si="1">IF($O4="","",ROUND(($O4-$O$3)/1000,1))</f>
        <v>-12</v>
      </c>
      <c r="W4" s="68">
        <f t="shared" ref="W4:W30" si="2">IF($T4="","",ROUND(($T4-$T$3)/1000,1))</f>
        <v>0</v>
      </c>
      <c r="Y4" s="8"/>
      <c r="Z4" s="41"/>
      <c r="AA4" s="32">
        <v>1</v>
      </c>
      <c r="AB4" s="32"/>
      <c r="AC4" s="32">
        <v>6</v>
      </c>
      <c r="AD4" s="36" t="s">
        <v>143</v>
      </c>
      <c r="AE4" s="47" t="s">
        <v>144</v>
      </c>
      <c r="AF4" s="48" t="s">
        <v>145</v>
      </c>
      <c r="AG4" s="48" t="s">
        <v>80</v>
      </c>
      <c r="AH4" s="48" t="s">
        <v>80</v>
      </c>
      <c r="AI4" s="48" t="s">
        <v>80</v>
      </c>
      <c r="AJ4" s="48" t="s">
        <v>80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148</v>
      </c>
      <c r="G5" s="9">
        <v>1500</v>
      </c>
      <c r="H5" s="9"/>
      <c r="I5" s="55"/>
      <c r="J5" s="21">
        <f t="shared" ref="J5:J30" si="6">IF(COUNTA($F5,$K5,$P5)&gt;0,J4+SUM(G5:I5),"")</f>
        <v>48500</v>
      </c>
      <c r="K5" s="8" t="s">
        <v>148</v>
      </c>
      <c r="L5" s="9">
        <v>1500</v>
      </c>
      <c r="M5" s="9">
        <v>-1000</v>
      </c>
      <c r="N5" s="55"/>
      <c r="O5" s="21">
        <f t="shared" ref="O5:O30" si="7">IF(COUNTA($F5,$K5,$P5)&gt;0,O4+SUM(L5:N5),"")</f>
        <v>23500</v>
      </c>
      <c r="P5" s="8" t="s">
        <v>148</v>
      </c>
      <c r="Q5" s="9">
        <v>-3000</v>
      </c>
      <c r="R5" s="9"/>
      <c r="S5" s="55"/>
      <c r="T5" s="21">
        <f t="shared" ref="T5:T30" si="8">IF(COUNTA($F5,$K5,$P5)&gt;0,T4+SUM(Q5:S5),"")</f>
        <v>32000</v>
      </c>
      <c r="U5" s="66">
        <f t="shared" si="0"/>
        <v>13.5</v>
      </c>
      <c r="V5" s="67">
        <f t="shared" si="1"/>
        <v>-11.5</v>
      </c>
      <c r="W5" s="68">
        <f t="shared" si="2"/>
        <v>-3</v>
      </c>
      <c r="Y5" s="8" t="s">
        <v>146</v>
      </c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146</v>
      </c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147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1</v>
      </c>
      <c r="E6" s="4" t="s">
        <v>135</v>
      </c>
      <c r="F6" s="8" t="s">
        <v>149</v>
      </c>
      <c r="G6" s="9">
        <v>-2500</v>
      </c>
      <c r="H6" s="9"/>
      <c r="I6" s="55">
        <v>0</v>
      </c>
      <c r="J6" s="21">
        <f t="shared" si="6"/>
        <v>46000</v>
      </c>
      <c r="K6" s="8" t="s">
        <v>150</v>
      </c>
      <c r="L6" s="9">
        <v>4000</v>
      </c>
      <c r="M6" s="9">
        <v>1000</v>
      </c>
      <c r="N6" s="55">
        <v>0</v>
      </c>
      <c r="O6" s="21">
        <f t="shared" si="7"/>
        <v>28500</v>
      </c>
      <c r="P6" s="8" t="s">
        <v>149</v>
      </c>
      <c r="Q6" s="9">
        <v>-1500</v>
      </c>
      <c r="R6" s="9"/>
      <c r="S6" s="55">
        <v>0</v>
      </c>
      <c r="T6" s="21">
        <f t="shared" si="8"/>
        <v>30500</v>
      </c>
      <c r="U6" s="66">
        <f t="shared" si="0"/>
        <v>11</v>
      </c>
      <c r="V6" s="67">
        <f t="shared" si="1"/>
        <v>-6.5</v>
      </c>
      <c r="W6" s="68">
        <f t="shared" si="2"/>
        <v>-4.5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3</v>
      </c>
      <c r="AY6" s="36">
        <v>30</v>
      </c>
      <c r="AZ6" s="47" t="s">
        <v>144</v>
      </c>
      <c r="BA6" s="48" t="s">
        <v>83</v>
      </c>
      <c r="BB6" s="48" t="s">
        <v>85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南</v>
      </c>
      <c r="B7" s="18">
        <f t="shared" si="9"/>
        <v>1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137</v>
      </c>
      <c r="F7" s="8" t="s">
        <v>141</v>
      </c>
      <c r="G7" s="9">
        <v>8000</v>
      </c>
      <c r="H7" s="9">
        <v>1000</v>
      </c>
      <c r="I7" s="55">
        <v>0</v>
      </c>
      <c r="J7" s="21">
        <f t="shared" si="6"/>
        <v>55000</v>
      </c>
      <c r="K7" s="8"/>
      <c r="L7" s="9"/>
      <c r="M7" s="9"/>
      <c r="N7" s="55"/>
      <c r="O7" s="21">
        <f t="shared" si="7"/>
        <v>28500</v>
      </c>
      <c r="P7" s="8" t="s">
        <v>142</v>
      </c>
      <c r="Q7" s="9">
        <v>-8000</v>
      </c>
      <c r="R7" s="9">
        <v>-1000</v>
      </c>
      <c r="S7" s="55">
        <v>0</v>
      </c>
      <c r="T7" s="21">
        <f t="shared" si="8"/>
        <v>21500</v>
      </c>
      <c r="U7" s="66">
        <f t="shared" si="0"/>
        <v>20</v>
      </c>
      <c r="V7" s="67">
        <f t="shared" si="1"/>
        <v>-6.5</v>
      </c>
      <c r="W7" s="68">
        <f t="shared" si="2"/>
        <v>-13.5</v>
      </c>
      <c r="Y7" s="8"/>
      <c r="Z7" s="41"/>
      <c r="AA7" s="32"/>
      <c r="AB7" s="32">
        <v>1</v>
      </c>
      <c r="AC7" s="32">
        <v>4</v>
      </c>
      <c r="AD7" s="36">
        <v>30</v>
      </c>
      <c r="AE7" s="47" t="s">
        <v>105</v>
      </c>
      <c r="AF7" s="48" t="s">
        <v>80</v>
      </c>
      <c r="AG7" s="48" t="s">
        <v>87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9"/>
        <v>2</v>
      </c>
      <c r="C8" s="18">
        <f t="shared" si="11"/>
        <v>0</v>
      </c>
      <c r="D8" s="18">
        <f t="shared" si="5"/>
        <v>0</v>
      </c>
      <c r="E8" s="4" t="s">
        <v>139</v>
      </c>
      <c r="F8" s="8"/>
      <c r="G8" s="9"/>
      <c r="H8" s="9"/>
      <c r="I8" s="55"/>
      <c r="J8" s="21">
        <f t="shared" si="6"/>
        <v>55000</v>
      </c>
      <c r="K8" s="8" t="s">
        <v>141</v>
      </c>
      <c r="L8" s="9">
        <v>2600</v>
      </c>
      <c r="M8" s="9"/>
      <c r="N8" s="55">
        <v>0</v>
      </c>
      <c r="O8" s="21">
        <f t="shared" si="7"/>
        <v>31100</v>
      </c>
      <c r="P8" s="8" t="s">
        <v>142</v>
      </c>
      <c r="Q8" s="9">
        <v>-2600</v>
      </c>
      <c r="R8" s="9"/>
      <c r="S8" s="55">
        <v>0</v>
      </c>
      <c r="T8" s="21">
        <f t="shared" si="8"/>
        <v>18900</v>
      </c>
      <c r="U8" s="66">
        <f t="shared" si="0"/>
        <v>20</v>
      </c>
      <c r="V8" s="67">
        <f t="shared" si="1"/>
        <v>-3.9</v>
      </c>
      <c r="W8" s="68">
        <f t="shared" si="2"/>
        <v>-16.100000000000001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2</v>
      </c>
      <c r="AY8" s="36">
        <v>40</v>
      </c>
      <c r="AZ8" s="47" t="s">
        <v>82</v>
      </c>
      <c r="BA8" s="48" t="s">
        <v>85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3</v>
      </c>
      <c r="C9" s="18">
        <f t="shared" si="11"/>
        <v>0</v>
      </c>
      <c r="D9" s="18">
        <f t="shared" si="5"/>
        <v>0</v>
      </c>
      <c r="E9" s="4" t="s">
        <v>135</v>
      </c>
      <c r="F9" s="8" t="s">
        <v>150</v>
      </c>
      <c r="G9" s="9">
        <v>4000</v>
      </c>
      <c r="H9" s="9"/>
      <c r="I9" s="55">
        <v>0</v>
      </c>
      <c r="J9" s="21">
        <f t="shared" si="6"/>
        <v>59000</v>
      </c>
      <c r="K9" s="8" t="s">
        <v>149</v>
      </c>
      <c r="L9" s="9">
        <v>-2000</v>
      </c>
      <c r="M9" s="9"/>
      <c r="N9" s="55">
        <v>0</v>
      </c>
      <c r="O9" s="21">
        <f t="shared" si="7"/>
        <v>29100</v>
      </c>
      <c r="P9" s="8" t="s">
        <v>149</v>
      </c>
      <c r="Q9" s="9">
        <v>-2000</v>
      </c>
      <c r="R9" s="9"/>
      <c r="S9" s="55">
        <v>0</v>
      </c>
      <c r="T9" s="21">
        <f t="shared" si="8"/>
        <v>16900</v>
      </c>
      <c r="U9" s="66">
        <f t="shared" si="0"/>
        <v>24</v>
      </c>
      <c r="V9" s="67">
        <f t="shared" si="1"/>
        <v>-5.9</v>
      </c>
      <c r="W9" s="68">
        <f t="shared" si="2"/>
        <v>-18.100000000000001</v>
      </c>
      <c r="Y9" s="8"/>
      <c r="Z9" s="41"/>
      <c r="AA9" s="32">
        <v>1</v>
      </c>
      <c r="AB9" s="32"/>
      <c r="AC9" s="32">
        <v>3</v>
      </c>
      <c r="AD9" s="36">
        <v>20</v>
      </c>
      <c r="AE9" s="47" t="s">
        <v>144</v>
      </c>
      <c r="AF9" s="48" t="s">
        <v>83</v>
      </c>
      <c r="AG9" s="48" t="s">
        <v>84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6A64A-8372-42B6-8302-DAA6ECC41BF4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152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あさひ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あさひ</v>
      </c>
      <c r="V2" s="62" t="str">
        <f>$K$1</f>
        <v>りくと</v>
      </c>
      <c r="W2" s="16" t="str">
        <f>$P$1</f>
        <v>れんたろう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141</v>
      </c>
      <c r="G4" s="9">
        <v>9600</v>
      </c>
      <c r="H4" s="9">
        <v>1000</v>
      </c>
      <c r="I4" s="55">
        <v>0</v>
      </c>
      <c r="J4" s="21">
        <f>IF(COUNTA($F4,$K4,$P4)&gt;0,J3+SUM(G4:I4),"")</f>
        <v>45600</v>
      </c>
      <c r="K4" s="8" t="s">
        <v>142</v>
      </c>
      <c r="L4" s="9">
        <v>-9600</v>
      </c>
      <c r="M4" s="9">
        <v>-1000</v>
      </c>
      <c r="N4" s="55">
        <v>0</v>
      </c>
      <c r="O4" s="21">
        <f>IF(COUNTA($F4,$K4,$P4)&gt;0,O3+SUM(L4:N4),"")</f>
        <v>24400</v>
      </c>
      <c r="P4" s="8"/>
      <c r="Q4" s="9"/>
      <c r="R4" s="9"/>
      <c r="S4" s="55"/>
      <c r="T4" s="21">
        <f>IF(COUNTA($F4,$K4,$P4)&gt;0,T3+SUM(Q4:S4),"")</f>
        <v>35000</v>
      </c>
      <c r="U4" s="66">
        <f t="shared" ref="U4:U30" si="0">IF($J4="","",ROUND(($J4-$J$3)/1000,1))</f>
        <v>10.6</v>
      </c>
      <c r="V4" s="67">
        <f t="shared" ref="V4:V30" si="1">IF($O4="","",ROUND(($O4-$O$3)/1000,1))</f>
        <v>-10.6</v>
      </c>
      <c r="W4" s="68">
        <f t="shared" ref="W4:W30" si="2">IF($T4="","",ROUND(($T4-$T$3)/1000,1))</f>
        <v>0</v>
      </c>
      <c r="Y4" s="8"/>
      <c r="Z4" s="41"/>
      <c r="AA4" s="32">
        <v>1</v>
      </c>
      <c r="AB4" s="32"/>
      <c r="AC4" s="32">
        <v>4</v>
      </c>
      <c r="AD4" s="36">
        <v>25</v>
      </c>
      <c r="AE4" s="47" t="s">
        <v>144</v>
      </c>
      <c r="AF4" s="48" t="s">
        <v>102</v>
      </c>
      <c r="AG4" s="48" t="s">
        <v>82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151</v>
      </c>
      <c r="F5" s="8" t="s">
        <v>141</v>
      </c>
      <c r="G5" s="9">
        <v>12000</v>
      </c>
      <c r="H5" s="9"/>
      <c r="I5" s="55">
        <v>1000</v>
      </c>
      <c r="J5" s="21">
        <f t="shared" ref="J5:J30" si="6">IF(COUNTA($F5,$K5,$P5)&gt;0,J4+SUM(G5:I5),"")</f>
        <v>58600</v>
      </c>
      <c r="K5" s="8"/>
      <c r="L5" s="9"/>
      <c r="M5" s="9"/>
      <c r="N5" s="55"/>
      <c r="O5" s="21">
        <f t="shared" ref="O5:O30" si="7">IF(COUNTA($F5,$K5,$P5)&gt;0,O4+SUM(L5:N5),"")</f>
        <v>24400</v>
      </c>
      <c r="P5" s="8" t="s">
        <v>142</v>
      </c>
      <c r="Q5" s="9">
        <v>-12000</v>
      </c>
      <c r="R5" s="9"/>
      <c r="S5" s="55">
        <v>-1000</v>
      </c>
      <c r="T5" s="21">
        <f t="shared" ref="T5:T30" si="8">IF(COUNTA($F5,$K5,$P5)&gt;0,T4+SUM(Q5:S5),"")</f>
        <v>22000</v>
      </c>
      <c r="U5" s="66">
        <f t="shared" si="0"/>
        <v>23.6</v>
      </c>
      <c r="V5" s="67">
        <f t="shared" si="1"/>
        <v>-10.6</v>
      </c>
      <c r="W5" s="68">
        <f t="shared" si="2"/>
        <v>-13</v>
      </c>
      <c r="Y5" s="8"/>
      <c r="Z5" s="41"/>
      <c r="AA5" s="32">
        <v>1</v>
      </c>
      <c r="AB5" s="32"/>
      <c r="AC5" s="32">
        <v>4</v>
      </c>
      <c r="AD5" s="36">
        <v>40</v>
      </c>
      <c r="AE5" s="47" t="s">
        <v>144</v>
      </c>
      <c r="AF5" s="48" t="s">
        <v>87</v>
      </c>
      <c r="AG5" s="48" t="s">
        <v>82</v>
      </c>
      <c r="AH5" s="48" t="s">
        <v>81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151</v>
      </c>
      <c r="F6" s="8" t="s">
        <v>149</v>
      </c>
      <c r="G6" s="9">
        <v>-2500</v>
      </c>
      <c r="H6" s="9"/>
      <c r="I6" s="55">
        <v>-1000</v>
      </c>
      <c r="J6" s="21">
        <f t="shared" si="6"/>
        <v>55100</v>
      </c>
      <c r="K6" s="8" t="s">
        <v>150</v>
      </c>
      <c r="L6" s="9">
        <v>4000</v>
      </c>
      <c r="M6" s="9"/>
      <c r="N6" s="55">
        <v>2000</v>
      </c>
      <c r="O6" s="21">
        <f t="shared" si="7"/>
        <v>30400</v>
      </c>
      <c r="P6" s="8" t="s">
        <v>149</v>
      </c>
      <c r="Q6" s="9">
        <v>-1500</v>
      </c>
      <c r="R6" s="9"/>
      <c r="S6" s="55">
        <v>-1000</v>
      </c>
      <c r="T6" s="21">
        <f t="shared" si="8"/>
        <v>19500</v>
      </c>
      <c r="U6" s="66">
        <f t="shared" si="0"/>
        <v>20.100000000000001</v>
      </c>
      <c r="V6" s="67">
        <f t="shared" si="1"/>
        <v>-4.5999999999999996</v>
      </c>
      <c r="W6" s="68">
        <f t="shared" si="2"/>
        <v>-15.5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3</v>
      </c>
      <c r="AY6" s="36">
        <v>30</v>
      </c>
      <c r="AZ6" s="47" t="s">
        <v>87</v>
      </c>
      <c r="BA6" s="48" t="s">
        <v>87</v>
      </c>
      <c r="BB6" s="48" t="s">
        <v>82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0</v>
      </c>
      <c r="D7" s="18">
        <f t="shared" si="5"/>
        <v>0</v>
      </c>
      <c r="E7" s="4" t="s">
        <v>137</v>
      </c>
      <c r="F7" s="8" t="s">
        <v>142</v>
      </c>
      <c r="G7" s="9">
        <v>-8000</v>
      </c>
      <c r="H7" s="9"/>
      <c r="I7" s="55">
        <v>0</v>
      </c>
      <c r="J7" s="21">
        <f t="shared" si="6"/>
        <v>47100</v>
      </c>
      <c r="K7" s="8"/>
      <c r="L7" s="9"/>
      <c r="M7" s="9"/>
      <c r="N7" s="55"/>
      <c r="O7" s="21">
        <f t="shared" si="7"/>
        <v>30400</v>
      </c>
      <c r="P7" s="8" t="s">
        <v>141</v>
      </c>
      <c r="Q7" s="9">
        <v>8000</v>
      </c>
      <c r="R7" s="9"/>
      <c r="S7" s="55">
        <v>0</v>
      </c>
      <c r="T7" s="21">
        <f t="shared" si="8"/>
        <v>27500</v>
      </c>
      <c r="U7" s="66">
        <f t="shared" si="0"/>
        <v>12.1</v>
      </c>
      <c r="V7" s="67">
        <f t="shared" si="1"/>
        <v>-4.5999999999999996</v>
      </c>
      <c r="W7" s="68">
        <f t="shared" si="2"/>
        <v>-7.5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4</v>
      </c>
      <c r="BT7" s="36">
        <v>40</v>
      </c>
      <c r="BU7" s="47" t="s">
        <v>144</v>
      </c>
      <c r="BV7" s="48" t="s">
        <v>82</v>
      </c>
      <c r="BW7" s="48" t="s">
        <v>82</v>
      </c>
      <c r="BX7" s="48" t="s">
        <v>80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150</v>
      </c>
      <c r="G8" s="9">
        <v>8000</v>
      </c>
      <c r="H8" s="9"/>
      <c r="I8" s="55">
        <v>0</v>
      </c>
      <c r="J8" s="21">
        <f t="shared" si="6"/>
        <v>55100</v>
      </c>
      <c r="K8" s="8" t="s">
        <v>149</v>
      </c>
      <c r="L8" s="9">
        <v>-3000</v>
      </c>
      <c r="M8" s="9"/>
      <c r="N8" s="55">
        <v>0</v>
      </c>
      <c r="O8" s="21">
        <f t="shared" si="7"/>
        <v>27400</v>
      </c>
      <c r="P8" s="8" t="s">
        <v>149</v>
      </c>
      <c r="Q8" s="9">
        <v>-5000</v>
      </c>
      <c r="R8" s="9"/>
      <c r="S8" s="55">
        <v>0</v>
      </c>
      <c r="T8" s="21">
        <f t="shared" si="8"/>
        <v>22500</v>
      </c>
      <c r="U8" s="66">
        <f t="shared" si="0"/>
        <v>20.100000000000001</v>
      </c>
      <c r="V8" s="67">
        <f t="shared" si="1"/>
        <v>-7.6</v>
      </c>
      <c r="W8" s="68">
        <f t="shared" si="2"/>
        <v>-12.5</v>
      </c>
      <c r="Y8" s="8"/>
      <c r="Z8" s="41"/>
      <c r="AA8" s="32"/>
      <c r="AB8" s="32">
        <v>1</v>
      </c>
      <c r="AC8" s="32">
        <v>5</v>
      </c>
      <c r="AD8" s="36" t="s">
        <v>143</v>
      </c>
      <c r="AE8" s="47" t="s">
        <v>105</v>
      </c>
      <c r="AF8" s="48" t="s">
        <v>82</v>
      </c>
      <c r="AG8" s="48" t="s">
        <v>87</v>
      </c>
      <c r="AH8" s="48" t="s">
        <v>80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151</v>
      </c>
      <c r="F9" s="8" t="s">
        <v>141</v>
      </c>
      <c r="G9" s="9">
        <v>7700</v>
      </c>
      <c r="H9" s="9"/>
      <c r="I9" s="55">
        <v>0</v>
      </c>
      <c r="J9" s="21">
        <f t="shared" si="6"/>
        <v>62800</v>
      </c>
      <c r="K9" s="8" t="s">
        <v>142</v>
      </c>
      <c r="L9" s="9">
        <v>-7700</v>
      </c>
      <c r="M9" s="9"/>
      <c r="N9" s="55">
        <v>0</v>
      </c>
      <c r="O9" s="21">
        <f t="shared" si="7"/>
        <v>19700</v>
      </c>
      <c r="P9" s="8"/>
      <c r="Q9" s="9"/>
      <c r="R9" s="9"/>
      <c r="S9" s="55"/>
      <c r="T9" s="21">
        <f t="shared" si="8"/>
        <v>22500</v>
      </c>
      <c r="U9" s="66">
        <f t="shared" si="0"/>
        <v>27.8</v>
      </c>
      <c r="V9" s="67">
        <f t="shared" si="1"/>
        <v>-15.3</v>
      </c>
      <c r="W9" s="68">
        <f t="shared" si="2"/>
        <v>-12.5</v>
      </c>
      <c r="Y9" s="8"/>
      <c r="Z9" s="41"/>
      <c r="AA9" s="32">
        <v>1</v>
      </c>
      <c r="AB9" s="32"/>
      <c r="AC9" s="32">
        <v>3</v>
      </c>
      <c r="AD9" s="36">
        <v>40</v>
      </c>
      <c r="AE9" s="47" t="s">
        <v>144</v>
      </c>
      <c r="AF9" s="48" t="s">
        <v>81</v>
      </c>
      <c r="AG9" s="48" t="s">
        <v>85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1</v>
      </c>
      <c r="D10" s="18">
        <f t="shared" si="5"/>
        <v>0</v>
      </c>
      <c r="E10" s="4" t="s">
        <v>151</v>
      </c>
      <c r="F10" s="8" t="s">
        <v>141</v>
      </c>
      <c r="G10" s="9">
        <v>3900</v>
      </c>
      <c r="H10" s="9"/>
      <c r="I10" s="55">
        <v>1000</v>
      </c>
      <c r="J10" s="21">
        <f t="shared" si="6"/>
        <v>67700</v>
      </c>
      <c r="K10" s="8" t="s">
        <v>142</v>
      </c>
      <c r="L10" s="9">
        <v>-3900</v>
      </c>
      <c r="M10" s="9"/>
      <c r="N10" s="55">
        <v>-1000</v>
      </c>
      <c r="O10" s="21">
        <f t="shared" si="7"/>
        <v>14800</v>
      </c>
      <c r="P10" s="8"/>
      <c r="Q10" s="9"/>
      <c r="R10" s="9"/>
      <c r="S10" s="55"/>
      <c r="T10" s="21">
        <f t="shared" si="8"/>
        <v>22500</v>
      </c>
      <c r="U10" s="66">
        <f t="shared" si="0"/>
        <v>32.700000000000003</v>
      </c>
      <c r="V10" s="67">
        <f t="shared" si="1"/>
        <v>-20.2</v>
      </c>
      <c r="W10" s="68">
        <f t="shared" si="2"/>
        <v>-12.5</v>
      </c>
      <c r="Y10" s="8"/>
      <c r="Z10" s="41"/>
      <c r="AA10" s="32">
        <v>1</v>
      </c>
      <c r="AB10" s="32"/>
      <c r="AC10" s="32">
        <v>2</v>
      </c>
      <c r="AD10" s="36">
        <v>40</v>
      </c>
      <c r="AE10" s="47" t="s">
        <v>144</v>
      </c>
      <c r="AF10" s="48" t="s">
        <v>145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2</v>
      </c>
      <c r="D11" s="18">
        <f t="shared" si="5"/>
        <v>0</v>
      </c>
      <c r="E11" s="4" t="s">
        <v>151</v>
      </c>
      <c r="F11" s="8"/>
      <c r="G11" s="9"/>
      <c r="H11" s="9">
        <v>-1000</v>
      </c>
      <c r="I11" s="55"/>
      <c r="J11" s="21">
        <f t="shared" si="6"/>
        <v>66700</v>
      </c>
      <c r="K11" s="8" t="s">
        <v>142</v>
      </c>
      <c r="L11" s="9">
        <v>-8000</v>
      </c>
      <c r="M11" s="9"/>
      <c r="N11" s="55">
        <v>-2000</v>
      </c>
      <c r="O11" s="21">
        <f t="shared" si="7"/>
        <v>4800</v>
      </c>
      <c r="P11" s="8" t="s">
        <v>141</v>
      </c>
      <c r="Q11" s="9">
        <v>8000</v>
      </c>
      <c r="R11" s="9">
        <v>1000</v>
      </c>
      <c r="S11" s="55">
        <v>2000</v>
      </c>
      <c r="T11" s="21">
        <f t="shared" si="8"/>
        <v>33500</v>
      </c>
      <c r="U11" s="66">
        <f t="shared" si="0"/>
        <v>31.7</v>
      </c>
      <c r="V11" s="67">
        <f t="shared" si="1"/>
        <v>-30.2</v>
      </c>
      <c r="W11" s="68">
        <f t="shared" si="2"/>
        <v>-1.5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4</v>
      </c>
      <c r="BT11" s="36">
        <v>30</v>
      </c>
      <c r="BU11" s="47" t="s">
        <v>87</v>
      </c>
      <c r="BV11" s="48" t="s">
        <v>87</v>
      </c>
      <c r="BW11" s="48" t="s">
        <v>105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0</v>
      </c>
      <c r="D12" s="18">
        <f t="shared" si="5"/>
        <v>0</v>
      </c>
      <c r="E12" s="4" t="s">
        <v>137</v>
      </c>
      <c r="F12" s="8"/>
      <c r="G12" s="9"/>
      <c r="H12" s="9"/>
      <c r="I12" s="55"/>
      <c r="J12" s="21">
        <f t="shared" si="6"/>
        <v>66700</v>
      </c>
      <c r="K12" s="8" t="s">
        <v>141</v>
      </c>
      <c r="L12" s="9">
        <v>18000</v>
      </c>
      <c r="M12" s="9"/>
      <c r="N12" s="55">
        <v>0</v>
      </c>
      <c r="O12" s="21">
        <f t="shared" si="7"/>
        <v>22800</v>
      </c>
      <c r="P12" s="8" t="s">
        <v>142</v>
      </c>
      <c r="Q12" s="9">
        <v>-18000</v>
      </c>
      <c r="R12" s="9"/>
      <c r="S12" s="55">
        <v>0</v>
      </c>
      <c r="T12" s="21">
        <f t="shared" si="8"/>
        <v>15500</v>
      </c>
      <c r="U12" s="66">
        <f t="shared" si="0"/>
        <v>31.7</v>
      </c>
      <c r="V12" s="67">
        <f t="shared" si="1"/>
        <v>-12.2</v>
      </c>
      <c r="W12" s="68">
        <f t="shared" si="2"/>
        <v>-19.5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7</v>
      </c>
      <c r="AY12" s="36" t="s">
        <v>143</v>
      </c>
      <c r="AZ12" s="47" t="s">
        <v>107</v>
      </c>
      <c r="BA12" s="48" t="s">
        <v>99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2</v>
      </c>
      <c r="C13" s="18">
        <f t="shared" si="4"/>
        <v>1</v>
      </c>
      <c r="D13" s="18">
        <f t="shared" si="5"/>
        <v>0</v>
      </c>
      <c r="E13" s="4" t="s">
        <v>137</v>
      </c>
      <c r="F13" s="8" t="s">
        <v>149</v>
      </c>
      <c r="G13" s="9">
        <v>-4500</v>
      </c>
      <c r="H13" s="9"/>
      <c r="I13" s="55">
        <v>-500</v>
      </c>
      <c r="J13" s="21">
        <f t="shared" si="6"/>
        <v>61700</v>
      </c>
      <c r="K13" s="8" t="s">
        <v>149</v>
      </c>
      <c r="L13" s="9">
        <v>-7500</v>
      </c>
      <c r="M13" s="9"/>
      <c r="N13" s="55">
        <v>-500</v>
      </c>
      <c r="O13" s="21">
        <f t="shared" si="7"/>
        <v>14800</v>
      </c>
      <c r="P13" s="8" t="s">
        <v>150</v>
      </c>
      <c r="Q13" s="9">
        <v>12000</v>
      </c>
      <c r="R13" s="9"/>
      <c r="S13" s="55">
        <v>1000</v>
      </c>
      <c r="T13" s="21">
        <f t="shared" si="8"/>
        <v>28500</v>
      </c>
      <c r="U13" s="66">
        <f t="shared" si="0"/>
        <v>26.7</v>
      </c>
      <c r="V13" s="67">
        <f t="shared" si="1"/>
        <v>-20.2</v>
      </c>
      <c r="W13" s="68">
        <f t="shared" si="2"/>
        <v>-6.5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6</v>
      </c>
      <c r="BT13" s="36" t="s">
        <v>143</v>
      </c>
      <c r="BU13" s="47" t="s">
        <v>144</v>
      </c>
      <c r="BV13" s="48" t="s">
        <v>83</v>
      </c>
      <c r="BW13" s="48" t="s">
        <v>84</v>
      </c>
      <c r="BX13" s="48" t="s">
        <v>80</v>
      </c>
      <c r="BY13" s="48" t="s">
        <v>81</v>
      </c>
      <c r="BZ13" s="48" t="s">
        <v>82</v>
      </c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3</v>
      </c>
      <c r="C14" s="18">
        <f t="shared" si="4"/>
        <v>0</v>
      </c>
      <c r="D14" s="18">
        <f t="shared" si="5"/>
        <v>0</v>
      </c>
      <c r="E14" s="4" t="s">
        <v>139</v>
      </c>
      <c r="F14" s="8" t="s">
        <v>141</v>
      </c>
      <c r="G14" s="9">
        <v>1600</v>
      </c>
      <c r="H14" s="9"/>
      <c r="I14" s="55">
        <v>0</v>
      </c>
      <c r="J14" s="21">
        <f t="shared" si="6"/>
        <v>63300</v>
      </c>
      <c r="K14" s="8"/>
      <c r="L14" s="9"/>
      <c r="M14" s="9"/>
      <c r="N14" s="55"/>
      <c r="O14" s="21">
        <f t="shared" si="7"/>
        <v>14800</v>
      </c>
      <c r="P14" s="8" t="s">
        <v>142</v>
      </c>
      <c r="Q14" s="9">
        <v>-1600</v>
      </c>
      <c r="R14" s="9"/>
      <c r="S14" s="55">
        <v>0</v>
      </c>
      <c r="T14" s="21">
        <f t="shared" si="8"/>
        <v>26900</v>
      </c>
      <c r="U14" s="66">
        <f t="shared" si="0"/>
        <v>28.3</v>
      </c>
      <c r="V14" s="67">
        <f t="shared" si="1"/>
        <v>-20.2</v>
      </c>
      <c r="W14" s="68">
        <f t="shared" si="2"/>
        <v>-8.1</v>
      </c>
      <c r="Y14" s="8"/>
      <c r="Z14" s="41"/>
      <c r="AA14" s="32"/>
      <c r="AB14" s="32"/>
      <c r="AC14" s="32">
        <v>2</v>
      </c>
      <c r="AD14" s="36">
        <v>25</v>
      </c>
      <c r="AE14" s="47" t="s">
        <v>102</v>
      </c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8BCFD5B9-F732-4E28-A9D0-105EB28B392C}">
      <formula1>$U$2:$W$2</formula1>
    </dataValidation>
    <dataValidation type="list" showInputMessage="1" showErrorMessage="1" sqref="K4:K30 P4:P30 F4:F30" xr:uid="{7274D439-5FF7-48AB-9EC7-B51540AC272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E7099-B206-4CDA-A9A5-69EA53AEAA97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153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ともき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ともき</v>
      </c>
      <c r="V2" s="62" t="str">
        <f>$K$1</f>
        <v>りくと</v>
      </c>
      <c r="W2" s="16" t="str">
        <f>$P$1</f>
        <v>れんたろう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142</v>
      </c>
      <c r="G4" s="9">
        <v>-12000</v>
      </c>
      <c r="H4" s="9">
        <v>-1000</v>
      </c>
      <c r="I4" s="55">
        <v>0</v>
      </c>
      <c r="J4" s="21">
        <f>IF(COUNTA($F4,$K4,$P4)&gt;0,J3+SUM(G4:I4),"")</f>
        <v>22000</v>
      </c>
      <c r="K4" s="8" t="s">
        <v>141</v>
      </c>
      <c r="L4" s="9">
        <v>12000</v>
      </c>
      <c r="M4" s="9">
        <v>1000</v>
      </c>
      <c r="N4" s="55">
        <v>0</v>
      </c>
      <c r="O4" s="21">
        <f>IF(COUNTA($F4,$K4,$P4)&gt;0,O3+SUM(L4:N4),"")</f>
        <v>48000</v>
      </c>
      <c r="P4" s="8"/>
      <c r="Q4" s="9"/>
      <c r="R4" s="9"/>
      <c r="S4" s="55"/>
      <c r="T4" s="21">
        <f>IF(COUNTA($F4,$K4,$P4)&gt;0,T3+SUM(Q4:S4),"")</f>
        <v>35000</v>
      </c>
      <c r="U4" s="66">
        <f t="shared" ref="U4:U30" si="0">IF($J4="","",ROUND(($J4-$J$3)/1000,1))</f>
        <v>-13</v>
      </c>
      <c r="V4" s="67">
        <f t="shared" ref="V4:V30" si="1">IF($O4="","",ROUND(($O4-$O$3)/1000,1))</f>
        <v>13</v>
      </c>
      <c r="W4" s="68">
        <f t="shared" ref="W4:W30" si="2">IF($T4="","",ROUND(($T4-$T$3)/1000,1))</f>
        <v>0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5</v>
      </c>
      <c r="AY4" s="36" t="s">
        <v>143</v>
      </c>
      <c r="AZ4" s="47" t="s">
        <v>80</v>
      </c>
      <c r="BA4" s="48" t="s">
        <v>80</v>
      </c>
      <c r="BB4" s="48" t="s">
        <v>144</v>
      </c>
      <c r="BC4" s="48" t="s">
        <v>102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149</v>
      </c>
      <c r="G5" s="9">
        <v>-18000</v>
      </c>
      <c r="H5" s="9"/>
      <c r="I5" s="55">
        <v>-500</v>
      </c>
      <c r="J5" s="21">
        <f t="shared" ref="J5:J30" si="6">IF(COUNTA($F5,$K5,$P5)&gt;0,J4+SUM(G5:I5),"")</f>
        <v>3500</v>
      </c>
      <c r="K5" s="8" t="s">
        <v>150</v>
      </c>
      <c r="L5" s="9">
        <v>36000</v>
      </c>
      <c r="M5" s="9"/>
      <c r="N5" s="55">
        <v>1000</v>
      </c>
      <c r="O5" s="21">
        <f t="shared" ref="O5:O30" si="7">IF(COUNTA($F5,$K5,$P5)&gt;0,O4+SUM(L5:N5),"")</f>
        <v>85000</v>
      </c>
      <c r="P5" s="8" t="s">
        <v>149</v>
      </c>
      <c r="Q5" s="9">
        <v>-18000</v>
      </c>
      <c r="R5" s="9"/>
      <c r="S5" s="55">
        <v>-500</v>
      </c>
      <c r="T5" s="21">
        <f t="shared" ref="T5:T30" si="8">IF(COUNTA($F5,$K5,$P5)&gt;0,T4+SUM(Q5:S5),"")</f>
        <v>16500</v>
      </c>
      <c r="U5" s="66">
        <f t="shared" si="0"/>
        <v>-31.5</v>
      </c>
      <c r="V5" s="67">
        <f t="shared" si="1"/>
        <v>50</v>
      </c>
      <c r="W5" s="68">
        <f t="shared" si="2"/>
        <v>-18.5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11</v>
      </c>
      <c r="AY5" s="36" t="s">
        <v>143</v>
      </c>
      <c r="AZ5" s="47" t="s">
        <v>144</v>
      </c>
      <c r="BA5" s="48" t="s">
        <v>83</v>
      </c>
      <c r="BB5" s="48" t="s">
        <v>145</v>
      </c>
      <c r="BC5" s="48" t="s">
        <v>84</v>
      </c>
      <c r="BD5" s="48" t="s">
        <v>107</v>
      </c>
      <c r="BE5" s="48" t="s">
        <v>82</v>
      </c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/>
      </c>
      <c r="B6" s="18" t="str">
        <f t="shared" ref="B6:B30" si="9">IF($E6="","",IF($E5=$E6,B5,IF(B5=3,1,B5+1)))</f>
        <v/>
      </c>
      <c r="C6" s="18" t="str">
        <f t="shared" si="4"/>
        <v/>
      </c>
      <c r="D6" s="18" t="str">
        <f t="shared" si="5"/>
        <v/>
      </c>
      <c r="E6" s="4"/>
      <c r="F6" s="8"/>
      <c r="G6" s="9"/>
      <c r="H6" s="9"/>
      <c r="I6" s="55"/>
      <c r="J6" s="21" t="str">
        <f t="shared" si="6"/>
        <v/>
      </c>
      <c r="K6" s="8"/>
      <c r="L6" s="9"/>
      <c r="M6" s="9"/>
      <c r="N6" s="55"/>
      <c r="O6" s="21" t="str">
        <f t="shared" si="7"/>
        <v/>
      </c>
      <c r="P6" s="8"/>
      <c r="Q6" s="9"/>
      <c r="R6" s="9"/>
      <c r="S6" s="55"/>
      <c r="T6" s="21" t="str">
        <f t="shared" si="8"/>
        <v/>
      </c>
      <c r="U6" s="66" t="str">
        <f t="shared" si="0"/>
        <v/>
      </c>
      <c r="V6" s="67" t="str">
        <f t="shared" si="1"/>
        <v/>
      </c>
      <c r="W6" s="68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/>
      </c>
      <c r="B7" s="18" t="str">
        <f t="shared" si="9"/>
        <v/>
      </c>
      <c r="C7" s="18" t="str">
        <f t="shared" si="4"/>
        <v/>
      </c>
      <c r="D7" s="18" t="str">
        <f t="shared" si="5"/>
        <v/>
      </c>
      <c r="E7" s="4"/>
      <c r="F7" s="8"/>
      <c r="G7" s="9"/>
      <c r="H7" s="9"/>
      <c r="I7" s="55"/>
      <c r="J7" s="21" t="str">
        <f t="shared" si="6"/>
        <v/>
      </c>
      <c r="K7" s="8"/>
      <c r="L7" s="9"/>
      <c r="M7" s="9"/>
      <c r="N7" s="55"/>
      <c r="O7" s="21" t="str">
        <f t="shared" si="7"/>
        <v/>
      </c>
      <c r="P7" s="8"/>
      <c r="Q7" s="9"/>
      <c r="R7" s="9"/>
      <c r="S7" s="55"/>
      <c r="T7" s="21" t="str">
        <f t="shared" si="8"/>
        <v/>
      </c>
      <c r="U7" s="66" t="str">
        <f t="shared" si="0"/>
        <v/>
      </c>
      <c r="V7" s="67" t="str">
        <f t="shared" si="1"/>
        <v/>
      </c>
      <c r="W7" s="68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9"/>
        <v/>
      </c>
      <c r="C8" s="18" t="str">
        <f t="shared" si="4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6" t="str">
        <f t="shared" si="0"/>
        <v/>
      </c>
      <c r="V8" s="67" t="str">
        <f t="shared" si="1"/>
        <v/>
      </c>
      <c r="W8" s="68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6" t="str">
        <f t="shared" si="0"/>
        <v/>
      </c>
      <c r="V9" s="67" t="str">
        <f t="shared" si="1"/>
        <v/>
      </c>
      <c r="W9" s="68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B6605966-5415-4E29-8DF9-7F1675636E4D}">
      <formula1>"ロン,ツモ,放銃,ツモ支払,流局,チョンボ"</formula1>
    </dataValidation>
    <dataValidation type="list" allowBlank="1" showInputMessage="1" showErrorMessage="1" sqref="E4:E30" xr:uid="{6E0A7B3A-53B9-4C9C-A570-F4198B43BD0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2019-01-13T01:57:17Z</dcterms:modified>
</cp:coreProperties>
</file>