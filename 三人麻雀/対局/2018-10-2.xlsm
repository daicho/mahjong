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DaichiBox\MyProjects\スコアシート\三人麻雀\対局\"/>
    </mc:Choice>
  </mc:AlternateContent>
  <xr:revisionPtr revIDLastSave="0" documentId="10_ncr:100000_{89B5BFF1-A30C-4C24-8E39-F8C182B3CA4F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点数表(親ロン)" sheetId="4" state="hidden" r:id="rId2"/>
    <sheet name="点数表(親ツモ)" sheetId="9" state="hidden" r:id="rId3"/>
    <sheet name="点数表(子→親)" sheetId="7" state="hidden" r:id="rId4"/>
    <sheet name="点数表(子ロン)" sheetId="3" state="hidden" r:id="rId5"/>
    <sheet name="点数表(子ツモ)" sheetId="10" state="hidden" r:id="rId6"/>
    <sheet name="点数表(子→子)" sheetId="5" state="hidden" r:id="rId7"/>
    <sheet name="点数表(親→子)" sheetId="6" state="hidden" r:id="rId8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0" i="1" l="1"/>
  <c r="V30" i="1"/>
  <c r="U30" i="1"/>
  <c r="W29" i="1"/>
  <c r="V29" i="1"/>
  <c r="U29" i="1"/>
  <c r="W28" i="1"/>
  <c r="V28" i="1"/>
  <c r="U28" i="1"/>
  <c r="W27" i="1"/>
  <c r="V27" i="1"/>
  <c r="U27" i="1"/>
  <c r="W26" i="1"/>
  <c r="V26" i="1"/>
  <c r="U26" i="1"/>
  <c r="W25" i="1"/>
  <c r="V25" i="1"/>
  <c r="U25" i="1"/>
  <c r="W24" i="1"/>
  <c r="V24" i="1"/>
  <c r="U24" i="1"/>
  <c r="W23" i="1"/>
  <c r="V23" i="1"/>
  <c r="U23" i="1"/>
  <c r="W22" i="1"/>
  <c r="V22" i="1"/>
  <c r="U22" i="1"/>
  <c r="W21" i="1"/>
  <c r="V21" i="1"/>
  <c r="U21" i="1"/>
  <c r="W20" i="1"/>
  <c r="V20" i="1"/>
  <c r="U20" i="1"/>
  <c r="W19" i="1"/>
  <c r="V19" i="1"/>
  <c r="U19" i="1"/>
  <c r="W18" i="1"/>
  <c r="V18" i="1"/>
  <c r="U18" i="1"/>
  <c r="W17" i="1"/>
  <c r="V17" i="1"/>
  <c r="U17" i="1"/>
  <c r="W16" i="1"/>
  <c r="V16" i="1"/>
  <c r="U16" i="1"/>
  <c r="W15" i="1"/>
  <c r="V15" i="1"/>
  <c r="U15" i="1"/>
  <c r="W14" i="1"/>
  <c r="V14" i="1"/>
  <c r="U14" i="1"/>
  <c r="W13" i="1"/>
  <c r="V13" i="1"/>
  <c r="U13" i="1"/>
  <c r="W12" i="1"/>
  <c r="V12" i="1"/>
  <c r="U12" i="1"/>
  <c r="W11" i="1"/>
  <c r="V11" i="1"/>
  <c r="U11" i="1"/>
  <c r="W10" i="1"/>
  <c r="V10" i="1"/>
  <c r="U10" i="1"/>
  <c r="W9" i="1"/>
  <c r="V9" i="1"/>
  <c r="U9" i="1"/>
  <c r="W8" i="1"/>
  <c r="V8" i="1"/>
  <c r="U8" i="1"/>
  <c r="W7" i="1"/>
  <c r="V7" i="1"/>
  <c r="U7" i="1"/>
  <c r="W6" i="1"/>
  <c r="V6" i="1"/>
  <c r="U6" i="1"/>
  <c r="W5" i="1"/>
  <c r="V5" i="1"/>
  <c r="U5" i="1"/>
  <c r="W4" i="1"/>
  <c r="V4" i="1"/>
  <c r="U4" i="1"/>
  <c r="W3" i="1"/>
  <c r="V3" i="1"/>
  <c r="U3" i="1"/>
  <c r="S8" i="1" l="1"/>
  <c r="S6" i="1"/>
  <c r="J12" i="9" l="1"/>
  <c r="J11" i="9"/>
  <c r="J10" i="9"/>
  <c r="J9" i="9"/>
  <c r="J8" i="9"/>
  <c r="J7" i="9"/>
  <c r="J6" i="9"/>
  <c r="J5" i="9"/>
  <c r="J4" i="9"/>
  <c r="J3" i="9"/>
  <c r="J2" i="9"/>
  <c r="J12" i="10"/>
  <c r="J11" i="10"/>
  <c r="J10" i="10"/>
  <c r="J9" i="10"/>
  <c r="J8" i="10"/>
  <c r="J7" i="10"/>
  <c r="J6" i="10"/>
  <c r="J5" i="10"/>
  <c r="J4" i="10"/>
  <c r="J3" i="10"/>
  <c r="J2" i="10"/>
  <c r="I12" i="9"/>
  <c r="I11" i="9"/>
  <c r="I10" i="9"/>
  <c r="I9" i="9"/>
  <c r="I8" i="9"/>
  <c r="I7" i="9"/>
  <c r="I6" i="9"/>
  <c r="I5" i="9"/>
  <c r="I4" i="9"/>
  <c r="I3" i="9"/>
  <c r="I2" i="9"/>
  <c r="I12" i="10"/>
  <c r="I11" i="10"/>
  <c r="I10" i="10"/>
  <c r="I9" i="10"/>
  <c r="I8" i="10"/>
  <c r="I7" i="10"/>
  <c r="I6" i="10"/>
  <c r="I5" i="10"/>
  <c r="I4" i="10"/>
  <c r="I3" i="10"/>
  <c r="I2" i="10"/>
  <c r="H12" i="9"/>
  <c r="H11" i="9"/>
  <c r="H10" i="9"/>
  <c r="H9" i="9"/>
  <c r="H8" i="9"/>
  <c r="H7" i="9"/>
  <c r="H6" i="9"/>
  <c r="H5" i="9"/>
  <c r="H4" i="9"/>
  <c r="H3" i="9"/>
  <c r="H2" i="9"/>
  <c r="H12" i="10"/>
  <c r="H11" i="10"/>
  <c r="H10" i="10"/>
  <c r="H9" i="10"/>
  <c r="H8" i="10"/>
  <c r="H7" i="10"/>
  <c r="H6" i="10"/>
  <c r="H5" i="10"/>
  <c r="H4" i="10"/>
  <c r="H3" i="10"/>
  <c r="H2" i="10"/>
  <c r="G12" i="10" l="1"/>
  <c r="F12" i="10"/>
  <c r="E12" i="10"/>
  <c r="D12" i="10"/>
  <c r="C12" i="10"/>
  <c r="B12" i="10"/>
  <c r="G11" i="10"/>
  <c r="F11" i="10"/>
  <c r="E11" i="10"/>
  <c r="D11" i="10"/>
  <c r="C11" i="10"/>
  <c r="B11" i="10"/>
  <c r="G10" i="10"/>
  <c r="F10" i="10"/>
  <c r="E10" i="10"/>
  <c r="D10" i="10"/>
  <c r="C10" i="10"/>
  <c r="B10" i="10"/>
  <c r="G9" i="10"/>
  <c r="F9" i="10"/>
  <c r="E9" i="10"/>
  <c r="D9" i="10"/>
  <c r="C9" i="10"/>
  <c r="B9" i="10"/>
  <c r="G8" i="10"/>
  <c r="F8" i="10"/>
  <c r="E8" i="10"/>
  <c r="D8" i="10"/>
  <c r="C8" i="10"/>
  <c r="B8" i="10"/>
  <c r="G7" i="10"/>
  <c r="F7" i="10"/>
  <c r="E7" i="10"/>
  <c r="D7" i="10"/>
  <c r="C7" i="10"/>
  <c r="B7" i="10"/>
  <c r="G6" i="10"/>
  <c r="F6" i="10"/>
  <c r="E6" i="10"/>
  <c r="D6" i="10"/>
  <c r="C6" i="10"/>
  <c r="B6" i="10"/>
  <c r="G5" i="10"/>
  <c r="F5" i="10"/>
  <c r="E5" i="10"/>
  <c r="D5" i="10"/>
  <c r="C5" i="10"/>
  <c r="B5" i="10"/>
  <c r="G4" i="10"/>
  <c r="F4" i="10"/>
  <c r="E4" i="10"/>
  <c r="D4" i="10"/>
  <c r="C4" i="10"/>
  <c r="B4" i="10"/>
  <c r="G3" i="10"/>
  <c r="F3" i="10"/>
  <c r="E3" i="10"/>
  <c r="D3" i="10"/>
  <c r="C3" i="10"/>
  <c r="B3" i="10"/>
  <c r="G2" i="10"/>
  <c r="F2" i="10"/>
  <c r="E2" i="10"/>
  <c r="D2" i="10"/>
  <c r="C2" i="10"/>
  <c r="B2" i="10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G5" i="9"/>
  <c r="F5" i="9"/>
  <c r="E5" i="9"/>
  <c r="D5" i="9"/>
  <c r="C5" i="9"/>
  <c r="B5" i="9"/>
  <c r="G4" i="9"/>
  <c r="F4" i="9"/>
  <c r="E4" i="9"/>
  <c r="D4" i="9"/>
  <c r="C4" i="9"/>
  <c r="B4" i="9"/>
  <c r="G3" i="9"/>
  <c r="F3" i="9"/>
  <c r="E3" i="9"/>
  <c r="D3" i="9"/>
  <c r="C3" i="9"/>
  <c r="B3" i="9"/>
  <c r="G2" i="9"/>
  <c r="F2" i="9"/>
  <c r="E2" i="9"/>
  <c r="D2" i="9"/>
  <c r="C2" i="9"/>
  <c r="B2" i="9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I6" i="1"/>
  <c r="N6" i="1"/>
  <c r="D5" i="1"/>
  <c r="C5" i="1"/>
  <c r="I5" i="1" s="1"/>
  <c r="B5" i="1"/>
  <c r="B6" i="1" s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7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7" i="1"/>
  <c r="I4" i="1"/>
  <c r="J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A7" i="1" l="1"/>
  <c r="I8" i="1"/>
  <c r="A5" i="1"/>
  <c r="J5" i="1"/>
  <c r="A6" i="1"/>
  <c r="A8" i="1"/>
  <c r="B9" i="1"/>
  <c r="A9" i="1" s="1"/>
  <c r="O4" i="1"/>
  <c r="O5" i="1" s="1"/>
  <c r="O6" i="1" s="1"/>
  <c r="O7" i="1" s="1"/>
  <c r="O8" i="1" s="1"/>
  <c r="O9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4" i="1"/>
  <c r="T5" i="1" s="1"/>
  <c r="T6" i="1" s="1"/>
  <c r="T7" i="1" s="1"/>
  <c r="T8" i="1" s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6" i="1"/>
  <c r="J7" i="1" s="1"/>
  <c r="J8" i="1" s="1"/>
  <c r="B10" i="1" l="1"/>
  <c r="B11" i="1" s="1"/>
  <c r="T9" i="1"/>
  <c r="A10" i="1" l="1"/>
  <c r="A11" i="1"/>
  <c r="B12" i="1"/>
  <c r="B13" i="1" l="1"/>
  <c r="A13" i="1"/>
  <c r="A12" i="1"/>
  <c r="W2" i="1"/>
  <c r="V2" i="1"/>
  <c r="U2" i="1"/>
  <c r="B14" i="1" l="1"/>
  <c r="A14" i="1" s="1"/>
</calcChain>
</file>

<file path=xl/sharedStrings.xml><?xml version="1.0" encoding="utf-8"?>
<sst xmlns="http://schemas.openxmlformats.org/spreadsheetml/2006/main" count="82" uniqueCount="27">
  <si>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</si>
  <si>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</si>
  <si>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</si>
  <si>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</si>
  <si>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</si>
  <si>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</si>
  <si>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</si>
  <si>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</si>
  <si>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</si>
  <si>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</si>
  <si>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</si>
  <si>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</si>
  <si>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</si>
  <si>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</si>
  <si>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</si>
  <si>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6,7</t>
    <phoneticPr fontId="1"/>
  </si>
  <si>
    <t>8,9,10</t>
    <phoneticPr fontId="1"/>
  </si>
  <si>
    <t>11,12</t>
    <phoneticPr fontId="1"/>
  </si>
  <si>
    <t>13～</t>
    <phoneticPr fontId="1"/>
  </si>
  <si>
    <t>だいち</t>
  </si>
  <si>
    <t>だいち</t>
    <phoneticPr fontId="1"/>
  </si>
  <si>
    <t>れんたろう</t>
  </si>
  <si>
    <t>ともき</t>
  </si>
  <si>
    <t>ともき</t>
    <phoneticPr fontId="1"/>
  </si>
  <si>
    <t>ロン</t>
  </si>
  <si>
    <t>放銃</t>
  </si>
  <si>
    <t>かこたろう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</si>
</sst>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2" xfId="0" applyBorder="1" applyAlignment="1">
      <alignment vertical="center" shrinkToFit="1"/>
    </xf>
    <xf numFmtId="0" fontId="0" fillId="3" borderId="2" xfId="0" applyFill="1" applyBorder="1" applyAlignment="1">
      <alignment vertical="center" shrinkToFit="1"/>
    </xf>
    <xf numFmtId="0" fontId="0" fillId="2" borderId="9" xfId="0" applyFill="1" applyBorder="1" applyAlignment="1">
      <alignment vertical="center" shrinkToFit="1"/>
    </xf>
    <xf numFmtId="177" fontId="0" fillId="0" borderId="8" xfId="0" applyNumberFormat="1" applyBorder="1" applyAlignment="1">
      <alignment vertical="center" shrinkToFit="1"/>
    </xf>
    <xf numFmtId="177" fontId="0" fillId="0" borderId="2" xfId="0" applyNumberFormat="1" applyBorder="1" applyAlignment="1">
      <alignment vertical="center" shrinkToFit="1"/>
    </xf>
    <xf numFmtId="177" fontId="0" fillId="0" borderId="9" xfId="0" applyNumberFormat="1" applyBorder="1" applyAlignment="1">
      <alignment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2" borderId="5" xfId="0" applyFill="1" applyBorder="1" applyAlignment="1">
      <alignment vertical="center" shrinkToFit="1"/>
    </xf>
    <xf numFmtId="177" fontId="0" fillId="0" borderId="4" xfId="0" applyNumberFormat="1" applyBorder="1" applyAlignment="1">
      <alignment vertical="center" shrinkToFit="1"/>
    </xf>
    <xf numFmtId="177" fontId="0" fillId="0" borderId="1" xfId="0" applyNumberFormat="1" applyBorder="1" applyAlignment="1">
      <alignment vertical="center" shrinkToFit="1"/>
    </xf>
    <xf numFmtId="177" fontId="0" fillId="0" borderId="5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2" borderId="7" xfId="0" applyFill="1" applyBorder="1" applyAlignment="1">
      <alignment vertical="center" shrinkToFit="1"/>
    </xf>
    <xf numFmtId="177" fontId="0" fillId="0" borderId="6" xfId="0" applyNumberFormat="1" applyBorder="1" applyAlignment="1">
      <alignment vertical="center" shrinkToFit="1"/>
    </xf>
    <xf numFmtId="177" fontId="0" fillId="0" borderId="3" xfId="0" applyNumberFormat="1" applyBorder="1" applyAlignment="1">
      <alignment vertical="center" shrinkToFit="1"/>
    </xf>
    <xf numFmtId="177" fontId="0" fillId="0" borderId="7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2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3" borderId="3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2" t="s">
        <v>0</v>
      </c>
      <c r="B1" s="44" t="s">
        <v>2</v>
      </c>
      <c r="C1" s="44" t="s">
        <v>1</v>
      </c>
      <c r="D1" s="44" t="s">
        <v>6</v>
      </c>
      <c r="E1" s="46" t="s">
        <v>3</v>
      </c>
      <c r="F1" s="38" t="s">
        <v>20</v>
      </c>
      <c r="G1" s="39"/>
      <c r="H1" s="39"/>
      <c r="I1" s="40"/>
      <c r="J1" s="41"/>
      <c r="K1" s="38" t="s">
        <v>26</v>
      </c>
      <c r="L1" s="39"/>
      <c r="M1" s="39"/>
      <c r="N1" s="40"/>
      <c r="O1" s="41"/>
      <c r="P1" s="38" t="s">
        <v>23</v>
      </c>
      <c r="Q1" s="39"/>
      <c r="R1" s="39"/>
      <c r="S1" s="40"/>
      <c r="T1" s="41"/>
      <c r="U1" s="38" t="s">
        <v>8</v>
      </c>
      <c r="V1" s="39"/>
      <c r="W1" s="41"/>
    </row>
    <row r="2" spans="1:23" x14ac:dyDescent="0.4">
      <c r="A2" s="43"/>
      <c r="B2" s="45"/>
      <c r="C2" s="45"/>
      <c r="D2" s="45"/>
      <c r="E2" s="47"/>
      <c r="F2" s="2" t="s">
        <v>7</v>
      </c>
      <c r="G2" s="3" t="s">
        <v>12</v>
      </c>
      <c r="H2" s="3" t="s">
        <v>4</v>
      </c>
      <c r="I2" s="8" t="s">
        <v>9</v>
      </c>
      <c r="J2" s="9" t="s">
        <v>5</v>
      </c>
      <c r="K2" s="2" t="s">
        <v>7</v>
      </c>
      <c r="L2" s="3" t="s">
        <v>13</v>
      </c>
      <c r="M2" s="3" t="s">
        <v>4</v>
      </c>
      <c r="N2" s="8" t="s">
        <v>10</v>
      </c>
      <c r="O2" s="9" t="s">
        <v>5</v>
      </c>
      <c r="P2" s="2" t="s">
        <v>7</v>
      </c>
      <c r="Q2" s="3" t="s">
        <v>13</v>
      </c>
      <c r="R2" s="3" t="s">
        <v>4</v>
      </c>
      <c r="S2" s="8" t="s">
        <v>10</v>
      </c>
      <c r="T2" s="9" t="s">
        <v>5</v>
      </c>
      <c r="U2" s="2" t="str">
        <f>F1</f>
        <v>だいち</v>
      </c>
      <c r="V2" s="3" t="str">
        <f>K1</f>
        <v>かこたろう</v>
      </c>
      <c r="W2" s="4" t="str">
        <f>P1</f>
        <v>ともき</v>
      </c>
    </row>
    <row r="3" spans="1:23" x14ac:dyDescent="0.4">
      <c r="A3" s="31"/>
      <c r="B3" s="32"/>
      <c r="C3" s="32"/>
      <c r="D3" s="32"/>
      <c r="E3" s="5"/>
      <c r="F3" s="10"/>
      <c r="G3" s="11"/>
      <c r="H3" s="11"/>
      <c r="I3" s="12"/>
      <c r="J3" s="13">
        <v>35000</v>
      </c>
      <c r="K3" s="10"/>
      <c r="L3" s="11"/>
      <c r="M3" s="11"/>
      <c r="N3" s="12"/>
      <c r="O3" s="13">
        <v>35000</v>
      </c>
      <c r="P3" s="10"/>
      <c r="Q3" s="11"/>
      <c r="R3" s="11"/>
      <c r="S3" s="12"/>
      <c r="T3" s="13">
        <v>35000</v>
      </c>
      <c r="U3" s="14">
        <f t="shared" ref="U3:U30" si="0">IF($J3="","",ROUND(($J3-35000)/1000,0))</f>
        <v>0</v>
      </c>
      <c r="V3" s="15">
        <f t="shared" ref="V3:V30" si="1">IF($O3="","",ROUND(($O3-35000)/1000,0))</f>
        <v>0</v>
      </c>
      <c r="W3" s="16">
        <f t="shared" ref="W3:W30" si="2">IF($T3="","",ROUND(($T3-35000)/1000,0))</f>
        <v>0</v>
      </c>
    </row>
    <row r="4" spans="1:23" x14ac:dyDescent="0.4">
      <c r="A4" s="33" t="s">
        <v>11</v>
      </c>
      <c r="B4" s="34">
        <v>1</v>
      </c>
      <c r="C4" s="34">
        <v>0</v>
      </c>
      <c r="D4" s="34">
        <v>0</v>
      </c>
      <c r="E4" s="6" t="s">
        <v>21</v>
      </c>
      <c r="F4" s="17"/>
      <c r="G4" s="18"/>
      <c r="H4" s="18">
        <v>-1000</v>
      </c>
      <c r="I4" s="19" t="str">
        <f>IF(OR(F4="ロン",F4="ツモ"),$C4*1000,IF(F4="放銃",$C4*-1000,IF(F4="ツモ支払",$C4*-500,"")))</f>
        <v/>
      </c>
      <c r="J4" s="20">
        <f t="shared" ref="J4:J30" si="3">IF(COUNTA($F4,$K4,$P4)&gt;0,J3+SUM(G4:I4),"")</f>
        <v>34000</v>
      </c>
      <c r="K4" s="17" t="s">
        <v>25</v>
      </c>
      <c r="L4" s="18">
        <v>-8000</v>
      </c>
      <c r="M4" s="18"/>
      <c r="N4" s="19">
        <f>IF(OR(K4="ロン",K4="ツモ"),$C4*1000,IF(K4="放銃",$C4*-1000,IF(K4="ツモ支払",$C4*-500,"")))</f>
        <v>0</v>
      </c>
      <c r="O4" s="20">
        <f t="shared" ref="O4:O30" si="4">IF(COUNTA($F4,$K4,$P4)&gt;0,O3+SUM(L4:N4),"")</f>
        <v>27000</v>
      </c>
      <c r="P4" s="17" t="s">
        <v>24</v>
      </c>
      <c r="Q4" s="18">
        <v>8000</v>
      </c>
      <c r="R4" s="18">
        <v>1000</v>
      </c>
      <c r="S4" s="19">
        <f>IF(OR(P4="ロン",P4="ツモ"),$C4*1000,IF(P4="放銃",$C4*-1000,IF(P4="ツモ支払",$C4*-500,"")))</f>
        <v>0</v>
      </c>
      <c r="T4" s="20">
        <f t="shared" ref="T4:T30" si="5">IF(COUNTA($F4,$K4,$P4)&gt;0,T3+SUM(Q4:S4),"")</f>
        <v>44000</v>
      </c>
      <c r="U4" s="21">
        <f t="shared" si="0"/>
        <v>-1</v>
      </c>
      <c r="V4" s="22">
        <f t="shared" si="1"/>
        <v>-8</v>
      </c>
      <c r="W4" s="23">
        <f t="shared" si="2"/>
        <v>9</v>
      </c>
    </row>
    <row r="5" spans="1:23" x14ac:dyDescent="0.4">
      <c r="A5" s="33" t="str">
        <f>IF($E5="","",IF(AND(B4=3,B5=1),IF(A4="東","南",IF(A4="南","西",IF(A4="西","北",IF(A4="北","東","")))),A4))</f>
        <v>東</v>
      </c>
      <c r="B5" s="34">
        <f>IF($E5="","",IF($E4=$E5,B4,IF(B4=3,1,B4+1)))</f>
        <v>2</v>
      </c>
      <c r="C5" s="34">
        <f>IF($E5="","",IF($E4=$E5,C4+1,0))</f>
        <v>0</v>
      </c>
      <c r="D5" s="34">
        <f>IF($E5="","",IF(OR(F4="流局",K4="流局",P4="流局",F4="チョンボ",K4="チョンボ",P4="チョンボ"),D4+($H4+$M4+$R4)/-1000,0))</f>
        <v>0</v>
      </c>
      <c r="E5" s="6" t="s">
        <v>22</v>
      </c>
      <c r="F5" s="17" t="s">
        <v>24</v>
      </c>
      <c r="G5" s="18">
        <v>1000</v>
      </c>
      <c r="H5" s="18"/>
      <c r="I5" s="19">
        <f>IF(OR(F5="ロン",F5="ツモ"),$C5*1000,IF(F5="放銃",$C5*-1000,IF(F5="ツモ支払",$C5*-500,"")))</f>
        <v>0</v>
      </c>
      <c r="J5" s="20">
        <f t="shared" si="3"/>
        <v>35000</v>
      </c>
      <c r="K5" s="17" t="s">
        <v>25</v>
      </c>
      <c r="L5" s="18">
        <v>-1000</v>
      </c>
      <c r="M5" s="18"/>
      <c r="N5" s="19">
        <f t="shared" ref="N5:N30" si="6">IF(OR(K5="ロン",K5="ツモ"),$C5*1000,IF(K5="放銃",$C5*-1000,IF(K5="ツモ支払",$C5*-500,"")))</f>
        <v>0</v>
      </c>
      <c r="O5" s="20">
        <f t="shared" si="4"/>
        <v>26000</v>
      </c>
      <c r="P5" s="17"/>
      <c r="Q5" s="18"/>
      <c r="R5" s="18"/>
      <c r="S5" s="19" t="str">
        <f t="shared" ref="S5:S30" si="7">IF(OR(P5="ロン",P5="ツモ"),$C5*1000,IF(P5="放銃",$C5*-1000,IF(P5="ツモ支払",$C5*-500,"")))</f>
        <v/>
      </c>
      <c r="T5" s="20">
        <f t="shared" si="5"/>
        <v>44000</v>
      </c>
      <c r="U5" s="21">
        <f t="shared" si="0"/>
        <v>0</v>
      </c>
      <c r="V5" s="22">
        <f t="shared" si="1"/>
        <v>-9</v>
      </c>
      <c r="W5" s="23">
        <f t="shared" si="2"/>
        <v>9</v>
      </c>
    </row>
    <row r="6" spans="1:23" x14ac:dyDescent="0.4">
      <c r="A6" s="33" t="str">
        <f t="shared" ref="A6:A30" si="8">IF($E6="","",IF(AND(B5=3,B6=1),IF(A5="東","南",IF(A5="南","西",IF(A5="西","北",IF(A5="北","東","")))),A5))</f>
        <v>東</v>
      </c>
      <c r="B6" s="34">
        <f t="shared" ref="B6:B30" si="9">IF($E6="","",IF($E5=$E6,B5,IF(B5=3,1,B5+1)))</f>
        <v>3</v>
      </c>
      <c r="C6" s="34">
        <f t="shared" ref="C6:C30" si="10">IF($E6="","",IF($E5=$E6,C5+1,0))</f>
        <v>0</v>
      </c>
      <c r="D6" s="34">
        <f t="shared" ref="D6:D30" si="11">IF($E6="","",IF(OR(F5="流局",K5="流局",P5="流局",F5="チョンボ",K5="チョンボ",P5="チョンボ"),D5+($H5+$M5+$R5)/-1000,0))</f>
        <v>0</v>
      </c>
      <c r="E6" s="6" t="s">
        <v>19</v>
      </c>
      <c r="F6" s="17" t="s">
        <v>24</v>
      </c>
      <c r="G6" s="18">
        <v>12000</v>
      </c>
      <c r="H6" s="18"/>
      <c r="I6" s="19">
        <f t="shared" ref="I6:I30" si="12">IF(OR(F6="ロン",F6="ツモ"),$C6*1000,IF(F6="放銃",$C6*-1000,IF(F6="ツモ支払",$C6*-500,"")))</f>
        <v>0</v>
      </c>
      <c r="J6" s="20">
        <f t="shared" si="3"/>
        <v>47000</v>
      </c>
      <c r="K6" s="17"/>
      <c r="L6" s="18"/>
      <c r="M6" s="18"/>
      <c r="N6" s="19" t="str">
        <f t="shared" si="6"/>
        <v/>
      </c>
      <c r="O6" s="20">
        <f t="shared" si="4"/>
        <v>26000</v>
      </c>
      <c r="P6" s="17" t="s">
        <v>25</v>
      </c>
      <c r="Q6" s="18">
        <v>-12000</v>
      </c>
      <c r="R6" s="18"/>
      <c r="S6" s="19">
        <f>IF(OR(P6="ロン",P6="ツモ"),$C6*1000,IF(P6="放銃",$C6*-1000,IF(P6="ツモ支払",$C6*-500,"")))</f>
        <v>0</v>
      </c>
      <c r="T6" s="20">
        <f t="shared" si="5"/>
        <v>32000</v>
      </c>
      <c r="U6" s="21">
        <f t="shared" si="0"/>
        <v>12</v>
      </c>
      <c r="V6" s="22">
        <f t="shared" si="1"/>
        <v>-9</v>
      </c>
      <c r="W6" s="23">
        <f t="shared" si="2"/>
        <v>-3</v>
      </c>
    </row>
    <row r="7" spans="1:23" x14ac:dyDescent="0.4">
      <c r="A7" s="33" t="str">
        <f t="shared" si="8"/>
        <v>東</v>
      </c>
      <c r="B7" s="34">
        <f t="shared" si="9"/>
        <v>3</v>
      </c>
      <c r="C7" s="34">
        <f t="shared" si="10"/>
        <v>1</v>
      </c>
      <c r="D7" s="34">
        <f t="shared" si="11"/>
        <v>0</v>
      </c>
      <c r="E7" s="6" t="s">
        <v>19</v>
      </c>
      <c r="F7" s="17" t="s">
        <v>24</v>
      </c>
      <c r="G7" s="18">
        <v>12000</v>
      </c>
      <c r="H7" s="18"/>
      <c r="I7" s="19">
        <f t="shared" si="12"/>
        <v>1000</v>
      </c>
      <c r="J7" s="20">
        <f t="shared" si="3"/>
        <v>60000</v>
      </c>
      <c r="K7" s="17" t="s">
        <v>25</v>
      </c>
      <c r="L7" s="18">
        <v>-12000</v>
      </c>
      <c r="M7" s="18"/>
      <c r="N7" s="19">
        <f t="shared" si="6"/>
        <v>-1000</v>
      </c>
      <c r="O7" s="20">
        <f t="shared" si="4"/>
        <v>13000</v>
      </c>
      <c r="P7" s="17"/>
      <c r="Q7" s="18"/>
      <c r="R7" s="18"/>
      <c r="S7" s="19" t="str">
        <f t="shared" si="7"/>
        <v/>
      </c>
      <c r="T7" s="20">
        <f t="shared" si="5"/>
        <v>32000</v>
      </c>
      <c r="U7" s="21">
        <f t="shared" si="0"/>
        <v>25</v>
      </c>
      <c r="V7" s="22">
        <f t="shared" si="1"/>
        <v>-22</v>
      </c>
      <c r="W7" s="23">
        <f t="shared" si="2"/>
        <v>-3</v>
      </c>
    </row>
    <row r="8" spans="1:23" x14ac:dyDescent="0.4">
      <c r="A8" s="33" t="str">
        <f t="shared" si="8"/>
        <v>東</v>
      </c>
      <c r="B8" s="34">
        <f t="shared" si="9"/>
        <v>3</v>
      </c>
      <c r="C8" s="34">
        <f t="shared" si="10"/>
        <v>2</v>
      </c>
      <c r="D8" s="34">
        <f t="shared" si="11"/>
        <v>0</v>
      </c>
      <c r="E8" s="6" t="s">
        <v>19</v>
      </c>
      <c r="F8" s="17" t="s">
        <v>25</v>
      </c>
      <c r="G8" s="18">
        <v>-8000</v>
      </c>
      <c r="H8" s="18"/>
      <c r="I8" s="19">
        <f t="shared" si="12"/>
        <v>-2000</v>
      </c>
      <c r="J8" s="20">
        <f t="shared" si="3"/>
        <v>50000</v>
      </c>
      <c r="K8" s="17"/>
      <c r="L8" s="18"/>
      <c r="M8" s="18"/>
      <c r="N8" s="19" t="str">
        <f t="shared" si="6"/>
        <v/>
      </c>
      <c r="O8" s="20">
        <f t="shared" si="4"/>
        <v>13000</v>
      </c>
      <c r="P8" s="17" t="s">
        <v>24</v>
      </c>
      <c r="Q8" s="18">
        <v>8000</v>
      </c>
      <c r="R8" s="18"/>
      <c r="S8" s="19">
        <f>IF(OR(P8="ロン",P8="ツモ"),$C8*1000,IF(P8="放銃",$C8*-1000,IF(P8="ツモ支払",$C8*-500,"")))</f>
        <v>2000</v>
      </c>
      <c r="T8" s="20">
        <f t="shared" si="5"/>
        <v>42000</v>
      </c>
      <c r="U8" s="21">
        <f t="shared" si="0"/>
        <v>15</v>
      </c>
      <c r="V8" s="22">
        <f t="shared" si="1"/>
        <v>-22</v>
      </c>
      <c r="W8" s="23">
        <f t="shared" si="2"/>
        <v>7</v>
      </c>
    </row>
    <row r="9" spans="1:23" x14ac:dyDescent="0.4">
      <c r="A9" s="33" t="str">
        <f t="shared" si="8"/>
        <v/>
      </c>
      <c r="B9" s="34" t="str">
        <f t="shared" si="9"/>
        <v/>
      </c>
      <c r="C9" s="34" t="str">
        <f t="shared" si="10"/>
        <v/>
      </c>
      <c r="D9" s="34" t="str">
        <f t="shared" si="11"/>
        <v/>
      </c>
      <c r="E9" s="6"/>
      <c r="F9" s="17"/>
      <c r="G9" s="18"/>
      <c r="H9" s="18"/>
      <c r="I9" s="19" t="str">
        <f t="shared" si="12"/>
        <v/>
      </c>
      <c r="J9" s="20" t="str">
        <f t="shared" si="3"/>
        <v/>
      </c>
      <c r="K9" s="17"/>
      <c r="L9" s="18"/>
      <c r="M9" s="18"/>
      <c r="N9" s="19" t="str">
        <f t="shared" si="6"/>
        <v/>
      </c>
      <c r="O9" s="20" t="str">
        <f t="shared" si="4"/>
        <v/>
      </c>
      <c r="P9" s="17"/>
      <c r="Q9" s="18"/>
      <c r="R9" s="18"/>
      <c r="S9" s="19" t="str">
        <f t="shared" si="7"/>
        <v/>
      </c>
      <c r="T9" s="20" t="str">
        <f t="shared" si="5"/>
        <v/>
      </c>
      <c r="U9" s="21" t="str">
        <f t="shared" si="0"/>
        <v/>
      </c>
      <c r="V9" s="22" t="str">
        <f t="shared" si="1"/>
        <v/>
      </c>
      <c r="W9" s="23" t="str">
        <f t="shared" si="2"/>
        <v/>
      </c>
    </row>
    <row r="10" spans="1:23" x14ac:dyDescent="0.4">
      <c r="A10" s="33" t="str">
        <f t="shared" si="8"/>
        <v/>
      </c>
      <c r="B10" s="34" t="str">
        <f t="shared" si="9"/>
        <v/>
      </c>
      <c r="C10" s="34" t="str">
        <f t="shared" si="10"/>
        <v/>
      </c>
      <c r="D10" s="34" t="str">
        <f t="shared" si="11"/>
        <v/>
      </c>
      <c r="E10" s="6"/>
      <c r="F10" s="17"/>
      <c r="G10" s="18"/>
      <c r="H10" s="18"/>
      <c r="I10" s="19" t="str">
        <f t="shared" si="12"/>
        <v/>
      </c>
      <c r="J10" s="20" t="str">
        <f t="shared" si="3"/>
        <v/>
      </c>
      <c r="K10" s="17"/>
      <c r="L10" s="18"/>
      <c r="M10" s="18"/>
      <c r="N10" s="19" t="str">
        <f t="shared" si="6"/>
        <v/>
      </c>
      <c r="O10" s="20" t="str">
        <f t="shared" si="4"/>
        <v/>
      </c>
      <c r="P10" s="17"/>
      <c r="Q10" s="18"/>
      <c r="R10" s="18"/>
      <c r="S10" s="19" t="str">
        <f t="shared" si="7"/>
        <v/>
      </c>
      <c r="T10" s="20" t="str">
        <f t="shared" si="5"/>
        <v/>
      </c>
      <c r="U10" s="21" t="str">
        <f t="shared" si="0"/>
        <v/>
      </c>
      <c r="V10" s="22" t="str">
        <f t="shared" si="1"/>
        <v/>
      </c>
      <c r="W10" s="23" t="str">
        <f t="shared" si="2"/>
        <v/>
      </c>
    </row>
    <row r="11" spans="1:23" x14ac:dyDescent="0.4">
      <c r="A11" s="33" t="str">
        <f t="shared" si="8"/>
        <v/>
      </c>
      <c r="B11" s="34" t="str">
        <f t="shared" si="9"/>
        <v/>
      </c>
      <c r="C11" s="34" t="str">
        <f t="shared" si="10"/>
        <v/>
      </c>
      <c r="D11" s="34" t="str">
        <f t="shared" si="11"/>
        <v/>
      </c>
      <c r="E11" s="6"/>
      <c r="F11" s="17"/>
      <c r="G11" s="18"/>
      <c r="H11" s="18"/>
      <c r="I11" s="19" t="str">
        <f t="shared" si="12"/>
        <v/>
      </c>
      <c r="J11" s="20" t="str">
        <f t="shared" si="3"/>
        <v/>
      </c>
      <c r="K11" s="17"/>
      <c r="L11" s="18"/>
      <c r="M11" s="18"/>
      <c r="N11" s="19" t="str">
        <f t="shared" si="6"/>
        <v/>
      </c>
      <c r="O11" s="20" t="str">
        <f t="shared" si="4"/>
        <v/>
      </c>
      <c r="P11" s="17"/>
      <c r="Q11" s="18"/>
      <c r="R11" s="18"/>
      <c r="S11" s="19" t="str">
        <f t="shared" si="7"/>
        <v/>
      </c>
      <c r="T11" s="20" t="str">
        <f t="shared" si="5"/>
        <v/>
      </c>
      <c r="U11" s="21" t="str">
        <f t="shared" si="0"/>
        <v/>
      </c>
      <c r="V11" s="22" t="str">
        <f t="shared" si="1"/>
        <v/>
      </c>
      <c r="W11" s="23" t="str">
        <f t="shared" si="2"/>
        <v/>
      </c>
    </row>
    <row r="12" spans="1:23" x14ac:dyDescent="0.4">
      <c r="A12" s="33" t="str">
        <f t="shared" si="8"/>
        <v/>
      </c>
      <c r="B12" s="34" t="str">
        <f t="shared" si="9"/>
        <v/>
      </c>
      <c r="C12" s="34" t="str">
        <f t="shared" si="10"/>
        <v/>
      </c>
      <c r="D12" s="34" t="str">
        <f t="shared" si="11"/>
        <v/>
      </c>
      <c r="E12" s="6"/>
      <c r="F12" s="17"/>
      <c r="G12" s="18"/>
      <c r="H12" s="18"/>
      <c r="I12" s="19" t="str">
        <f t="shared" si="12"/>
        <v/>
      </c>
      <c r="J12" s="20" t="str">
        <f t="shared" si="3"/>
        <v/>
      </c>
      <c r="K12" s="17"/>
      <c r="L12" s="18"/>
      <c r="M12" s="18"/>
      <c r="N12" s="19" t="str">
        <f t="shared" si="6"/>
        <v/>
      </c>
      <c r="O12" s="20" t="str">
        <f t="shared" si="4"/>
        <v/>
      </c>
      <c r="P12" s="17"/>
      <c r="Q12" s="18"/>
      <c r="R12" s="18"/>
      <c r="S12" s="19" t="str">
        <f t="shared" si="7"/>
        <v/>
      </c>
      <c r="T12" s="20" t="str">
        <f t="shared" si="5"/>
        <v/>
      </c>
      <c r="U12" s="21" t="str">
        <f t="shared" si="0"/>
        <v/>
      </c>
      <c r="V12" s="22" t="str">
        <f t="shared" si="1"/>
        <v/>
      </c>
      <c r="W12" s="23" t="str">
        <f t="shared" si="2"/>
        <v/>
      </c>
    </row>
    <row r="13" spans="1:23" x14ac:dyDescent="0.4">
      <c r="A13" s="33" t="str">
        <f t="shared" si="8"/>
        <v/>
      </c>
      <c r="B13" s="34" t="str">
        <f t="shared" si="9"/>
        <v/>
      </c>
      <c r="C13" s="34" t="str">
        <f t="shared" si="10"/>
        <v/>
      </c>
      <c r="D13" s="34" t="str">
        <f t="shared" si="11"/>
        <v/>
      </c>
      <c r="E13" s="6"/>
      <c r="F13" s="17"/>
      <c r="G13" s="18"/>
      <c r="H13" s="18"/>
      <c r="I13" s="19" t="str">
        <f t="shared" si="12"/>
        <v/>
      </c>
      <c r="J13" s="20" t="str">
        <f t="shared" si="3"/>
        <v/>
      </c>
      <c r="K13" s="17"/>
      <c r="L13" s="18"/>
      <c r="M13" s="18"/>
      <c r="N13" s="19" t="str">
        <f t="shared" si="6"/>
        <v/>
      </c>
      <c r="O13" s="20" t="str">
        <f t="shared" si="4"/>
        <v/>
      </c>
      <c r="P13" s="17"/>
      <c r="Q13" s="18"/>
      <c r="R13" s="18"/>
      <c r="S13" s="19" t="str">
        <f t="shared" si="7"/>
        <v/>
      </c>
      <c r="T13" s="20" t="str">
        <f t="shared" si="5"/>
        <v/>
      </c>
      <c r="U13" s="21" t="str">
        <f t="shared" si="0"/>
        <v/>
      </c>
      <c r="V13" s="22" t="str">
        <f t="shared" si="1"/>
        <v/>
      </c>
      <c r="W13" s="23" t="str">
        <f t="shared" si="2"/>
        <v/>
      </c>
    </row>
    <row r="14" spans="1:23" x14ac:dyDescent="0.4">
      <c r="A14" s="33" t="str">
        <f t="shared" si="8"/>
        <v/>
      </c>
      <c r="B14" s="34" t="str">
        <f t="shared" si="9"/>
        <v/>
      </c>
      <c r="C14" s="34" t="str">
        <f t="shared" si="10"/>
        <v/>
      </c>
      <c r="D14" s="34" t="str">
        <f t="shared" si="11"/>
        <v/>
      </c>
      <c r="E14" s="6"/>
      <c r="F14" s="17"/>
      <c r="G14" s="18"/>
      <c r="H14" s="18"/>
      <c r="I14" s="19" t="str">
        <f t="shared" si="12"/>
        <v/>
      </c>
      <c r="J14" s="20" t="str">
        <f t="shared" si="3"/>
        <v/>
      </c>
      <c r="K14" s="17"/>
      <c r="L14" s="18"/>
      <c r="M14" s="18"/>
      <c r="N14" s="19" t="str">
        <f t="shared" si="6"/>
        <v/>
      </c>
      <c r="O14" s="20" t="str">
        <f t="shared" si="4"/>
        <v/>
      </c>
      <c r="P14" s="17"/>
      <c r="Q14" s="18"/>
      <c r="R14" s="18"/>
      <c r="S14" s="19" t="str">
        <f t="shared" si="7"/>
        <v/>
      </c>
      <c r="T14" s="20" t="str">
        <f t="shared" si="5"/>
        <v/>
      </c>
      <c r="U14" s="21" t="str">
        <f t="shared" si="0"/>
        <v/>
      </c>
      <c r="V14" s="22" t="str">
        <f t="shared" si="1"/>
        <v/>
      </c>
      <c r="W14" s="23" t="str">
        <f t="shared" si="2"/>
        <v/>
      </c>
    </row>
    <row r="15" spans="1:23" x14ac:dyDescent="0.4">
      <c r="A15" s="33" t="str">
        <f t="shared" si="8"/>
        <v/>
      </c>
      <c r="B15" s="34" t="str">
        <f t="shared" si="9"/>
        <v/>
      </c>
      <c r="C15" s="34" t="str">
        <f t="shared" si="10"/>
        <v/>
      </c>
      <c r="D15" s="34" t="str">
        <f t="shared" si="11"/>
        <v/>
      </c>
      <c r="E15" s="6"/>
      <c r="F15" s="17"/>
      <c r="G15" s="18"/>
      <c r="H15" s="18"/>
      <c r="I15" s="19" t="str">
        <f t="shared" si="12"/>
        <v/>
      </c>
      <c r="J15" s="20" t="str">
        <f t="shared" si="3"/>
        <v/>
      </c>
      <c r="K15" s="17"/>
      <c r="L15" s="18"/>
      <c r="M15" s="18"/>
      <c r="N15" s="19" t="str">
        <f t="shared" si="6"/>
        <v/>
      </c>
      <c r="O15" s="20" t="str">
        <f t="shared" si="4"/>
        <v/>
      </c>
      <c r="P15" s="17"/>
      <c r="Q15" s="18"/>
      <c r="R15" s="18"/>
      <c r="S15" s="19" t="str">
        <f t="shared" si="7"/>
        <v/>
      </c>
      <c r="T15" s="20" t="str">
        <f t="shared" si="5"/>
        <v/>
      </c>
      <c r="U15" s="21" t="str">
        <f t="shared" si="0"/>
        <v/>
      </c>
      <c r="V15" s="22" t="str">
        <f t="shared" si="1"/>
        <v/>
      </c>
      <c r="W15" s="23" t="str">
        <f t="shared" si="2"/>
        <v/>
      </c>
    </row>
    <row r="16" spans="1:23" x14ac:dyDescent="0.4">
      <c r="A16" s="33" t="str">
        <f t="shared" si="8"/>
        <v/>
      </c>
      <c r="B16" s="34" t="str">
        <f t="shared" si="9"/>
        <v/>
      </c>
      <c r="C16" s="34" t="str">
        <f t="shared" si="10"/>
        <v/>
      </c>
      <c r="D16" s="34" t="str">
        <f t="shared" si="11"/>
        <v/>
      </c>
      <c r="E16" s="6"/>
      <c r="F16" s="17"/>
      <c r="G16" s="18"/>
      <c r="H16" s="18"/>
      <c r="I16" s="19" t="str">
        <f t="shared" si="12"/>
        <v/>
      </c>
      <c r="J16" s="20" t="str">
        <f t="shared" si="3"/>
        <v/>
      </c>
      <c r="K16" s="17"/>
      <c r="L16" s="18"/>
      <c r="M16" s="18"/>
      <c r="N16" s="19" t="str">
        <f t="shared" si="6"/>
        <v/>
      </c>
      <c r="O16" s="20" t="str">
        <f t="shared" si="4"/>
        <v/>
      </c>
      <c r="P16" s="17"/>
      <c r="Q16" s="18"/>
      <c r="R16" s="18"/>
      <c r="S16" s="19" t="str">
        <f t="shared" si="7"/>
        <v/>
      </c>
      <c r="T16" s="20" t="str">
        <f t="shared" si="5"/>
        <v/>
      </c>
      <c r="U16" s="21" t="str">
        <f t="shared" si="0"/>
        <v/>
      </c>
      <c r="V16" s="22" t="str">
        <f t="shared" si="1"/>
        <v/>
      </c>
      <c r="W16" s="23" t="str">
        <f t="shared" si="2"/>
        <v/>
      </c>
    </row>
    <row r="17" spans="1:23" x14ac:dyDescent="0.4">
      <c r="A17" s="33" t="str">
        <f t="shared" si="8"/>
        <v/>
      </c>
      <c r="B17" s="34" t="str">
        <f t="shared" si="9"/>
        <v/>
      </c>
      <c r="C17" s="34" t="str">
        <f t="shared" si="10"/>
        <v/>
      </c>
      <c r="D17" s="34" t="str">
        <f t="shared" si="11"/>
        <v/>
      </c>
      <c r="E17" s="6"/>
      <c r="F17" s="17"/>
      <c r="G17" s="18"/>
      <c r="H17" s="18"/>
      <c r="I17" s="19" t="str">
        <f t="shared" si="12"/>
        <v/>
      </c>
      <c r="J17" s="20" t="str">
        <f t="shared" si="3"/>
        <v/>
      </c>
      <c r="K17" s="17"/>
      <c r="L17" s="18"/>
      <c r="M17" s="18"/>
      <c r="N17" s="19" t="str">
        <f t="shared" si="6"/>
        <v/>
      </c>
      <c r="O17" s="20" t="str">
        <f t="shared" si="4"/>
        <v/>
      </c>
      <c r="P17" s="17"/>
      <c r="Q17" s="18"/>
      <c r="R17" s="18"/>
      <c r="S17" s="19" t="str">
        <f t="shared" si="7"/>
        <v/>
      </c>
      <c r="T17" s="20" t="str">
        <f t="shared" si="5"/>
        <v/>
      </c>
      <c r="U17" s="21" t="str">
        <f t="shared" si="0"/>
        <v/>
      </c>
      <c r="V17" s="22" t="str">
        <f t="shared" si="1"/>
        <v/>
      </c>
      <c r="W17" s="23" t="str">
        <f t="shared" si="2"/>
        <v/>
      </c>
    </row>
    <row r="18" spans="1:23" x14ac:dyDescent="0.4">
      <c r="A18" s="33" t="str">
        <f t="shared" si="8"/>
        <v/>
      </c>
      <c r="B18" s="34" t="str">
        <f t="shared" si="9"/>
        <v/>
      </c>
      <c r="C18" s="34" t="str">
        <f t="shared" si="10"/>
        <v/>
      </c>
      <c r="D18" s="34" t="str">
        <f t="shared" si="11"/>
        <v/>
      </c>
      <c r="E18" s="6"/>
      <c r="F18" s="17"/>
      <c r="G18" s="18"/>
      <c r="H18" s="18"/>
      <c r="I18" s="19" t="str">
        <f t="shared" si="12"/>
        <v/>
      </c>
      <c r="J18" s="20" t="str">
        <f t="shared" si="3"/>
        <v/>
      </c>
      <c r="K18" s="17"/>
      <c r="L18" s="18"/>
      <c r="M18" s="18"/>
      <c r="N18" s="19" t="str">
        <f t="shared" si="6"/>
        <v/>
      </c>
      <c r="O18" s="20" t="str">
        <f t="shared" si="4"/>
        <v/>
      </c>
      <c r="P18" s="17"/>
      <c r="Q18" s="18"/>
      <c r="R18" s="18"/>
      <c r="S18" s="19" t="str">
        <f t="shared" si="7"/>
        <v/>
      </c>
      <c r="T18" s="20" t="str">
        <f t="shared" si="5"/>
        <v/>
      </c>
      <c r="U18" s="21" t="str">
        <f t="shared" si="0"/>
        <v/>
      </c>
      <c r="V18" s="22" t="str">
        <f t="shared" si="1"/>
        <v/>
      </c>
      <c r="W18" s="23" t="str">
        <f t="shared" si="2"/>
        <v/>
      </c>
    </row>
    <row r="19" spans="1:23" x14ac:dyDescent="0.4">
      <c r="A19" s="33" t="str">
        <f t="shared" si="8"/>
        <v/>
      </c>
      <c r="B19" s="34" t="str">
        <f t="shared" si="9"/>
        <v/>
      </c>
      <c r="C19" s="34" t="str">
        <f t="shared" si="10"/>
        <v/>
      </c>
      <c r="D19" s="34" t="str">
        <f t="shared" si="11"/>
        <v/>
      </c>
      <c r="E19" s="6"/>
      <c r="F19" s="17"/>
      <c r="G19" s="18"/>
      <c r="H19" s="18"/>
      <c r="I19" s="19" t="str">
        <f t="shared" si="12"/>
        <v/>
      </c>
      <c r="J19" s="20" t="str">
        <f t="shared" si="3"/>
        <v/>
      </c>
      <c r="K19" s="17"/>
      <c r="L19" s="18"/>
      <c r="M19" s="18"/>
      <c r="N19" s="19" t="str">
        <f t="shared" si="6"/>
        <v/>
      </c>
      <c r="O19" s="20" t="str">
        <f t="shared" si="4"/>
        <v/>
      </c>
      <c r="P19" s="17"/>
      <c r="Q19" s="18"/>
      <c r="R19" s="18"/>
      <c r="S19" s="19" t="str">
        <f t="shared" si="7"/>
        <v/>
      </c>
      <c r="T19" s="20" t="str">
        <f t="shared" si="5"/>
        <v/>
      </c>
      <c r="U19" s="21" t="str">
        <f t="shared" si="0"/>
        <v/>
      </c>
      <c r="V19" s="22" t="str">
        <f t="shared" si="1"/>
        <v/>
      </c>
      <c r="W19" s="23" t="str">
        <f t="shared" si="2"/>
        <v/>
      </c>
    </row>
    <row r="20" spans="1:23" x14ac:dyDescent="0.4">
      <c r="A20" s="33" t="str">
        <f t="shared" si="8"/>
        <v/>
      </c>
      <c r="B20" s="34" t="str">
        <f t="shared" si="9"/>
        <v/>
      </c>
      <c r="C20" s="34" t="str">
        <f t="shared" si="10"/>
        <v/>
      </c>
      <c r="D20" s="34" t="str">
        <f t="shared" si="11"/>
        <v/>
      </c>
      <c r="E20" s="6"/>
      <c r="F20" s="17"/>
      <c r="G20" s="18"/>
      <c r="H20" s="18"/>
      <c r="I20" s="19" t="str">
        <f t="shared" si="12"/>
        <v/>
      </c>
      <c r="J20" s="20" t="str">
        <f t="shared" si="3"/>
        <v/>
      </c>
      <c r="K20" s="17"/>
      <c r="L20" s="18"/>
      <c r="M20" s="18"/>
      <c r="N20" s="19" t="str">
        <f t="shared" si="6"/>
        <v/>
      </c>
      <c r="O20" s="20" t="str">
        <f t="shared" si="4"/>
        <v/>
      </c>
      <c r="P20" s="17"/>
      <c r="Q20" s="18"/>
      <c r="R20" s="18"/>
      <c r="S20" s="19" t="str">
        <f t="shared" si="7"/>
        <v/>
      </c>
      <c r="T20" s="20" t="str">
        <f t="shared" si="5"/>
        <v/>
      </c>
      <c r="U20" s="21" t="str">
        <f t="shared" si="0"/>
        <v/>
      </c>
      <c r="V20" s="22" t="str">
        <f t="shared" si="1"/>
        <v/>
      </c>
      <c r="W20" s="23" t="str">
        <f t="shared" si="2"/>
        <v/>
      </c>
    </row>
    <row r="21" spans="1:23" x14ac:dyDescent="0.4">
      <c r="A21" s="33" t="str">
        <f t="shared" si="8"/>
        <v/>
      </c>
      <c r="B21" s="34" t="str">
        <f t="shared" si="9"/>
        <v/>
      </c>
      <c r="C21" s="34" t="str">
        <f t="shared" si="10"/>
        <v/>
      </c>
      <c r="D21" s="34" t="str">
        <f t="shared" si="11"/>
        <v/>
      </c>
      <c r="E21" s="6"/>
      <c r="F21" s="17"/>
      <c r="G21" s="18"/>
      <c r="H21" s="18"/>
      <c r="I21" s="19" t="str">
        <f t="shared" si="12"/>
        <v/>
      </c>
      <c r="J21" s="20" t="str">
        <f t="shared" si="3"/>
        <v/>
      </c>
      <c r="K21" s="17"/>
      <c r="L21" s="18"/>
      <c r="M21" s="18"/>
      <c r="N21" s="19" t="str">
        <f t="shared" si="6"/>
        <v/>
      </c>
      <c r="O21" s="20" t="str">
        <f t="shared" si="4"/>
        <v/>
      </c>
      <c r="P21" s="17"/>
      <c r="Q21" s="18"/>
      <c r="R21" s="18"/>
      <c r="S21" s="19" t="str">
        <f t="shared" si="7"/>
        <v/>
      </c>
      <c r="T21" s="20" t="str">
        <f t="shared" si="5"/>
        <v/>
      </c>
      <c r="U21" s="21" t="str">
        <f t="shared" si="0"/>
        <v/>
      </c>
      <c r="V21" s="22" t="str">
        <f t="shared" si="1"/>
        <v/>
      </c>
      <c r="W21" s="23" t="str">
        <f t="shared" si="2"/>
        <v/>
      </c>
    </row>
    <row r="22" spans="1:23" x14ac:dyDescent="0.4">
      <c r="A22" s="33" t="str">
        <f t="shared" si="8"/>
        <v/>
      </c>
      <c r="B22" s="34" t="str">
        <f t="shared" si="9"/>
        <v/>
      </c>
      <c r="C22" s="34" t="str">
        <f t="shared" si="10"/>
        <v/>
      </c>
      <c r="D22" s="34" t="str">
        <f t="shared" si="11"/>
        <v/>
      </c>
      <c r="E22" s="6"/>
      <c r="F22" s="17"/>
      <c r="G22" s="18"/>
      <c r="H22" s="18"/>
      <c r="I22" s="19" t="str">
        <f t="shared" si="12"/>
        <v/>
      </c>
      <c r="J22" s="20" t="str">
        <f t="shared" si="3"/>
        <v/>
      </c>
      <c r="K22" s="17"/>
      <c r="L22" s="18"/>
      <c r="M22" s="18"/>
      <c r="N22" s="19" t="str">
        <f t="shared" si="6"/>
        <v/>
      </c>
      <c r="O22" s="20" t="str">
        <f t="shared" si="4"/>
        <v/>
      </c>
      <c r="P22" s="17"/>
      <c r="Q22" s="18"/>
      <c r="R22" s="18"/>
      <c r="S22" s="19" t="str">
        <f t="shared" si="7"/>
        <v/>
      </c>
      <c r="T22" s="20" t="str">
        <f t="shared" si="5"/>
        <v/>
      </c>
      <c r="U22" s="21" t="str">
        <f t="shared" si="0"/>
        <v/>
      </c>
      <c r="V22" s="22" t="str">
        <f t="shared" si="1"/>
        <v/>
      </c>
      <c r="W22" s="23" t="str">
        <f t="shared" si="2"/>
        <v/>
      </c>
    </row>
    <row r="23" spans="1:23" x14ac:dyDescent="0.4">
      <c r="A23" s="33" t="str">
        <f t="shared" si="8"/>
        <v/>
      </c>
      <c r="B23" s="34" t="str">
        <f t="shared" si="9"/>
        <v/>
      </c>
      <c r="C23" s="34" t="str">
        <f t="shared" si="10"/>
        <v/>
      </c>
      <c r="D23" s="34" t="str">
        <f t="shared" si="11"/>
        <v/>
      </c>
      <c r="E23" s="6"/>
      <c r="F23" s="17"/>
      <c r="G23" s="18"/>
      <c r="H23" s="18"/>
      <c r="I23" s="19" t="str">
        <f t="shared" si="12"/>
        <v/>
      </c>
      <c r="J23" s="20" t="str">
        <f t="shared" si="3"/>
        <v/>
      </c>
      <c r="K23" s="17"/>
      <c r="L23" s="18"/>
      <c r="M23" s="18"/>
      <c r="N23" s="19" t="str">
        <f t="shared" si="6"/>
        <v/>
      </c>
      <c r="O23" s="20" t="str">
        <f t="shared" si="4"/>
        <v/>
      </c>
      <c r="P23" s="17"/>
      <c r="Q23" s="18"/>
      <c r="R23" s="18"/>
      <c r="S23" s="19" t="str">
        <f t="shared" si="7"/>
        <v/>
      </c>
      <c r="T23" s="20" t="str">
        <f t="shared" si="5"/>
        <v/>
      </c>
      <c r="U23" s="21" t="str">
        <f t="shared" si="0"/>
        <v/>
      </c>
      <c r="V23" s="22" t="str">
        <f t="shared" si="1"/>
        <v/>
      </c>
      <c r="W23" s="23" t="str">
        <f t="shared" si="2"/>
        <v/>
      </c>
    </row>
    <row r="24" spans="1:23" x14ac:dyDescent="0.4">
      <c r="A24" s="33" t="str">
        <f t="shared" si="8"/>
        <v/>
      </c>
      <c r="B24" s="34" t="str">
        <f t="shared" si="9"/>
        <v/>
      </c>
      <c r="C24" s="34" t="str">
        <f t="shared" si="10"/>
        <v/>
      </c>
      <c r="D24" s="34" t="str">
        <f t="shared" si="11"/>
        <v/>
      </c>
      <c r="E24" s="6"/>
      <c r="F24" s="17"/>
      <c r="G24" s="18"/>
      <c r="H24" s="18"/>
      <c r="I24" s="19" t="str">
        <f t="shared" si="12"/>
        <v/>
      </c>
      <c r="J24" s="20" t="str">
        <f t="shared" si="3"/>
        <v/>
      </c>
      <c r="K24" s="17"/>
      <c r="L24" s="18"/>
      <c r="M24" s="18"/>
      <c r="N24" s="19" t="str">
        <f t="shared" si="6"/>
        <v/>
      </c>
      <c r="O24" s="20" t="str">
        <f t="shared" si="4"/>
        <v/>
      </c>
      <c r="P24" s="17"/>
      <c r="Q24" s="18"/>
      <c r="R24" s="18"/>
      <c r="S24" s="19" t="str">
        <f t="shared" si="7"/>
        <v/>
      </c>
      <c r="T24" s="20" t="str">
        <f t="shared" si="5"/>
        <v/>
      </c>
      <c r="U24" s="21" t="str">
        <f t="shared" si="0"/>
        <v/>
      </c>
      <c r="V24" s="22" t="str">
        <f t="shared" si="1"/>
        <v/>
      </c>
      <c r="W24" s="23" t="str">
        <f t="shared" si="2"/>
        <v/>
      </c>
    </row>
    <row r="25" spans="1:23" x14ac:dyDescent="0.4">
      <c r="A25" s="33" t="str">
        <f t="shared" si="8"/>
        <v/>
      </c>
      <c r="B25" s="34" t="str">
        <f t="shared" si="9"/>
        <v/>
      </c>
      <c r="C25" s="34" t="str">
        <f t="shared" si="10"/>
        <v/>
      </c>
      <c r="D25" s="34" t="str">
        <f t="shared" si="11"/>
        <v/>
      </c>
      <c r="E25" s="6"/>
      <c r="F25" s="17"/>
      <c r="G25" s="18"/>
      <c r="H25" s="18"/>
      <c r="I25" s="19" t="str">
        <f t="shared" si="12"/>
        <v/>
      </c>
      <c r="J25" s="20" t="str">
        <f t="shared" si="3"/>
        <v/>
      </c>
      <c r="K25" s="17"/>
      <c r="L25" s="18"/>
      <c r="M25" s="18"/>
      <c r="N25" s="19" t="str">
        <f t="shared" si="6"/>
        <v/>
      </c>
      <c r="O25" s="20" t="str">
        <f t="shared" si="4"/>
        <v/>
      </c>
      <c r="P25" s="17"/>
      <c r="Q25" s="18"/>
      <c r="R25" s="18"/>
      <c r="S25" s="19" t="str">
        <f t="shared" si="7"/>
        <v/>
      </c>
      <c r="T25" s="20" t="str">
        <f t="shared" si="5"/>
        <v/>
      </c>
      <c r="U25" s="21" t="str">
        <f t="shared" si="0"/>
        <v/>
      </c>
      <c r="V25" s="22" t="str">
        <f t="shared" si="1"/>
        <v/>
      </c>
      <c r="W25" s="23" t="str">
        <f t="shared" si="2"/>
        <v/>
      </c>
    </row>
    <row r="26" spans="1:23" x14ac:dyDescent="0.4">
      <c r="A26" s="33" t="str">
        <f t="shared" si="8"/>
        <v/>
      </c>
      <c r="B26" s="34" t="str">
        <f t="shared" si="9"/>
        <v/>
      </c>
      <c r="C26" s="34" t="str">
        <f t="shared" si="10"/>
        <v/>
      </c>
      <c r="D26" s="34" t="str">
        <f t="shared" si="11"/>
        <v/>
      </c>
      <c r="E26" s="6"/>
      <c r="F26" s="17"/>
      <c r="G26" s="18"/>
      <c r="H26" s="18"/>
      <c r="I26" s="19" t="str">
        <f t="shared" si="12"/>
        <v/>
      </c>
      <c r="J26" s="20" t="str">
        <f t="shared" si="3"/>
        <v/>
      </c>
      <c r="K26" s="17"/>
      <c r="L26" s="18"/>
      <c r="M26" s="18"/>
      <c r="N26" s="19" t="str">
        <f t="shared" si="6"/>
        <v/>
      </c>
      <c r="O26" s="20" t="str">
        <f t="shared" si="4"/>
        <v/>
      </c>
      <c r="P26" s="17"/>
      <c r="Q26" s="18"/>
      <c r="R26" s="18"/>
      <c r="S26" s="19" t="str">
        <f t="shared" si="7"/>
        <v/>
      </c>
      <c r="T26" s="20" t="str">
        <f t="shared" si="5"/>
        <v/>
      </c>
      <c r="U26" s="21" t="str">
        <f t="shared" si="0"/>
        <v/>
      </c>
      <c r="V26" s="22" t="str">
        <f t="shared" si="1"/>
        <v/>
      </c>
      <c r="W26" s="23" t="str">
        <f t="shared" si="2"/>
        <v/>
      </c>
    </row>
    <row r="27" spans="1:23" x14ac:dyDescent="0.4">
      <c r="A27" s="33" t="str">
        <f t="shared" si="8"/>
        <v/>
      </c>
      <c r="B27" s="34" t="str">
        <f t="shared" si="9"/>
        <v/>
      </c>
      <c r="C27" s="34" t="str">
        <f t="shared" si="10"/>
        <v/>
      </c>
      <c r="D27" s="34" t="str">
        <f t="shared" si="11"/>
        <v/>
      </c>
      <c r="E27" s="6"/>
      <c r="F27" s="17"/>
      <c r="G27" s="18"/>
      <c r="H27" s="18"/>
      <c r="I27" s="19" t="str">
        <f t="shared" si="12"/>
        <v/>
      </c>
      <c r="J27" s="20" t="str">
        <f t="shared" si="3"/>
        <v/>
      </c>
      <c r="K27" s="17"/>
      <c r="L27" s="18"/>
      <c r="M27" s="18"/>
      <c r="N27" s="19" t="str">
        <f t="shared" si="6"/>
        <v/>
      </c>
      <c r="O27" s="20" t="str">
        <f t="shared" si="4"/>
        <v/>
      </c>
      <c r="P27" s="17"/>
      <c r="Q27" s="18"/>
      <c r="R27" s="18"/>
      <c r="S27" s="19" t="str">
        <f t="shared" si="7"/>
        <v/>
      </c>
      <c r="T27" s="20" t="str">
        <f t="shared" si="5"/>
        <v/>
      </c>
      <c r="U27" s="21" t="str">
        <f t="shared" si="0"/>
        <v/>
      </c>
      <c r="V27" s="22" t="str">
        <f t="shared" si="1"/>
        <v/>
      </c>
      <c r="W27" s="23" t="str">
        <f t="shared" si="2"/>
        <v/>
      </c>
    </row>
    <row r="28" spans="1:23" x14ac:dyDescent="0.4">
      <c r="A28" s="33" t="str">
        <f t="shared" si="8"/>
        <v/>
      </c>
      <c r="B28" s="34" t="str">
        <f t="shared" si="9"/>
        <v/>
      </c>
      <c r="C28" s="34" t="str">
        <f t="shared" si="10"/>
        <v/>
      </c>
      <c r="D28" s="34" t="str">
        <f t="shared" si="11"/>
        <v/>
      </c>
      <c r="E28" s="6"/>
      <c r="F28" s="17"/>
      <c r="G28" s="18"/>
      <c r="H28" s="18"/>
      <c r="I28" s="19" t="str">
        <f t="shared" si="12"/>
        <v/>
      </c>
      <c r="J28" s="20" t="str">
        <f t="shared" si="3"/>
        <v/>
      </c>
      <c r="K28" s="17"/>
      <c r="L28" s="18"/>
      <c r="M28" s="18"/>
      <c r="N28" s="19" t="str">
        <f t="shared" si="6"/>
        <v/>
      </c>
      <c r="O28" s="20" t="str">
        <f t="shared" si="4"/>
        <v/>
      </c>
      <c r="P28" s="17"/>
      <c r="Q28" s="18"/>
      <c r="R28" s="18"/>
      <c r="S28" s="19" t="str">
        <f t="shared" si="7"/>
        <v/>
      </c>
      <c r="T28" s="20" t="str">
        <f t="shared" si="5"/>
        <v/>
      </c>
      <c r="U28" s="21" t="str">
        <f t="shared" si="0"/>
        <v/>
      </c>
      <c r="V28" s="22" t="str">
        <f t="shared" si="1"/>
        <v/>
      </c>
      <c r="W28" s="23" t="str">
        <f t="shared" si="2"/>
        <v/>
      </c>
    </row>
    <row r="29" spans="1:23" x14ac:dyDescent="0.4">
      <c r="A29" s="33" t="str">
        <f t="shared" si="8"/>
        <v/>
      </c>
      <c r="B29" s="34" t="str">
        <f t="shared" si="9"/>
        <v/>
      </c>
      <c r="C29" s="34" t="str">
        <f t="shared" si="10"/>
        <v/>
      </c>
      <c r="D29" s="34" t="str">
        <f t="shared" si="11"/>
        <v/>
      </c>
      <c r="E29" s="6"/>
      <c r="F29" s="17"/>
      <c r="G29" s="18"/>
      <c r="H29" s="18"/>
      <c r="I29" s="19" t="str">
        <f t="shared" si="12"/>
        <v/>
      </c>
      <c r="J29" s="20" t="str">
        <f t="shared" si="3"/>
        <v/>
      </c>
      <c r="K29" s="17"/>
      <c r="L29" s="18"/>
      <c r="M29" s="18"/>
      <c r="N29" s="19" t="str">
        <f t="shared" si="6"/>
        <v/>
      </c>
      <c r="O29" s="20" t="str">
        <f t="shared" si="4"/>
        <v/>
      </c>
      <c r="P29" s="17"/>
      <c r="Q29" s="18"/>
      <c r="R29" s="18"/>
      <c r="S29" s="19" t="str">
        <f t="shared" si="7"/>
        <v/>
      </c>
      <c r="T29" s="20" t="str">
        <f t="shared" si="5"/>
        <v/>
      </c>
      <c r="U29" s="21" t="str">
        <f t="shared" si="0"/>
        <v/>
      </c>
      <c r="V29" s="22" t="str">
        <f t="shared" si="1"/>
        <v/>
      </c>
      <c r="W29" s="23" t="str">
        <f t="shared" si="2"/>
        <v/>
      </c>
    </row>
    <row r="30" spans="1:23" x14ac:dyDescent="0.4">
      <c r="A30" s="35" t="str">
        <f t="shared" si="8"/>
        <v/>
      </c>
      <c r="B30" s="36" t="str">
        <f t="shared" si="9"/>
        <v/>
      </c>
      <c r="C30" s="36" t="str">
        <f t="shared" si="10"/>
        <v/>
      </c>
      <c r="D30" s="36" t="str">
        <f t="shared" si="11"/>
        <v/>
      </c>
      <c r="E30" s="7"/>
      <c r="F30" s="24"/>
      <c r="G30" s="25"/>
      <c r="H30" s="25"/>
      <c r="I30" s="26" t="str">
        <f t="shared" si="12"/>
        <v/>
      </c>
      <c r="J30" s="27" t="str">
        <f t="shared" si="3"/>
        <v/>
      </c>
      <c r="K30" s="24"/>
      <c r="L30" s="25"/>
      <c r="M30" s="25"/>
      <c r="N30" s="26" t="str">
        <f t="shared" si="6"/>
        <v/>
      </c>
      <c r="O30" s="27" t="str">
        <f t="shared" si="4"/>
        <v/>
      </c>
      <c r="P30" s="24"/>
      <c r="Q30" s="25"/>
      <c r="R30" s="25"/>
      <c r="S30" s="26" t="str">
        <f t="shared" si="7"/>
        <v/>
      </c>
      <c r="T30" s="27" t="str">
        <f t="shared" si="5"/>
        <v/>
      </c>
      <c r="U30" s="28" t="str">
        <f t="shared" si="0"/>
        <v/>
      </c>
      <c r="V30" s="29" t="str">
        <f t="shared" si="1"/>
        <v/>
      </c>
      <c r="W30" s="30" t="str">
        <f t="shared" si="2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J14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s="37" customFormat="1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</row>
    <row r="3" spans="1:10" x14ac:dyDescent="0.4">
      <c r="A3" s="37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</row>
    <row r="4" spans="1:10" x14ac:dyDescent="0.4">
      <c r="A4" s="37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</row>
    <row r="5" spans="1:10" x14ac:dyDescent="0.4">
      <c r="A5" s="37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</row>
    <row r="6" spans="1:10" x14ac:dyDescent="0.4">
      <c r="A6" s="37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</row>
    <row r="7" spans="1:10" x14ac:dyDescent="0.4">
      <c r="A7" s="37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</row>
    <row r="8" spans="1:10" x14ac:dyDescent="0.4">
      <c r="A8" s="37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</row>
    <row r="9" spans="1:10" x14ac:dyDescent="0.4">
      <c r="A9" s="37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</row>
    <row r="10" spans="1:10" x14ac:dyDescent="0.4">
      <c r="A10" s="37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</row>
    <row r="11" spans="1:10" x14ac:dyDescent="0.4">
      <c r="A11" s="37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</row>
    <row r="12" spans="1:10" x14ac:dyDescent="0.4">
      <c r="A12" s="37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</row>
    <row r="14" spans="1:10" x14ac:dyDescent="0.4">
      <c r="B14" s="37"/>
      <c r="C14" s="37"/>
      <c r="D14" s="37"/>
      <c r="E14" s="37"/>
      <c r="F14" s="37"/>
      <c r="G14" s="37"/>
      <c r="H14" s="37"/>
      <c r="I14" s="37"/>
      <c r="J14" s="37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J14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s="37" customFormat="1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</row>
    <row r="3" spans="1:10" x14ac:dyDescent="0.4">
      <c r="A3" s="37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</row>
    <row r="4" spans="1:10" x14ac:dyDescent="0.4">
      <c r="A4" s="37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</row>
    <row r="5" spans="1:10" x14ac:dyDescent="0.4">
      <c r="A5" s="37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</row>
    <row r="6" spans="1:10" x14ac:dyDescent="0.4">
      <c r="A6" s="37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</row>
    <row r="7" spans="1:10" x14ac:dyDescent="0.4">
      <c r="A7" s="37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</row>
    <row r="8" spans="1:10" x14ac:dyDescent="0.4">
      <c r="A8" s="37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</row>
    <row r="9" spans="1:10" x14ac:dyDescent="0.4">
      <c r="A9" s="37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</row>
    <row r="10" spans="1:10" x14ac:dyDescent="0.4">
      <c r="A10" s="37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</row>
    <row r="11" spans="1:10" x14ac:dyDescent="0.4">
      <c r="A11" s="37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</row>
    <row r="12" spans="1:10" x14ac:dyDescent="0.4">
      <c r="A12" s="37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</row>
    <row r="14" spans="1:10" x14ac:dyDescent="0.4">
      <c r="B14" s="37"/>
      <c r="C14" s="37"/>
      <c r="D14" s="37"/>
      <c r="E14" s="37"/>
      <c r="F14" s="37"/>
      <c r="G14" s="37"/>
      <c r="H14" s="37"/>
      <c r="I14" s="37"/>
      <c r="J14" s="37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J12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</row>
    <row r="3" spans="1:10" x14ac:dyDescent="0.4">
      <c r="A3" s="37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</row>
    <row r="4" spans="1:10" x14ac:dyDescent="0.4">
      <c r="A4" s="37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</row>
    <row r="5" spans="1:10" x14ac:dyDescent="0.4">
      <c r="A5" s="37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</row>
    <row r="6" spans="1:10" x14ac:dyDescent="0.4">
      <c r="A6" s="37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</row>
    <row r="7" spans="1:10" x14ac:dyDescent="0.4">
      <c r="A7" s="37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</row>
    <row r="8" spans="1:10" x14ac:dyDescent="0.4">
      <c r="A8" s="37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</row>
    <row r="9" spans="1:10" x14ac:dyDescent="0.4">
      <c r="A9" s="37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</row>
    <row r="10" spans="1:10" x14ac:dyDescent="0.4">
      <c r="A10" s="37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</row>
    <row r="11" spans="1:10" x14ac:dyDescent="0.4">
      <c r="A11" s="37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</row>
    <row r="12" spans="1:10" x14ac:dyDescent="0.4">
      <c r="A12" s="37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J12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s="37" customFormat="1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</row>
    <row r="3" spans="1:10" x14ac:dyDescent="0.4">
      <c r="A3" s="37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</row>
    <row r="4" spans="1:10" x14ac:dyDescent="0.4">
      <c r="A4" s="37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</row>
    <row r="5" spans="1:10" x14ac:dyDescent="0.4">
      <c r="A5" s="37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</row>
    <row r="6" spans="1:10" x14ac:dyDescent="0.4">
      <c r="A6" s="37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</row>
    <row r="7" spans="1:10" x14ac:dyDescent="0.4">
      <c r="A7" s="37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</row>
    <row r="8" spans="1:10" x14ac:dyDescent="0.4">
      <c r="A8" s="37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</row>
    <row r="9" spans="1:10" x14ac:dyDescent="0.4">
      <c r="A9" s="37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</row>
    <row r="10" spans="1:10" x14ac:dyDescent="0.4">
      <c r="A10" s="37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</row>
    <row r="11" spans="1:10" x14ac:dyDescent="0.4">
      <c r="A11" s="37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</row>
    <row r="12" spans="1:10" x14ac:dyDescent="0.4">
      <c r="A12" s="37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J14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s="37" customFormat="1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</row>
    <row r="3" spans="1:10" x14ac:dyDescent="0.4">
      <c r="A3" s="37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</row>
    <row r="4" spans="1:10" x14ac:dyDescent="0.4">
      <c r="A4" s="37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</row>
    <row r="5" spans="1:10" x14ac:dyDescent="0.4">
      <c r="A5" s="37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</row>
    <row r="6" spans="1:10" x14ac:dyDescent="0.4">
      <c r="A6" s="37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</row>
    <row r="7" spans="1:10" x14ac:dyDescent="0.4">
      <c r="A7" s="37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</row>
    <row r="8" spans="1:10" x14ac:dyDescent="0.4">
      <c r="A8" s="37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</row>
    <row r="9" spans="1:10" x14ac:dyDescent="0.4">
      <c r="A9" s="37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</row>
    <row r="10" spans="1:10" x14ac:dyDescent="0.4">
      <c r="A10" s="37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</row>
    <row r="11" spans="1:10" x14ac:dyDescent="0.4">
      <c r="A11" s="37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</row>
    <row r="12" spans="1:10" x14ac:dyDescent="0.4">
      <c r="A12" s="37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</row>
    <row r="14" spans="1:10" x14ac:dyDescent="0.4">
      <c r="B14" s="37"/>
      <c r="C14" s="37"/>
      <c r="D14" s="37"/>
      <c r="E14" s="37"/>
      <c r="F14" s="37"/>
      <c r="G14" s="37"/>
      <c r="H14" s="37"/>
      <c r="I14" s="37"/>
      <c r="J14" s="37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J12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</row>
    <row r="3" spans="1:10" x14ac:dyDescent="0.4">
      <c r="A3" s="37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</row>
    <row r="4" spans="1:10" x14ac:dyDescent="0.4">
      <c r="A4" s="37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</row>
    <row r="5" spans="1:10" x14ac:dyDescent="0.4">
      <c r="A5" s="37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</row>
    <row r="6" spans="1:10" x14ac:dyDescent="0.4">
      <c r="A6" s="37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</row>
    <row r="7" spans="1:10" x14ac:dyDescent="0.4">
      <c r="A7" s="37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</row>
    <row r="8" spans="1:10" x14ac:dyDescent="0.4">
      <c r="A8" s="37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</row>
    <row r="9" spans="1:10" x14ac:dyDescent="0.4">
      <c r="A9" s="37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</row>
    <row r="10" spans="1:10" x14ac:dyDescent="0.4">
      <c r="A10" s="37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</row>
    <row r="11" spans="1:10" x14ac:dyDescent="0.4">
      <c r="A11" s="37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</row>
    <row r="12" spans="1:10" x14ac:dyDescent="0.4">
      <c r="A12" s="37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J12"/>
  <sheetViews>
    <sheetView workbookViewId="0">
      <selection sqref="A1:A2"/>
    </sheetView>
  </sheetViews>
  <sheetFormatPr defaultRowHeight="18.75" x14ac:dyDescent="0.4"/>
  <cols>
    <col min="1" max="1" width="9" style="37"/>
  </cols>
  <sheetData>
    <row r="1" spans="1:10" x14ac:dyDescent="0.4"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 t="s">
        <v>15</v>
      </c>
      <c r="H1" s="37" t="s">
        <v>16</v>
      </c>
      <c r="I1" s="37" t="s">
        <v>17</v>
      </c>
      <c r="J1" s="37" t="s">
        <v>18</v>
      </c>
    </row>
    <row r="2" spans="1:10" x14ac:dyDescent="0.4">
      <c r="A2" s="37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</row>
    <row r="3" spans="1:10" x14ac:dyDescent="0.4">
      <c r="A3" s="37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</row>
    <row r="4" spans="1:10" x14ac:dyDescent="0.4">
      <c r="A4" s="37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</row>
    <row r="5" spans="1:10" x14ac:dyDescent="0.4">
      <c r="A5" s="37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</row>
    <row r="6" spans="1:10" x14ac:dyDescent="0.4">
      <c r="A6" s="37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</row>
    <row r="7" spans="1:10" x14ac:dyDescent="0.4">
      <c r="A7" s="37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</row>
    <row r="8" spans="1:10" x14ac:dyDescent="0.4">
      <c r="A8" s="37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</row>
    <row r="9" spans="1:10" x14ac:dyDescent="0.4">
      <c r="A9" s="37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</row>
    <row r="10" spans="1:10" x14ac:dyDescent="0.4">
      <c r="A10" s="37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</row>
    <row r="11" spans="1:10" x14ac:dyDescent="0.4">
      <c r="A11" s="37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</row>
    <row r="12" spans="1:10" x14ac:dyDescent="0.4">
      <c r="A12" s="37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Sheet1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2018-12-07T18:37:35Z</dcterms:modified>
</cp:coreProperties>
</file>