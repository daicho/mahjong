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対局\"/>
    </mc:Choice>
  </mc:AlternateContent>
  <xr:revisionPtr revIDLastSave="0" documentId="10_ncr:100000_{A0628EA7-32B4-490B-A6F0-E3FB1FE93D74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Sheet4" sheetId="13" r:id="rId4"/>
    <sheet name="Sheet5" sheetId="14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0" i="14" l="1"/>
  <c r="V30" i="14"/>
  <c r="U30" i="14"/>
  <c r="W29" i="14"/>
  <c r="V29" i="14"/>
  <c r="U29" i="14"/>
  <c r="W28" i="14"/>
  <c r="V28" i="14"/>
  <c r="U28" i="14"/>
  <c r="W27" i="14"/>
  <c r="V27" i="14"/>
  <c r="U27" i="14"/>
  <c r="W26" i="14"/>
  <c r="V26" i="14"/>
  <c r="U26" i="14"/>
  <c r="W25" i="14"/>
  <c r="V25" i="14"/>
  <c r="U25" i="14"/>
  <c r="W24" i="14"/>
  <c r="V24" i="14"/>
  <c r="U24" i="14"/>
  <c r="W23" i="14"/>
  <c r="V23" i="14"/>
  <c r="U23" i="14"/>
  <c r="W22" i="14"/>
  <c r="V22" i="14"/>
  <c r="U22" i="14"/>
  <c r="W21" i="14"/>
  <c r="V21" i="14"/>
  <c r="U21" i="14"/>
  <c r="W20" i="14"/>
  <c r="V20" i="14"/>
  <c r="U20" i="14"/>
  <c r="W19" i="14"/>
  <c r="V19" i="14"/>
  <c r="U19" i="14"/>
  <c r="W18" i="14"/>
  <c r="V18" i="14"/>
  <c r="U18" i="14"/>
  <c r="W17" i="14"/>
  <c r="V17" i="14"/>
  <c r="U17" i="14"/>
  <c r="W16" i="14"/>
  <c r="V16" i="14"/>
  <c r="U16" i="14"/>
  <c r="W15" i="14"/>
  <c r="V15" i="14"/>
  <c r="U15" i="14"/>
  <c r="W14" i="14"/>
  <c r="V14" i="14"/>
  <c r="U14" i="14"/>
  <c r="W13" i="14"/>
  <c r="V13" i="14"/>
  <c r="U13" i="14"/>
  <c r="W12" i="14"/>
  <c r="V12" i="14"/>
  <c r="U12" i="14"/>
  <c r="W11" i="14"/>
  <c r="V11" i="14"/>
  <c r="U11" i="14"/>
  <c r="W10" i="14"/>
  <c r="V10" i="14"/>
  <c r="U10" i="14"/>
  <c r="W9" i="14"/>
  <c r="V9" i="14"/>
  <c r="U9" i="14"/>
  <c r="W8" i="14"/>
  <c r="V8" i="14"/>
  <c r="U8" i="14"/>
  <c r="W7" i="14"/>
  <c r="V7" i="14"/>
  <c r="U7" i="14"/>
  <c r="W6" i="14"/>
  <c r="V6" i="14"/>
  <c r="U6" i="14"/>
  <c r="W5" i="14"/>
  <c r="V5" i="14"/>
  <c r="U5" i="14"/>
  <c r="W4" i="14"/>
  <c r="V4" i="14"/>
  <c r="U4" i="14"/>
  <c r="W3" i="14"/>
  <c r="V3" i="14"/>
  <c r="U3" i="14"/>
  <c r="W30" i="13"/>
  <c r="V30" i="13"/>
  <c r="U30" i="13"/>
  <c r="W29" i="13"/>
  <c r="V29" i="13"/>
  <c r="U29" i="13"/>
  <c r="W28" i="13"/>
  <c r="V28" i="13"/>
  <c r="U28" i="13"/>
  <c r="W27" i="13"/>
  <c r="V27" i="13"/>
  <c r="U27" i="13"/>
  <c r="W26" i="13"/>
  <c r="V26" i="13"/>
  <c r="U26" i="13"/>
  <c r="W25" i="13"/>
  <c r="V25" i="13"/>
  <c r="U25" i="13"/>
  <c r="W24" i="13"/>
  <c r="V24" i="13"/>
  <c r="U24" i="13"/>
  <c r="W23" i="13"/>
  <c r="V23" i="13"/>
  <c r="U23" i="13"/>
  <c r="W22" i="13"/>
  <c r="V22" i="13"/>
  <c r="U22" i="13"/>
  <c r="W21" i="13"/>
  <c r="V21" i="13"/>
  <c r="U21" i="13"/>
  <c r="W20" i="13"/>
  <c r="V20" i="13"/>
  <c r="U20" i="13"/>
  <c r="W19" i="13"/>
  <c r="V19" i="13"/>
  <c r="U19" i="13"/>
  <c r="W18" i="13"/>
  <c r="V18" i="13"/>
  <c r="U18" i="13"/>
  <c r="W17" i="13"/>
  <c r="V17" i="13"/>
  <c r="U17" i="13"/>
  <c r="W16" i="13"/>
  <c r="V16" i="13"/>
  <c r="U16" i="13"/>
  <c r="W15" i="13"/>
  <c r="V15" i="13"/>
  <c r="U15" i="13"/>
  <c r="W14" i="13"/>
  <c r="V14" i="13"/>
  <c r="U14" i="13"/>
  <c r="W13" i="13"/>
  <c r="V13" i="13"/>
  <c r="U13" i="13"/>
  <c r="W12" i="13"/>
  <c r="V12" i="13"/>
  <c r="U12" i="13"/>
  <c r="W11" i="13"/>
  <c r="V11" i="13"/>
  <c r="U11" i="13"/>
  <c r="W10" i="13"/>
  <c r="V10" i="13"/>
  <c r="U10" i="13"/>
  <c r="W9" i="13"/>
  <c r="V9" i="13"/>
  <c r="U9" i="13"/>
  <c r="W8" i="13"/>
  <c r="V8" i="13"/>
  <c r="U8" i="13"/>
  <c r="W7" i="13"/>
  <c r="V7" i="13"/>
  <c r="U7" i="13"/>
  <c r="W6" i="13"/>
  <c r="V6" i="13"/>
  <c r="U6" i="13"/>
  <c r="W5" i="13"/>
  <c r="V5" i="13"/>
  <c r="U5" i="13"/>
  <c r="W4" i="13"/>
  <c r="V4" i="13"/>
  <c r="U4" i="13"/>
  <c r="W3" i="13"/>
  <c r="V3" i="13"/>
  <c r="U3" i="13"/>
  <c r="W30" i="12"/>
  <c r="V30" i="12"/>
  <c r="U30" i="12"/>
  <c r="W29" i="12"/>
  <c r="V29" i="12"/>
  <c r="U29" i="12"/>
  <c r="W28" i="12"/>
  <c r="V28" i="12"/>
  <c r="U28" i="12"/>
  <c r="W27" i="12"/>
  <c r="V27" i="12"/>
  <c r="U27" i="12"/>
  <c r="W26" i="12"/>
  <c r="V26" i="12"/>
  <c r="U26" i="12"/>
  <c r="W25" i="12"/>
  <c r="V25" i="12"/>
  <c r="U25" i="12"/>
  <c r="W24" i="12"/>
  <c r="V24" i="12"/>
  <c r="U24" i="12"/>
  <c r="W23" i="12"/>
  <c r="V23" i="12"/>
  <c r="U23" i="12"/>
  <c r="W22" i="12"/>
  <c r="V22" i="12"/>
  <c r="U22" i="12"/>
  <c r="W21" i="12"/>
  <c r="V21" i="12"/>
  <c r="U21" i="12"/>
  <c r="W20" i="12"/>
  <c r="V20" i="12"/>
  <c r="U20" i="12"/>
  <c r="W19" i="12"/>
  <c r="V19" i="12"/>
  <c r="U19" i="12"/>
  <c r="W18" i="12"/>
  <c r="V18" i="12"/>
  <c r="U18" i="12"/>
  <c r="W17" i="12"/>
  <c r="V17" i="12"/>
  <c r="U17" i="12"/>
  <c r="W16" i="12"/>
  <c r="V16" i="12"/>
  <c r="U16" i="12"/>
  <c r="W15" i="12"/>
  <c r="V15" i="12"/>
  <c r="U15" i="12"/>
  <c r="W14" i="12"/>
  <c r="V14" i="12"/>
  <c r="U14" i="12"/>
  <c r="W13" i="12"/>
  <c r="V13" i="12"/>
  <c r="U13" i="12"/>
  <c r="W12" i="12"/>
  <c r="V12" i="12"/>
  <c r="U12" i="12"/>
  <c r="W11" i="12"/>
  <c r="V11" i="12"/>
  <c r="U11" i="12"/>
  <c r="W10" i="12"/>
  <c r="V10" i="12"/>
  <c r="U10" i="12"/>
  <c r="W9" i="12"/>
  <c r="V9" i="12"/>
  <c r="U9" i="12"/>
  <c r="W8" i="12"/>
  <c r="V8" i="12"/>
  <c r="U8" i="12"/>
  <c r="W7" i="12"/>
  <c r="V7" i="12"/>
  <c r="U7" i="12"/>
  <c r="W6" i="12"/>
  <c r="V6" i="12"/>
  <c r="U6" i="12"/>
  <c r="W5" i="12"/>
  <c r="V5" i="12"/>
  <c r="U5" i="12"/>
  <c r="W4" i="12"/>
  <c r="V4" i="12"/>
  <c r="U4" i="12"/>
  <c r="W3" i="12"/>
  <c r="V3" i="12"/>
  <c r="U3" i="12"/>
  <c r="W30" i="11"/>
  <c r="V30" i="11"/>
  <c r="U30" i="11"/>
  <c r="W29" i="11"/>
  <c r="V29" i="11"/>
  <c r="U29" i="11"/>
  <c r="W28" i="11"/>
  <c r="V28" i="11"/>
  <c r="U28" i="11"/>
  <c r="W27" i="11"/>
  <c r="V27" i="11"/>
  <c r="U27" i="11"/>
  <c r="W26" i="11"/>
  <c r="V26" i="11"/>
  <c r="U26" i="11"/>
  <c r="W25" i="11"/>
  <c r="V25" i="11"/>
  <c r="U25" i="11"/>
  <c r="W24" i="11"/>
  <c r="V24" i="11"/>
  <c r="U24" i="11"/>
  <c r="W23" i="11"/>
  <c r="V23" i="11"/>
  <c r="U23" i="11"/>
  <c r="W22" i="11"/>
  <c r="V22" i="11"/>
  <c r="U22" i="11"/>
  <c r="W21" i="11"/>
  <c r="V21" i="11"/>
  <c r="U21" i="11"/>
  <c r="W20" i="11"/>
  <c r="V20" i="11"/>
  <c r="U20" i="11"/>
  <c r="W19" i="11"/>
  <c r="V19" i="11"/>
  <c r="U19" i="11"/>
  <c r="W18" i="11"/>
  <c r="V18" i="11"/>
  <c r="U18" i="11"/>
  <c r="W17" i="11"/>
  <c r="V17" i="11"/>
  <c r="U17" i="11"/>
  <c r="W16" i="11"/>
  <c r="V16" i="11"/>
  <c r="U16" i="11"/>
  <c r="W15" i="11"/>
  <c r="V15" i="11"/>
  <c r="U15" i="11"/>
  <c r="W14" i="11"/>
  <c r="V14" i="11"/>
  <c r="U14" i="11"/>
  <c r="W13" i="11"/>
  <c r="V13" i="11"/>
  <c r="U13" i="11"/>
  <c r="W12" i="11"/>
  <c r="V12" i="11"/>
  <c r="U12" i="11"/>
  <c r="W11" i="11"/>
  <c r="V11" i="11"/>
  <c r="U11" i="11"/>
  <c r="W10" i="11"/>
  <c r="V10" i="11"/>
  <c r="U10" i="11"/>
  <c r="W9" i="11"/>
  <c r="V9" i="11"/>
  <c r="U9" i="11"/>
  <c r="W8" i="11"/>
  <c r="V8" i="11"/>
  <c r="U8" i="11"/>
  <c r="W7" i="11"/>
  <c r="V7" i="11"/>
  <c r="U7" i="11"/>
  <c r="W6" i="11"/>
  <c r="V6" i="11"/>
  <c r="U6" i="11"/>
  <c r="W5" i="11"/>
  <c r="V5" i="11"/>
  <c r="U5" i="11"/>
  <c r="W4" i="11"/>
  <c r="V4" i="11"/>
  <c r="U4" i="11"/>
  <c r="W3" i="11"/>
  <c r="V3" i="11"/>
  <c r="U3" i="11"/>
  <c r="W30" i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I7" i="14" l="1"/>
  <c r="I6" i="14"/>
  <c r="T30" i="14"/>
  <c r="S30" i="14"/>
  <c r="O30" i="14"/>
  <c r="N30" i="14"/>
  <c r="J30" i="14"/>
  <c r="I30" i="14"/>
  <c r="D30" i="14"/>
  <c r="C30" i="14"/>
  <c r="B30" i="14"/>
  <c r="A30" i="14"/>
  <c r="T29" i="14"/>
  <c r="S29" i="14"/>
  <c r="O29" i="14"/>
  <c r="N29" i="14"/>
  <c r="J29" i="14"/>
  <c r="I29" i="14"/>
  <c r="D29" i="14"/>
  <c r="C29" i="14"/>
  <c r="B29" i="14"/>
  <c r="A29" i="14"/>
  <c r="T28" i="14"/>
  <c r="S28" i="14"/>
  <c r="O28" i="14"/>
  <c r="N28" i="14"/>
  <c r="J28" i="14"/>
  <c r="I28" i="14"/>
  <c r="D28" i="14"/>
  <c r="C28" i="14"/>
  <c r="B28" i="14"/>
  <c r="A28" i="14"/>
  <c r="T27" i="14"/>
  <c r="S27" i="14"/>
  <c r="O27" i="14"/>
  <c r="N27" i="14"/>
  <c r="J27" i="14"/>
  <c r="I27" i="14"/>
  <c r="D27" i="14"/>
  <c r="C27" i="14"/>
  <c r="B27" i="14"/>
  <c r="A27" i="14"/>
  <c r="T26" i="14"/>
  <c r="S26" i="14"/>
  <c r="O26" i="14"/>
  <c r="N26" i="14"/>
  <c r="J26" i="14"/>
  <c r="I26" i="14"/>
  <c r="D26" i="14"/>
  <c r="C26" i="14"/>
  <c r="B26" i="14"/>
  <c r="A26" i="14"/>
  <c r="T25" i="14"/>
  <c r="S25" i="14"/>
  <c r="O25" i="14"/>
  <c r="N25" i="14"/>
  <c r="J25" i="14"/>
  <c r="I25" i="14"/>
  <c r="D25" i="14"/>
  <c r="C25" i="14"/>
  <c r="B25" i="14"/>
  <c r="A25" i="14"/>
  <c r="T24" i="14"/>
  <c r="S24" i="14"/>
  <c r="O24" i="14"/>
  <c r="N24" i="14"/>
  <c r="J24" i="14"/>
  <c r="I24" i="14"/>
  <c r="D24" i="14"/>
  <c r="C24" i="14"/>
  <c r="B24" i="14"/>
  <c r="A24" i="14"/>
  <c r="T23" i="14"/>
  <c r="S23" i="14"/>
  <c r="O23" i="14"/>
  <c r="N23" i="14"/>
  <c r="J23" i="14"/>
  <c r="I23" i="14"/>
  <c r="D23" i="14"/>
  <c r="C23" i="14"/>
  <c r="B23" i="14"/>
  <c r="A23" i="14"/>
  <c r="T22" i="14"/>
  <c r="S22" i="14"/>
  <c r="O22" i="14"/>
  <c r="N22" i="14"/>
  <c r="J22" i="14"/>
  <c r="I22" i="14"/>
  <c r="D22" i="14"/>
  <c r="C22" i="14"/>
  <c r="B22" i="14"/>
  <c r="A22" i="14"/>
  <c r="T21" i="14"/>
  <c r="S21" i="14"/>
  <c r="O21" i="14"/>
  <c r="N21" i="14"/>
  <c r="J21" i="14"/>
  <c r="I21" i="14"/>
  <c r="D21" i="14"/>
  <c r="C21" i="14"/>
  <c r="B21" i="14"/>
  <c r="A21" i="14"/>
  <c r="T20" i="14"/>
  <c r="S20" i="14"/>
  <c r="O20" i="14"/>
  <c r="N20" i="14"/>
  <c r="J20" i="14"/>
  <c r="I20" i="14"/>
  <c r="D20" i="14"/>
  <c r="C20" i="14"/>
  <c r="B20" i="14"/>
  <c r="A20" i="14"/>
  <c r="T19" i="14"/>
  <c r="S19" i="14"/>
  <c r="O19" i="14"/>
  <c r="N19" i="14"/>
  <c r="J19" i="14"/>
  <c r="I19" i="14"/>
  <c r="D19" i="14"/>
  <c r="C19" i="14"/>
  <c r="B19" i="14"/>
  <c r="A19" i="14"/>
  <c r="T18" i="14"/>
  <c r="S18" i="14"/>
  <c r="O18" i="14"/>
  <c r="N18" i="14"/>
  <c r="J18" i="14"/>
  <c r="I18" i="14"/>
  <c r="D18" i="14"/>
  <c r="C18" i="14"/>
  <c r="B18" i="14"/>
  <c r="A18" i="14"/>
  <c r="T17" i="14"/>
  <c r="S17" i="14"/>
  <c r="O17" i="14"/>
  <c r="N17" i="14"/>
  <c r="J17" i="14"/>
  <c r="I17" i="14"/>
  <c r="D17" i="14"/>
  <c r="C17" i="14"/>
  <c r="B17" i="14"/>
  <c r="A17" i="14"/>
  <c r="T16" i="14"/>
  <c r="S16" i="14"/>
  <c r="O16" i="14"/>
  <c r="N16" i="14"/>
  <c r="J16" i="14"/>
  <c r="I16" i="14"/>
  <c r="D16" i="14"/>
  <c r="C16" i="14"/>
  <c r="B16" i="14"/>
  <c r="A16" i="14"/>
  <c r="T15" i="14"/>
  <c r="S15" i="14"/>
  <c r="O15" i="14"/>
  <c r="N15" i="14"/>
  <c r="J15" i="14"/>
  <c r="I15" i="14"/>
  <c r="D15" i="14"/>
  <c r="C15" i="14"/>
  <c r="B15" i="14"/>
  <c r="A15" i="14"/>
  <c r="T14" i="14"/>
  <c r="S14" i="14"/>
  <c r="O14" i="14"/>
  <c r="N14" i="14"/>
  <c r="J14" i="14"/>
  <c r="I14" i="14"/>
  <c r="D14" i="14"/>
  <c r="C14" i="14"/>
  <c r="B14" i="14"/>
  <c r="A14" i="14"/>
  <c r="T13" i="14"/>
  <c r="S13" i="14"/>
  <c r="O13" i="14"/>
  <c r="N13" i="14"/>
  <c r="J13" i="14"/>
  <c r="I13" i="14"/>
  <c r="D13" i="14"/>
  <c r="C13" i="14"/>
  <c r="B13" i="14"/>
  <c r="A13" i="14"/>
  <c r="T12" i="14"/>
  <c r="S12" i="14"/>
  <c r="O12" i="14"/>
  <c r="N12" i="14"/>
  <c r="J12" i="14"/>
  <c r="I12" i="14"/>
  <c r="D12" i="14"/>
  <c r="C12" i="14"/>
  <c r="B12" i="14"/>
  <c r="A12" i="14"/>
  <c r="S11" i="14"/>
  <c r="T11" i="14" s="1"/>
  <c r="N11" i="14"/>
  <c r="O11" i="14" s="1"/>
  <c r="I11" i="14"/>
  <c r="J11" i="14" s="1"/>
  <c r="D11" i="14"/>
  <c r="C11" i="14"/>
  <c r="B11" i="14"/>
  <c r="A11" i="14" s="1"/>
  <c r="D10" i="14"/>
  <c r="C10" i="14"/>
  <c r="S10" i="14" s="1"/>
  <c r="N9" i="14"/>
  <c r="D9" i="14"/>
  <c r="C9" i="14"/>
  <c r="S9" i="14" s="1"/>
  <c r="S8" i="14"/>
  <c r="I8" i="14"/>
  <c r="D8" i="14"/>
  <c r="C8" i="14"/>
  <c r="N8" i="14" s="1"/>
  <c r="S7" i="14"/>
  <c r="N7" i="14"/>
  <c r="D7" i="14"/>
  <c r="C7" i="14"/>
  <c r="N6" i="14"/>
  <c r="D6" i="14"/>
  <c r="B6" i="14"/>
  <c r="N5" i="14"/>
  <c r="D5" i="14"/>
  <c r="C5" i="14"/>
  <c r="I5" i="14" s="1"/>
  <c r="B5" i="14"/>
  <c r="A6" i="14" s="1"/>
  <c r="S4" i="14"/>
  <c r="T4" i="14" s="1"/>
  <c r="O4" i="14"/>
  <c r="O5" i="14" s="1"/>
  <c r="N4" i="14"/>
  <c r="I4" i="14"/>
  <c r="J4" i="14" s="1"/>
  <c r="W2" i="14"/>
  <c r="V2" i="14"/>
  <c r="U2" i="14"/>
  <c r="T30" i="13"/>
  <c r="S30" i="13"/>
  <c r="O30" i="13"/>
  <c r="N30" i="13"/>
  <c r="J30" i="13"/>
  <c r="I30" i="13"/>
  <c r="D30" i="13"/>
  <c r="C30" i="13"/>
  <c r="B30" i="13"/>
  <c r="A30" i="13"/>
  <c r="T29" i="13"/>
  <c r="S29" i="13"/>
  <c r="O29" i="13"/>
  <c r="N29" i="13"/>
  <c r="J29" i="13"/>
  <c r="I29" i="13"/>
  <c r="D29" i="13"/>
  <c r="C29" i="13"/>
  <c r="B29" i="13"/>
  <c r="A29" i="13"/>
  <c r="T28" i="13"/>
  <c r="S28" i="13"/>
  <c r="O28" i="13"/>
  <c r="N28" i="13"/>
  <c r="J28" i="13"/>
  <c r="I28" i="13"/>
  <c r="D28" i="13"/>
  <c r="C28" i="13"/>
  <c r="B28" i="13"/>
  <c r="A28" i="13"/>
  <c r="T27" i="13"/>
  <c r="S27" i="13"/>
  <c r="O27" i="13"/>
  <c r="N27" i="13"/>
  <c r="J27" i="13"/>
  <c r="I27" i="13"/>
  <c r="D27" i="13"/>
  <c r="C27" i="13"/>
  <c r="B27" i="13"/>
  <c r="A27" i="13"/>
  <c r="T26" i="13"/>
  <c r="S26" i="13"/>
  <c r="O26" i="13"/>
  <c r="N26" i="13"/>
  <c r="J26" i="13"/>
  <c r="I26" i="13"/>
  <c r="D26" i="13"/>
  <c r="C26" i="13"/>
  <c r="B26" i="13"/>
  <c r="A26" i="13"/>
  <c r="T25" i="13"/>
  <c r="S25" i="13"/>
  <c r="O25" i="13"/>
  <c r="N25" i="13"/>
  <c r="J25" i="13"/>
  <c r="I25" i="13"/>
  <c r="D25" i="13"/>
  <c r="C25" i="13"/>
  <c r="B25" i="13"/>
  <c r="A25" i="13"/>
  <c r="T24" i="13"/>
  <c r="S24" i="13"/>
  <c r="O24" i="13"/>
  <c r="N24" i="13"/>
  <c r="J24" i="13"/>
  <c r="I24" i="13"/>
  <c r="D24" i="13"/>
  <c r="C24" i="13"/>
  <c r="B24" i="13"/>
  <c r="A24" i="13"/>
  <c r="T23" i="13"/>
  <c r="S23" i="13"/>
  <c r="O23" i="13"/>
  <c r="N23" i="13"/>
  <c r="J23" i="13"/>
  <c r="I23" i="13"/>
  <c r="D23" i="13"/>
  <c r="C23" i="13"/>
  <c r="B23" i="13"/>
  <c r="A23" i="13"/>
  <c r="T22" i="13"/>
  <c r="S22" i="13"/>
  <c r="O22" i="13"/>
  <c r="N22" i="13"/>
  <c r="J22" i="13"/>
  <c r="I22" i="13"/>
  <c r="D22" i="13"/>
  <c r="C22" i="13"/>
  <c r="B22" i="13"/>
  <c r="A22" i="13"/>
  <c r="T21" i="13"/>
  <c r="S21" i="13"/>
  <c r="O21" i="13"/>
  <c r="N21" i="13"/>
  <c r="J21" i="13"/>
  <c r="I21" i="13"/>
  <c r="D21" i="13"/>
  <c r="C21" i="13"/>
  <c r="B21" i="13"/>
  <c r="A21" i="13"/>
  <c r="T20" i="13"/>
  <c r="S20" i="13"/>
  <c r="O20" i="13"/>
  <c r="N20" i="13"/>
  <c r="J20" i="13"/>
  <c r="I20" i="13"/>
  <c r="D20" i="13"/>
  <c r="C20" i="13"/>
  <c r="B20" i="13"/>
  <c r="A20" i="13"/>
  <c r="T19" i="13"/>
  <c r="S19" i="13"/>
  <c r="O19" i="13"/>
  <c r="N19" i="13"/>
  <c r="J19" i="13"/>
  <c r="I19" i="13"/>
  <c r="D19" i="13"/>
  <c r="C19" i="13"/>
  <c r="B19" i="13"/>
  <c r="A19" i="13"/>
  <c r="T18" i="13"/>
  <c r="S18" i="13"/>
  <c r="O18" i="13"/>
  <c r="N18" i="13"/>
  <c r="J18" i="13"/>
  <c r="I18" i="13"/>
  <c r="D18" i="13"/>
  <c r="C18" i="13"/>
  <c r="B18" i="13"/>
  <c r="A18" i="13"/>
  <c r="T17" i="13"/>
  <c r="S17" i="13"/>
  <c r="O17" i="13"/>
  <c r="N17" i="13"/>
  <c r="J17" i="13"/>
  <c r="I17" i="13"/>
  <c r="D17" i="13"/>
  <c r="C17" i="13"/>
  <c r="B17" i="13"/>
  <c r="A17" i="13"/>
  <c r="T16" i="13"/>
  <c r="S16" i="13"/>
  <c r="O16" i="13"/>
  <c r="N16" i="13"/>
  <c r="J16" i="13"/>
  <c r="I16" i="13"/>
  <c r="D16" i="13"/>
  <c r="C16" i="13"/>
  <c r="B16" i="13"/>
  <c r="A16" i="13"/>
  <c r="T15" i="13"/>
  <c r="S15" i="13"/>
  <c r="O15" i="13"/>
  <c r="N15" i="13"/>
  <c r="J15" i="13"/>
  <c r="I15" i="13"/>
  <c r="D15" i="13"/>
  <c r="C15" i="13"/>
  <c r="B15" i="13"/>
  <c r="A15" i="13"/>
  <c r="T14" i="13"/>
  <c r="S14" i="13"/>
  <c r="O14" i="13"/>
  <c r="N14" i="13"/>
  <c r="J14" i="13"/>
  <c r="I14" i="13"/>
  <c r="D14" i="13"/>
  <c r="C14" i="13"/>
  <c r="B14" i="13"/>
  <c r="A14" i="13"/>
  <c r="T13" i="13"/>
  <c r="S13" i="13"/>
  <c r="O13" i="13"/>
  <c r="N13" i="13"/>
  <c r="J13" i="13"/>
  <c r="I13" i="13"/>
  <c r="D13" i="13"/>
  <c r="C13" i="13"/>
  <c r="B13" i="13"/>
  <c r="A13" i="13"/>
  <c r="T12" i="13"/>
  <c r="S12" i="13"/>
  <c r="O12" i="13"/>
  <c r="N12" i="13"/>
  <c r="J12" i="13"/>
  <c r="I12" i="13"/>
  <c r="D12" i="13"/>
  <c r="C12" i="13"/>
  <c r="B12" i="13"/>
  <c r="A12" i="13"/>
  <c r="T11" i="13"/>
  <c r="S11" i="13"/>
  <c r="O11" i="13"/>
  <c r="N11" i="13"/>
  <c r="J11" i="13"/>
  <c r="I11" i="13"/>
  <c r="D11" i="13"/>
  <c r="C11" i="13"/>
  <c r="B11" i="13"/>
  <c r="A11" i="13"/>
  <c r="T10" i="13"/>
  <c r="S10" i="13"/>
  <c r="N10" i="13"/>
  <c r="O10" i="13" s="1"/>
  <c r="J10" i="13"/>
  <c r="I10" i="13"/>
  <c r="D10" i="13"/>
  <c r="C10" i="13"/>
  <c r="B10" i="13"/>
  <c r="A10" i="13" s="1"/>
  <c r="S9" i="13"/>
  <c r="T9" i="13" s="1"/>
  <c r="O9" i="13"/>
  <c r="N9" i="13"/>
  <c r="I9" i="13"/>
  <c r="J9" i="13" s="1"/>
  <c r="D9" i="13"/>
  <c r="C9" i="13"/>
  <c r="B9" i="13"/>
  <c r="A9" i="13"/>
  <c r="T8" i="13"/>
  <c r="S8" i="13"/>
  <c r="N8" i="13"/>
  <c r="O8" i="13" s="1"/>
  <c r="J8" i="13"/>
  <c r="I8" i="13"/>
  <c r="D8" i="13"/>
  <c r="C8" i="13"/>
  <c r="B8" i="13"/>
  <c r="A8" i="13" s="1"/>
  <c r="S7" i="13"/>
  <c r="T7" i="13" s="1"/>
  <c r="O7" i="13"/>
  <c r="N7" i="13"/>
  <c r="I7" i="13"/>
  <c r="J7" i="13" s="1"/>
  <c r="D7" i="13"/>
  <c r="C7" i="13"/>
  <c r="B7" i="13"/>
  <c r="A7" i="13"/>
  <c r="T6" i="13"/>
  <c r="S6" i="13"/>
  <c r="O6" i="13"/>
  <c r="N6" i="13"/>
  <c r="J6" i="13"/>
  <c r="I6" i="13"/>
  <c r="D6" i="13"/>
  <c r="C6" i="13"/>
  <c r="B6" i="13"/>
  <c r="A6" i="13" s="1"/>
  <c r="S5" i="13"/>
  <c r="D5" i="13"/>
  <c r="C5" i="13"/>
  <c r="I5" i="13" s="1"/>
  <c r="B5" i="13"/>
  <c r="A5" i="13"/>
  <c r="S4" i="13"/>
  <c r="T4" i="13" s="1"/>
  <c r="O4" i="13"/>
  <c r="N4" i="13"/>
  <c r="I4" i="13"/>
  <c r="J4" i="13" s="1"/>
  <c r="W2" i="13"/>
  <c r="V2" i="13"/>
  <c r="U2" i="13"/>
  <c r="T30" i="12"/>
  <c r="S30" i="12"/>
  <c r="O30" i="12"/>
  <c r="N30" i="12"/>
  <c r="J30" i="12"/>
  <c r="I30" i="12"/>
  <c r="D30" i="12"/>
  <c r="C30" i="12"/>
  <c r="B30" i="12"/>
  <c r="A30" i="12"/>
  <c r="T29" i="12"/>
  <c r="S29" i="12"/>
  <c r="O29" i="12"/>
  <c r="N29" i="12"/>
  <c r="J29" i="12"/>
  <c r="I29" i="12"/>
  <c r="D29" i="12"/>
  <c r="C29" i="12"/>
  <c r="B29" i="12"/>
  <c r="A29" i="12"/>
  <c r="T28" i="12"/>
  <c r="S28" i="12"/>
  <c r="O28" i="12"/>
  <c r="N28" i="12"/>
  <c r="J28" i="12"/>
  <c r="I28" i="12"/>
  <c r="D28" i="12"/>
  <c r="C28" i="12"/>
  <c r="B28" i="12"/>
  <c r="A28" i="12"/>
  <c r="T27" i="12"/>
  <c r="S27" i="12"/>
  <c r="O27" i="12"/>
  <c r="N27" i="12"/>
  <c r="J27" i="12"/>
  <c r="I27" i="12"/>
  <c r="D27" i="12"/>
  <c r="C27" i="12"/>
  <c r="B27" i="12"/>
  <c r="A27" i="12"/>
  <c r="T26" i="12"/>
  <c r="S26" i="12"/>
  <c r="O26" i="12"/>
  <c r="N26" i="12"/>
  <c r="J26" i="12"/>
  <c r="I26" i="12"/>
  <c r="D26" i="12"/>
  <c r="C26" i="12"/>
  <c r="B26" i="12"/>
  <c r="A26" i="12"/>
  <c r="T25" i="12"/>
  <c r="S25" i="12"/>
  <c r="O25" i="12"/>
  <c r="N25" i="12"/>
  <c r="J25" i="12"/>
  <c r="I25" i="12"/>
  <c r="D25" i="12"/>
  <c r="C25" i="12"/>
  <c r="B25" i="12"/>
  <c r="A25" i="12"/>
  <c r="T24" i="12"/>
  <c r="S24" i="12"/>
  <c r="O24" i="12"/>
  <c r="N24" i="12"/>
  <c r="J24" i="12"/>
  <c r="I24" i="12"/>
  <c r="D24" i="12"/>
  <c r="C24" i="12"/>
  <c r="B24" i="12"/>
  <c r="A24" i="12"/>
  <c r="T23" i="12"/>
  <c r="S23" i="12"/>
  <c r="O23" i="12"/>
  <c r="N23" i="12"/>
  <c r="J23" i="12"/>
  <c r="I23" i="12"/>
  <c r="D23" i="12"/>
  <c r="C23" i="12"/>
  <c r="B23" i="12"/>
  <c r="A23" i="12"/>
  <c r="T22" i="12"/>
  <c r="S22" i="12"/>
  <c r="O22" i="12"/>
  <c r="N22" i="12"/>
  <c r="J22" i="12"/>
  <c r="I22" i="12"/>
  <c r="D22" i="12"/>
  <c r="C22" i="12"/>
  <c r="B22" i="12"/>
  <c r="A22" i="12"/>
  <c r="T21" i="12"/>
  <c r="S21" i="12"/>
  <c r="O21" i="12"/>
  <c r="N21" i="12"/>
  <c r="J21" i="12"/>
  <c r="I21" i="12"/>
  <c r="D21" i="12"/>
  <c r="C21" i="12"/>
  <c r="B21" i="12"/>
  <c r="A21" i="12"/>
  <c r="T20" i="12"/>
  <c r="S20" i="12"/>
  <c r="O20" i="12"/>
  <c r="N20" i="12"/>
  <c r="J20" i="12"/>
  <c r="I20" i="12"/>
  <c r="D20" i="12"/>
  <c r="C20" i="12"/>
  <c r="B20" i="12"/>
  <c r="A20" i="12"/>
  <c r="T19" i="12"/>
  <c r="S19" i="12"/>
  <c r="O19" i="12"/>
  <c r="N19" i="12"/>
  <c r="J19" i="12"/>
  <c r="I19" i="12"/>
  <c r="D19" i="12"/>
  <c r="C19" i="12"/>
  <c r="B19" i="12"/>
  <c r="A19" i="12"/>
  <c r="T18" i="12"/>
  <c r="S18" i="12"/>
  <c r="O18" i="12"/>
  <c r="N18" i="12"/>
  <c r="J18" i="12"/>
  <c r="I18" i="12"/>
  <c r="D18" i="12"/>
  <c r="C18" i="12"/>
  <c r="B18" i="12"/>
  <c r="A18" i="12"/>
  <c r="T17" i="12"/>
  <c r="S17" i="12"/>
  <c r="O17" i="12"/>
  <c r="N17" i="12"/>
  <c r="J17" i="12"/>
  <c r="I17" i="12"/>
  <c r="D17" i="12"/>
  <c r="C17" i="12"/>
  <c r="B17" i="12"/>
  <c r="A17" i="12"/>
  <c r="T16" i="12"/>
  <c r="S16" i="12"/>
  <c r="O16" i="12"/>
  <c r="N16" i="12"/>
  <c r="J16" i="12"/>
  <c r="I16" i="12"/>
  <c r="D16" i="12"/>
  <c r="C16" i="12"/>
  <c r="B16" i="12"/>
  <c r="A16" i="12"/>
  <c r="T15" i="12"/>
  <c r="S15" i="12"/>
  <c r="O15" i="12"/>
  <c r="N15" i="12"/>
  <c r="J15" i="12"/>
  <c r="I15" i="12"/>
  <c r="D15" i="12"/>
  <c r="C15" i="12"/>
  <c r="B15" i="12"/>
  <c r="A15" i="12"/>
  <c r="T14" i="12"/>
  <c r="S14" i="12"/>
  <c r="O14" i="12"/>
  <c r="N14" i="12"/>
  <c r="J14" i="12"/>
  <c r="I14" i="12"/>
  <c r="D14" i="12"/>
  <c r="C14" i="12"/>
  <c r="B14" i="12"/>
  <c r="A14" i="12"/>
  <c r="T13" i="12"/>
  <c r="S13" i="12"/>
  <c r="O13" i="12"/>
  <c r="N13" i="12"/>
  <c r="J13" i="12"/>
  <c r="I13" i="12"/>
  <c r="D13" i="12"/>
  <c r="C13" i="12"/>
  <c r="B13" i="12"/>
  <c r="A13" i="12"/>
  <c r="T12" i="12"/>
  <c r="S12" i="12"/>
  <c r="O12" i="12"/>
  <c r="N12" i="12"/>
  <c r="J12" i="12"/>
  <c r="I12" i="12"/>
  <c r="D12" i="12"/>
  <c r="C12" i="12"/>
  <c r="B12" i="12"/>
  <c r="A12" i="12"/>
  <c r="T11" i="12"/>
  <c r="S11" i="12"/>
  <c r="O11" i="12"/>
  <c r="N11" i="12"/>
  <c r="J11" i="12"/>
  <c r="I11" i="12"/>
  <c r="D11" i="12"/>
  <c r="C11" i="12"/>
  <c r="B11" i="12"/>
  <c r="A11" i="12"/>
  <c r="I10" i="12"/>
  <c r="D10" i="12"/>
  <c r="C10" i="12"/>
  <c r="S10" i="12" s="1"/>
  <c r="I9" i="12"/>
  <c r="D9" i="12"/>
  <c r="C9" i="12"/>
  <c r="S9" i="12" s="1"/>
  <c r="S8" i="12"/>
  <c r="I8" i="12"/>
  <c r="D8" i="12"/>
  <c r="C8" i="12"/>
  <c r="N8" i="12" s="1"/>
  <c r="S7" i="12"/>
  <c r="I7" i="12"/>
  <c r="D7" i="12"/>
  <c r="C7" i="12"/>
  <c r="N7" i="12" s="1"/>
  <c r="N6" i="12"/>
  <c r="D6" i="12"/>
  <c r="C6" i="12"/>
  <c r="S6" i="12" s="1"/>
  <c r="B6" i="12"/>
  <c r="B7" i="12" s="1"/>
  <c r="N5" i="12"/>
  <c r="D5" i="12"/>
  <c r="C5" i="12"/>
  <c r="S5" i="12" s="1"/>
  <c r="B5" i="12"/>
  <c r="A6" i="12" s="1"/>
  <c r="S4" i="12"/>
  <c r="T4" i="12" s="1"/>
  <c r="N4" i="12"/>
  <c r="O4" i="12" s="1"/>
  <c r="I4" i="12"/>
  <c r="J4" i="12" s="1"/>
  <c r="W2" i="12"/>
  <c r="V2" i="12"/>
  <c r="U2" i="12"/>
  <c r="T30" i="11"/>
  <c r="S30" i="11"/>
  <c r="O30" i="11"/>
  <c r="N30" i="11"/>
  <c r="J30" i="11"/>
  <c r="I30" i="11"/>
  <c r="D30" i="11"/>
  <c r="C30" i="11"/>
  <c r="B30" i="11"/>
  <c r="A30" i="11"/>
  <c r="T29" i="11"/>
  <c r="S29" i="11"/>
  <c r="O29" i="11"/>
  <c r="N29" i="11"/>
  <c r="J29" i="11"/>
  <c r="I29" i="11"/>
  <c r="D29" i="11"/>
  <c r="C29" i="11"/>
  <c r="B29" i="11"/>
  <c r="A29" i="11"/>
  <c r="T28" i="11"/>
  <c r="S28" i="11"/>
  <c r="O28" i="11"/>
  <c r="N28" i="11"/>
  <c r="J28" i="11"/>
  <c r="I28" i="11"/>
  <c r="D28" i="11"/>
  <c r="C28" i="11"/>
  <c r="B28" i="11"/>
  <c r="A28" i="11"/>
  <c r="T27" i="11"/>
  <c r="S27" i="11"/>
  <c r="O27" i="11"/>
  <c r="N27" i="11"/>
  <c r="J27" i="11"/>
  <c r="I27" i="11"/>
  <c r="D27" i="11"/>
  <c r="C27" i="11"/>
  <c r="B27" i="11"/>
  <c r="A27" i="11"/>
  <c r="T26" i="11"/>
  <c r="S26" i="11"/>
  <c r="O26" i="11"/>
  <c r="N26" i="11"/>
  <c r="J26" i="11"/>
  <c r="I26" i="11"/>
  <c r="D26" i="11"/>
  <c r="C26" i="11"/>
  <c r="B26" i="11"/>
  <c r="A26" i="11"/>
  <c r="T25" i="11"/>
  <c r="S25" i="11"/>
  <c r="O25" i="11"/>
  <c r="N25" i="11"/>
  <c r="J25" i="11"/>
  <c r="I25" i="11"/>
  <c r="D25" i="11"/>
  <c r="C25" i="11"/>
  <c r="B25" i="11"/>
  <c r="A25" i="11"/>
  <c r="T24" i="11"/>
  <c r="S24" i="11"/>
  <c r="O24" i="11"/>
  <c r="N24" i="11"/>
  <c r="J24" i="11"/>
  <c r="I24" i="11"/>
  <c r="D24" i="11"/>
  <c r="C24" i="11"/>
  <c r="B24" i="11"/>
  <c r="A24" i="11"/>
  <c r="T23" i="11"/>
  <c r="S23" i="11"/>
  <c r="O23" i="11"/>
  <c r="N23" i="11"/>
  <c r="J23" i="11"/>
  <c r="I23" i="11"/>
  <c r="D23" i="11"/>
  <c r="C23" i="11"/>
  <c r="B23" i="11"/>
  <c r="A23" i="11"/>
  <c r="T22" i="11"/>
  <c r="S22" i="11"/>
  <c r="O22" i="11"/>
  <c r="N22" i="11"/>
  <c r="J22" i="11"/>
  <c r="I22" i="11"/>
  <c r="D22" i="11"/>
  <c r="C22" i="11"/>
  <c r="B22" i="11"/>
  <c r="A22" i="11"/>
  <c r="T21" i="11"/>
  <c r="S21" i="11"/>
  <c r="O21" i="11"/>
  <c r="N21" i="11"/>
  <c r="J21" i="11"/>
  <c r="I21" i="11"/>
  <c r="D21" i="11"/>
  <c r="C21" i="11"/>
  <c r="B21" i="11"/>
  <c r="A21" i="11"/>
  <c r="T20" i="11"/>
  <c r="S20" i="11"/>
  <c r="O20" i="11"/>
  <c r="N20" i="11"/>
  <c r="J20" i="11"/>
  <c r="I20" i="11"/>
  <c r="D20" i="11"/>
  <c r="C20" i="11"/>
  <c r="B20" i="11"/>
  <c r="A20" i="11"/>
  <c r="T19" i="11"/>
  <c r="S19" i="11"/>
  <c r="O19" i="11"/>
  <c r="N19" i="11"/>
  <c r="J19" i="11"/>
  <c r="I19" i="11"/>
  <c r="D19" i="11"/>
  <c r="C19" i="11"/>
  <c r="B19" i="11"/>
  <c r="A19" i="11"/>
  <c r="T18" i="11"/>
  <c r="S18" i="11"/>
  <c r="O18" i="11"/>
  <c r="N18" i="11"/>
  <c r="J18" i="11"/>
  <c r="I18" i="11"/>
  <c r="D18" i="11"/>
  <c r="C18" i="11"/>
  <c r="B18" i="11"/>
  <c r="A18" i="11"/>
  <c r="T17" i="11"/>
  <c r="S17" i="11"/>
  <c r="O17" i="11"/>
  <c r="N17" i="11"/>
  <c r="J17" i="11"/>
  <c r="I17" i="11"/>
  <c r="D17" i="11"/>
  <c r="C17" i="11"/>
  <c r="B17" i="11"/>
  <c r="A17" i="11"/>
  <c r="T16" i="11"/>
  <c r="S16" i="11"/>
  <c r="O16" i="11"/>
  <c r="N16" i="11"/>
  <c r="J16" i="11"/>
  <c r="I16" i="11"/>
  <c r="D16" i="11"/>
  <c r="C16" i="11"/>
  <c r="B16" i="11"/>
  <c r="A16" i="11"/>
  <c r="T15" i="11"/>
  <c r="S15" i="11"/>
  <c r="O15" i="11"/>
  <c r="N15" i="11"/>
  <c r="J15" i="11"/>
  <c r="I15" i="11"/>
  <c r="D15" i="11"/>
  <c r="C15" i="11"/>
  <c r="B15" i="11"/>
  <c r="A15" i="11"/>
  <c r="T14" i="11"/>
  <c r="S14" i="11"/>
  <c r="O14" i="11"/>
  <c r="N14" i="11"/>
  <c r="J14" i="11"/>
  <c r="I14" i="11"/>
  <c r="D14" i="11"/>
  <c r="C14" i="11"/>
  <c r="B14" i="11"/>
  <c r="A14" i="11"/>
  <c r="T13" i="11"/>
  <c r="S13" i="11"/>
  <c r="O13" i="11"/>
  <c r="N13" i="11"/>
  <c r="J13" i="11"/>
  <c r="I13" i="11"/>
  <c r="D13" i="11"/>
  <c r="C13" i="11"/>
  <c r="B13" i="11"/>
  <c r="A13" i="11"/>
  <c r="T12" i="11"/>
  <c r="S12" i="11"/>
  <c r="O12" i="11"/>
  <c r="N12" i="11"/>
  <c r="J12" i="11"/>
  <c r="I12" i="11"/>
  <c r="D12" i="11"/>
  <c r="C12" i="11"/>
  <c r="B12" i="11"/>
  <c r="A12" i="11"/>
  <c r="T11" i="11"/>
  <c r="S11" i="11"/>
  <c r="O11" i="11"/>
  <c r="N11" i="11"/>
  <c r="J11" i="11"/>
  <c r="I11" i="11"/>
  <c r="D11" i="11"/>
  <c r="C11" i="11"/>
  <c r="B11" i="11"/>
  <c r="A11" i="11"/>
  <c r="T10" i="11"/>
  <c r="S10" i="11"/>
  <c r="N10" i="11"/>
  <c r="O10" i="11" s="1"/>
  <c r="J10" i="11"/>
  <c r="I10" i="11"/>
  <c r="D10" i="11"/>
  <c r="C10" i="11"/>
  <c r="B10" i="11"/>
  <c r="A10" i="11"/>
  <c r="N9" i="11"/>
  <c r="D9" i="11"/>
  <c r="C9" i="11"/>
  <c r="S9" i="11" s="1"/>
  <c r="S8" i="11"/>
  <c r="D8" i="11"/>
  <c r="C8" i="11"/>
  <c r="N8" i="11" s="1"/>
  <c r="S7" i="11"/>
  <c r="D7" i="11"/>
  <c r="C7" i="11"/>
  <c r="N7" i="11" s="1"/>
  <c r="S6" i="11"/>
  <c r="D6" i="11"/>
  <c r="B6" i="11"/>
  <c r="B7" i="11" s="1"/>
  <c r="N5" i="11"/>
  <c r="D5" i="11"/>
  <c r="C5" i="11"/>
  <c r="C6" i="11" s="1"/>
  <c r="B5" i="11"/>
  <c r="S4" i="11"/>
  <c r="T4" i="11" s="1"/>
  <c r="O4" i="11"/>
  <c r="N4" i="11"/>
  <c r="I4" i="11"/>
  <c r="J4" i="11" s="1"/>
  <c r="W2" i="11"/>
  <c r="V2" i="11"/>
  <c r="U2" i="11"/>
  <c r="A5" i="14" l="1"/>
  <c r="J5" i="14"/>
  <c r="O6" i="14"/>
  <c r="C6" i="14"/>
  <c r="B7" i="14"/>
  <c r="S5" i="14"/>
  <c r="T5" i="14" s="1"/>
  <c r="N10" i="14"/>
  <c r="I9" i="14"/>
  <c r="I10" i="14"/>
  <c r="T5" i="13"/>
  <c r="J5" i="13"/>
  <c r="N5" i="13"/>
  <c r="O5" i="13" s="1"/>
  <c r="O5" i="12"/>
  <c r="A5" i="12"/>
  <c r="O6" i="12"/>
  <c r="T5" i="12"/>
  <c r="B8" i="12"/>
  <c r="A8" i="12" s="1"/>
  <c r="N9" i="12"/>
  <c r="N10" i="12"/>
  <c r="A7" i="12"/>
  <c r="I5" i="12"/>
  <c r="J5" i="12" s="1"/>
  <c r="I6" i="12"/>
  <c r="I7" i="11"/>
  <c r="I8" i="11"/>
  <c r="O5" i="11"/>
  <c r="O6" i="11"/>
  <c r="B8" i="11"/>
  <c r="I6" i="11"/>
  <c r="N6" i="11"/>
  <c r="A5" i="11"/>
  <c r="A6" i="11" s="1"/>
  <c r="A7" i="11" s="1"/>
  <c r="I5" i="11"/>
  <c r="J5" i="11" s="1"/>
  <c r="S5" i="11"/>
  <c r="T5" i="11" s="1"/>
  <c r="I9" i="11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B9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C7" i="10"/>
  <c r="B7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B6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C5" i="10"/>
  <c r="B5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C4" i="10"/>
  <c r="B4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3" i="10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C6" i="9"/>
  <c r="B6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C5" i="9"/>
  <c r="B5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C4" i="9"/>
  <c r="B4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3" i="9"/>
  <c r="B3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  <c r="S6" i="14" l="1"/>
  <c r="T6" i="14" s="1"/>
  <c r="J6" i="14"/>
  <c r="B8" i="14"/>
  <c r="A8" i="14" s="1"/>
  <c r="O7" i="14"/>
  <c r="A7" i="14"/>
  <c r="J6" i="12"/>
  <c r="B9" i="12"/>
  <c r="A9" i="12" s="1"/>
  <c r="O7" i="12"/>
  <c r="T6" i="12"/>
  <c r="T6" i="11"/>
  <c r="J6" i="11"/>
  <c r="B9" i="11"/>
  <c r="O7" i="11"/>
  <c r="A8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J5" i="1" s="1"/>
  <c r="I6" i="1"/>
  <c r="N6" i="1"/>
  <c r="D5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J7" i="14" l="1"/>
  <c r="B9" i="14"/>
  <c r="A9" i="14" s="1"/>
  <c r="O8" i="14"/>
  <c r="T7" i="14"/>
  <c r="O8" i="12"/>
  <c r="J7" i="12"/>
  <c r="T7" i="12"/>
  <c r="B10" i="12"/>
  <c r="A10" i="12" s="1"/>
  <c r="A9" i="11"/>
  <c r="J7" i="11"/>
  <c r="O8" i="11"/>
  <c r="T7" i="11"/>
  <c r="A7" i="1"/>
  <c r="A5" i="1"/>
  <c r="A6" i="1"/>
  <c r="A8" i="1"/>
  <c r="B9" i="1"/>
  <c r="A9" i="1" s="1"/>
  <c r="O4" i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T5" i="1" s="1"/>
  <c r="T6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O5" i="1"/>
  <c r="O6" i="1" s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B10" i="14" l="1"/>
  <c r="A10" i="14" s="1"/>
  <c r="O9" i="14"/>
  <c r="J8" i="14"/>
  <c r="T8" i="14"/>
  <c r="J8" i="12"/>
  <c r="T8" i="12"/>
  <c r="O9" i="12"/>
  <c r="O9" i="11"/>
  <c r="T8" i="11"/>
  <c r="J8" i="11"/>
  <c r="B10" i="1"/>
  <c r="B11" i="1" s="1"/>
  <c r="T9" i="1"/>
  <c r="T9" i="14" l="1"/>
  <c r="O10" i="14"/>
  <c r="J9" i="14"/>
  <c r="O10" i="12"/>
  <c r="T9" i="12"/>
  <c r="J9" i="12"/>
  <c r="J9" i="11"/>
  <c r="T9" i="11"/>
  <c r="A10" i="1"/>
  <c r="A11" i="1"/>
  <c r="B12" i="1"/>
  <c r="J10" i="14" l="1"/>
  <c r="T10" i="14"/>
  <c r="J10" i="12"/>
  <c r="T10" i="12"/>
  <c r="B13" i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<sst xmlns="http://schemas.openxmlformats.org/spreadsheetml/2006/main" count="238" uniqueCount="28">
  <si>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</si>
  <si>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</si>
  <si>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</si>
  <si>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</si>
  <si>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</si>
  <si>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</si>
  <si>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</si>
  <si>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</si>
  <si>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</si>
  <si>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</si>
  <si>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</si>
  <si>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</si>
  <si>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</si>
  <si>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</si>
  <si>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</si>
  <si>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だいち</t>
  </si>
  <si>
    <t>だいち</t>
    <phoneticPr fontId="1"/>
  </si>
  <si>
    <t>がくと</t>
  </si>
  <si>
    <t>がくと</t>
    <phoneticPr fontId="1"/>
  </si>
  <si>
    <t>いっしー</t>
  </si>
  <si>
    <t>いっしー</t>
    <phoneticPr fontId="1"/>
  </si>
  <si>
    <t>流局</t>
  </si>
  <si>
    <t>ロン</t>
  </si>
  <si>
    <t>放銃</t>
  </si>
  <si>
    <t>ツモ</t>
  </si>
  <si>
    <t>ツモ支払</t>
  </si>
  <si>
    <t>りくと</t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</si>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</sst>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177" fontId="0" fillId="0" borderId="8" xfId="0" applyNumberFormat="1" applyBorder="1" applyAlignment="1">
      <alignment vertical="center" shrinkToFit="1"/>
    </xf>
    <xf numFmtId="177" fontId="0" fillId="0" borderId="2" xfId="0" applyNumberFormat="1" applyBorder="1" applyAlignment="1">
      <alignment vertical="center" shrinkToFit="1"/>
    </xf>
    <xf numFmtId="177" fontId="0" fillId="0" borderId="9" xfId="0" applyNumberFormat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177" fontId="0" fillId="0" borderId="4" xfId="0" applyNumberFormat="1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177" fontId="0" fillId="0" borderId="5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177" fontId="0" fillId="0" borderId="6" xfId="0" applyNumberFormat="1" applyBorder="1" applyAlignment="1">
      <alignment vertical="center" shrinkToFit="1"/>
    </xf>
    <xf numFmtId="177" fontId="0" fillId="0" borderId="3" xfId="0" applyNumberFormat="1" applyBorder="1" applyAlignment="1">
      <alignment vertical="center" shrinkToFit="1"/>
    </xf>
    <xf numFmtId="177" fontId="0" fillId="0" borderId="7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1" xfId="0" applyFill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16</v>
      </c>
      <c r="G1" s="41"/>
      <c r="H1" s="41"/>
      <c r="I1" s="42"/>
      <c r="J1" s="43"/>
      <c r="K1" s="40" t="s">
        <v>18</v>
      </c>
      <c r="L1" s="41"/>
      <c r="M1" s="41"/>
      <c r="N1" s="42"/>
      <c r="O1" s="43"/>
      <c r="P1" s="40" t="s">
        <v>20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がくと</v>
      </c>
      <c r="W2" s="4" t="str">
        <f>P1</f>
        <v>いっしー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 t="shared" ref="U3:U30" si="0">IF($J3="","",ROUND(($J3-35000)/1000,0))</f>
        <v>0</v>
      </c>
      <c r="V3" s="15">
        <f t="shared" ref="V3:V30" si="1">IF($O3="","",ROUND(($O3-35000)/1000,0))</f>
        <v>0</v>
      </c>
      <c r="W3" s="16">
        <f t="shared" ref="W3:W30" si="2"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15</v>
      </c>
      <c r="F4" s="17" t="s">
        <v>21</v>
      </c>
      <c r="G4" s="18">
        <v>1500</v>
      </c>
      <c r="H4" s="18">
        <v>-1000</v>
      </c>
      <c r="I4" s="19" t="str">
        <f>IF(OR(F4="ロン",F4="ツモ"),$C4*1000,IF(F4="放銃",$C4*-1000,IF(F4="ツモ支払",$C4*-500,"")))</f>
        <v/>
      </c>
      <c r="J4" s="20">
        <f t="shared" ref="J4:J30" si="3">IF(COUNTA($F4,$K4,$P4)&gt;0,J3+SUM(G4:I4),"")</f>
        <v>35500</v>
      </c>
      <c r="K4" s="17" t="s">
        <v>21</v>
      </c>
      <c r="L4" s="18">
        <v>-3000</v>
      </c>
      <c r="M4" s="18"/>
      <c r="N4" s="19" t="str">
        <f>IF(OR(K4="ロン",K4="ツモ"),$C4*1000,IF(K4="放銃",$C4*-1000,IF(K4="ツモ支払",$C4*-500,"")))</f>
        <v/>
      </c>
      <c r="O4" s="20">
        <f t="shared" ref="O4:O30" si="4">IF(COUNTA($F4,$K4,$P4)&gt;0,O3+SUM(L4:N4),"")</f>
        <v>32000</v>
      </c>
      <c r="P4" s="17" t="s">
        <v>21</v>
      </c>
      <c r="Q4" s="18">
        <v>1500</v>
      </c>
      <c r="R4" s="18">
        <v>-1000</v>
      </c>
      <c r="S4" s="19" t="str">
        <f>IF(OR(P4="ロン",P4="ツモ"),$C4*1000,IF(P4="放銃",$C4*-1000,IF(P4="ツモ支払",$C4*-500,"")))</f>
        <v/>
      </c>
      <c r="T4" s="20">
        <f t="shared" ref="T4:T30" si="5">IF(COUNTA($F4,$K4,$P4)&gt;0,T3+SUM(Q4:S4),"")</f>
        <v>35500</v>
      </c>
      <c r="U4" s="21">
        <f t="shared" si="0"/>
        <v>1</v>
      </c>
      <c r="V4" s="22">
        <f t="shared" si="1"/>
        <v>-3</v>
      </c>
      <c r="W4" s="23">
        <f t="shared" si="2"/>
        <v>1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1</v>
      </c>
      <c r="C5" s="34">
        <f>IF($E5="","",IF($E4=$E5,C4+1,0))</f>
        <v>1</v>
      </c>
      <c r="D5" s="34">
        <f>IF($E5="","",IF(OR(F4="流局",K4="流局",P4="流局",F4="チョンボ",K4="チョンボ",P4="チョンボ"),D4+($H4+$M4+$R4)/-1000,0))</f>
        <v>2</v>
      </c>
      <c r="E5" s="6" t="s">
        <v>15</v>
      </c>
      <c r="F5" s="17" t="s">
        <v>22</v>
      </c>
      <c r="G5" s="18">
        <v>18000</v>
      </c>
      <c r="H5" s="18">
        <v>3000</v>
      </c>
      <c r="I5" s="19">
        <f>IF(OR(F5="ロン",F5="ツモ"),$C5*1000,IF(F5="放銃",$C5*-1000,IF(F5="ツモ支払",$C5*-500,"")))</f>
        <v>1000</v>
      </c>
      <c r="J5" s="20">
        <f t="shared" si="3"/>
        <v>57500</v>
      </c>
      <c r="K5" s="17"/>
      <c r="L5" s="18"/>
      <c r="M5" s="18"/>
      <c r="N5" s="19" t="str">
        <f t="shared" ref="N5:N30" si="6">IF(OR(K5="ロン",K5="ツモ"),$C5*1000,IF(K5="放銃",$C5*-1000,IF(K5="ツモ支払",$C5*-500,"")))</f>
        <v/>
      </c>
      <c r="O5" s="20">
        <f t="shared" si="4"/>
        <v>32000</v>
      </c>
      <c r="P5" s="17" t="s">
        <v>23</v>
      </c>
      <c r="Q5" s="18">
        <v>-18000</v>
      </c>
      <c r="R5" s="18">
        <v>-1000</v>
      </c>
      <c r="S5" s="19">
        <f t="shared" ref="S5:S30" si="7">IF(OR(P5="ロン",P5="ツモ"),$C5*1000,IF(P5="放銃",$C5*-1000,IF(P5="ツモ支払",$C5*-500,"")))</f>
        <v>-1000</v>
      </c>
      <c r="T5" s="20">
        <f t="shared" si="5"/>
        <v>15500</v>
      </c>
      <c r="U5" s="21">
        <f t="shared" si="0"/>
        <v>23</v>
      </c>
      <c r="V5" s="22">
        <f t="shared" si="1"/>
        <v>-3</v>
      </c>
      <c r="W5" s="23">
        <f t="shared" si="2"/>
        <v>-20</v>
      </c>
    </row>
    <row r="6" spans="1:23" x14ac:dyDescent="0.4">
      <c r="A6" s="33" t="str">
        <f t="shared" ref="A6:A30" si="8">IF($E6="","",IF(AND(B5=3,B6=1),IF(A5="東","南",IF(A5="南","西",IF(A5="西","北",IF(A5="北","東","")))),A5))</f>
        <v>東</v>
      </c>
      <c r="B6" s="34">
        <f t="shared" ref="B6:B30" si="9">IF($E6="","",IF($E5=$E6,B5,IF(B5=3,1,B5+1)))</f>
        <v>1</v>
      </c>
      <c r="C6" s="34">
        <f t="shared" ref="C6:C30" si="10">IF($E6="","",IF($E5=$E6,C5+1,0))</f>
        <v>2</v>
      </c>
      <c r="D6" s="34">
        <f t="shared" ref="D6:D30" si="11">IF($E6="","",IF(OR(F5="流局",K5="流局",P5="流局",F5="チョンボ",K5="チョンボ",P5="チョンボ"),D5+($H5+$M5+$R5)/-1000,0))</f>
        <v>0</v>
      </c>
      <c r="E6" s="6" t="s">
        <v>15</v>
      </c>
      <c r="F6" s="17" t="s">
        <v>23</v>
      </c>
      <c r="G6" s="18">
        <v>-1300</v>
      </c>
      <c r="H6" s="18"/>
      <c r="I6" s="19">
        <f t="shared" ref="I6:I30" si="12">IF(OR(F6="ロン",F6="ツモ"),$C6*1000,IF(F6="放銃",$C6*-1000,IF(F6="ツモ支払",$C6*-500,"")))</f>
        <v>-2000</v>
      </c>
      <c r="J6" s="20">
        <f t="shared" si="3"/>
        <v>54200</v>
      </c>
      <c r="K6" s="17" t="s">
        <v>22</v>
      </c>
      <c r="L6" s="18">
        <v>1300</v>
      </c>
      <c r="M6" s="18"/>
      <c r="N6" s="19">
        <f t="shared" si="6"/>
        <v>2000</v>
      </c>
      <c r="O6" s="20">
        <f t="shared" si="4"/>
        <v>35300</v>
      </c>
      <c r="P6" s="17"/>
      <c r="Q6" s="18"/>
      <c r="R6" s="18"/>
      <c r="S6" s="19" t="str">
        <f t="shared" si="7"/>
        <v/>
      </c>
      <c r="T6" s="20">
        <f t="shared" si="5"/>
        <v>15500</v>
      </c>
      <c r="U6" s="21">
        <f t="shared" si="0"/>
        <v>19</v>
      </c>
      <c r="V6" s="22">
        <f t="shared" si="1"/>
        <v>0</v>
      </c>
      <c r="W6" s="23">
        <f t="shared" si="2"/>
        <v>-20</v>
      </c>
    </row>
    <row r="7" spans="1:23" x14ac:dyDescent="0.4">
      <c r="A7" s="33" t="str">
        <f t="shared" si="8"/>
        <v>東</v>
      </c>
      <c r="B7" s="34">
        <f t="shared" si="9"/>
        <v>2</v>
      </c>
      <c r="C7" s="34">
        <f t="shared" si="10"/>
        <v>0</v>
      </c>
      <c r="D7" s="34">
        <f t="shared" si="11"/>
        <v>0</v>
      </c>
      <c r="E7" s="6" t="s">
        <v>17</v>
      </c>
      <c r="F7" s="17" t="s">
        <v>22</v>
      </c>
      <c r="G7" s="18">
        <v>16000</v>
      </c>
      <c r="H7" s="18">
        <v>1000</v>
      </c>
      <c r="I7" s="19">
        <f t="shared" si="12"/>
        <v>0</v>
      </c>
      <c r="J7" s="20">
        <f t="shared" si="3"/>
        <v>71200</v>
      </c>
      <c r="K7" s="17" t="s">
        <v>23</v>
      </c>
      <c r="L7" s="18">
        <v>-16000</v>
      </c>
      <c r="M7" s="18"/>
      <c r="N7" s="19">
        <f t="shared" si="6"/>
        <v>0</v>
      </c>
      <c r="O7" s="20">
        <f t="shared" si="4"/>
        <v>19300</v>
      </c>
      <c r="P7" s="17"/>
      <c r="Q7" s="18"/>
      <c r="R7" s="18">
        <v>-1000</v>
      </c>
      <c r="S7" s="19" t="str">
        <f t="shared" si="7"/>
        <v/>
      </c>
      <c r="T7" s="20">
        <f t="shared" si="5"/>
        <v>14500</v>
      </c>
      <c r="U7" s="21">
        <f t="shared" si="0"/>
        <v>36</v>
      </c>
      <c r="V7" s="22">
        <f t="shared" si="1"/>
        <v>-16</v>
      </c>
      <c r="W7" s="23">
        <f t="shared" si="2"/>
        <v>-21</v>
      </c>
    </row>
    <row r="8" spans="1:23" x14ac:dyDescent="0.4">
      <c r="A8" s="33" t="str">
        <f t="shared" si="8"/>
        <v>東</v>
      </c>
      <c r="B8" s="34">
        <f t="shared" si="9"/>
        <v>3</v>
      </c>
      <c r="C8" s="34">
        <f t="shared" si="10"/>
        <v>0</v>
      </c>
      <c r="D8" s="34">
        <f t="shared" si="11"/>
        <v>0</v>
      </c>
      <c r="E8" s="6" t="s">
        <v>19</v>
      </c>
      <c r="F8" s="17" t="s">
        <v>22</v>
      </c>
      <c r="G8" s="18">
        <v>1000</v>
      </c>
      <c r="H8" s="18"/>
      <c r="I8" s="19">
        <f t="shared" si="12"/>
        <v>0</v>
      </c>
      <c r="J8" s="20">
        <f t="shared" si="3"/>
        <v>72200</v>
      </c>
      <c r="K8" s="17" t="s">
        <v>23</v>
      </c>
      <c r="L8" s="18">
        <v>-1000</v>
      </c>
      <c r="M8" s="18"/>
      <c r="N8" s="19">
        <f t="shared" si="6"/>
        <v>0</v>
      </c>
      <c r="O8" s="20">
        <f t="shared" si="4"/>
        <v>18300</v>
      </c>
      <c r="P8" s="17"/>
      <c r="Q8" s="18"/>
      <c r="R8" s="18"/>
      <c r="S8" s="19" t="str">
        <f t="shared" si="7"/>
        <v/>
      </c>
      <c r="T8" s="20">
        <f t="shared" si="5"/>
        <v>14500</v>
      </c>
      <c r="U8" s="21">
        <f t="shared" si="0"/>
        <v>37</v>
      </c>
      <c r="V8" s="22">
        <f t="shared" si="1"/>
        <v>-17</v>
      </c>
      <c r="W8" s="23">
        <f t="shared" si="2"/>
        <v>-21</v>
      </c>
    </row>
    <row r="9" spans="1:23" x14ac:dyDescent="0.4">
      <c r="A9" s="33" t="str">
        <f t="shared" si="8"/>
        <v>南</v>
      </c>
      <c r="B9" s="34">
        <f t="shared" si="9"/>
        <v>1</v>
      </c>
      <c r="C9" s="34">
        <f t="shared" si="10"/>
        <v>0</v>
      </c>
      <c r="D9" s="34">
        <f t="shared" si="11"/>
        <v>0</v>
      </c>
      <c r="E9" s="6" t="s">
        <v>15</v>
      </c>
      <c r="F9" s="17" t="s">
        <v>24</v>
      </c>
      <c r="G9" s="18">
        <v>48000</v>
      </c>
      <c r="H9" s="18"/>
      <c r="I9" s="19">
        <f t="shared" si="12"/>
        <v>0</v>
      </c>
      <c r="J9" s="20">
        <f t="shared" si="3"/>
        <v>120200</v>
      </c>
      <c r="K9" s="17" t="s">
        <v>25</v>
      </c>
      <c r="L9" s="18">
        <v>-24000</v>
      </c>
      <c r="M9" s="18"/>
      <c r="N9" s="19">
        <f t="shared" si="6"/>
        <v>0</v>
      </c>
      <c r="O9" s="20">
        <f t="shared" si="4"/>
        <v>-5700</v>
      </c>
      <c r="P9" s="17" t="s">
        <v>25</v>
      </c>
      <c r="Q9" s="18">
        <v>-24000</v>
      </c>
      <c r="R9" s="18"/>
      <c r="S9" s="19">
        <f t="shared" si="7"/>
        <v>0</v>
      </c>
      <c r="T9" s="20">
        <f t="shared" si="5"/>
        <v>-9500</v>
      </c>
      <c r="U9" s="21">
        <f t="shared" si="0"/>
        <v>85</v>
      </c>
      <c r="V9" s="22">
        <f t="shared" si="1"/>
        <v>-41</v>
      </c>
      <c r="W9" s="23">
        <f t="shared" si="2"/>
        <v>-45</v>
      </c>
    </row>
    <row r="10" spans="1:23" x14ac:dyDescent="0.4">
      <c r="A10" s="33" t="str">
        <f t="shared" si="8"/>
        <v/>
      </c>
      <c r="B10" s="34" t="str">
        <f t="shared" si="9"/>
        <v/>
      </c>
      <c r="C10" s="34" t="str">
        <f t="shared" si="10"/>
        <v/>
      </c>
      <c r="D10" s="34" t="str">
        <f t="shared" si="11"/>
        <v/>
      </c>
      <c r="E10" s="6"/>
      <c r="F10" s="17"/>
      <c r="G10" s="18"/>
      <c r="H10" s="18"/>
      <c r="I10" s="19" t="str">
        <f t="shared" si="12"/>
        <v/>
      </c>
      <c r="J10" s="20" t="str">
        <f t="shared" si="3"/>
        <v/>
      </c>
      <c r="K10" s="17"/>
      <c r="L10" s="18"/>
      <c r="M10" s="18"/>
      <c r="N10" s="19" t="str">
        <f t="shared" si="6"/>
        <v/>
      </c>
      <c r="O10" s="20" t="str">
        <f t="shared" si="4"/>
        <v/>
      </c>
      <c r="P10" s="17"/>
      <c r="Q10" s="18"/>
      <c r="R10" s="18"/>
      <c r="S10" s="19" t="str">
        <f t="shared" si="7"/>
        <v/>
      </c>
      <c r="T10" s="20" t="str">
        <f t="shared" si="5"/>
        <v/>
      </c>
      <c r="U10" s="21" t="str">
        <f t="shared" si="0"/>
        <v/>
      </c>
      <c r="V10" s="22" t="str">
        <f t="shared" si="1"/>
        <v/>
      </c>
      <c r="W10" s="23" t="str">
        <f t="shared" si="2"/>
        <v/>
      </c>
    </row>
    <row r="11" spans="1:23" x14ac:dyDescent="0.4">
      <c r="A11" s="33" t="str">
        <f t="shared" si="8"/>
        <v/>
      </c>
      <c r="B11" s="34" t="str">
        <f t="shared" si="9"/>
        <v/>
      </c>
      <c r="C11" s="34" t="str">
        <f t="shared" si="10"/>
        <v/>
      </c>
      <c r="D11" s="34" t="str">
        <f t="shared" si="11"/>
        <v/>
      </c>
      <c r="E11" s="6"/>
      <c r="F11" s="17"/>
      <c r="G11" s="18"/>
      <c r="H11" s="18"/>
      <c r="I11" s="19" t="str">
        <f t="shared" si="12"/>
        <v/>
      </c>
      <c r="J11" s="20" t="str">
        <f t="shared" si="3"/>
        <v/>
      </c>
      <c r="K11" s="17"/>
      <c r="L11" s="18"/>
      <c r="M11" s="18"/>
      <c r="N11" s="19" t="str">
        <f t="shared" si="6"/>
        <v/>
      </c>
      <c r="O11" s="20" t="str">
        <f t="shared" si="4"/>
        <v/>
      </c>
      <c r="P11" s="17"/>
      <c r="Q11" s="18"/>
      <c r="R11" s="18"/>
      <c r="S11" s="19" t="str">
        <f t="shared" si="7"/>
        <v/>
      </c>
      <c r="T11" s="20" t="str">
        <f t="shared" si="5"/>
        <v/>
      </c>
      <c r="U11" s="21" t="str">
        <f t="shared" si="0"/>
        <v/>
      </c>
      <c r="V11" s="22" t="str">
        <f t="shared" si="1"/>
        <v/>
      </c>
      <c r="W11" s="23" t="str">
        <f t="shared" si="2"/>
        <v/>
      </c>
    </row>
    <row r="12" spans="1:23" x14ac:dyDescent="0.4">
      <c r="A12" s="33" t="str">
        <f t="shared" si="8"/>
        <v/>
      </c>
      <c r="B12" s="34" t="str">
        <f t="shared" si="9"/>
        <v/>
      </c>
      <c r="C12" s="34" t="str">
        <f t="shared" si="10"/>
        <v/>
      </c>
      <c r="D12" s="34" t="str">
        <f t="shared" si="11"/>
        <v/>
      </c>
      <c r="E12" s="6"/>
      <c r="F12" s="17"/>
      <c r="G12" s="18"/>
      <c r="H12" s="18"/>
      <c r="I12" s="19" t="str">
        <f t="shared" si="12"/>
        <v/>
      </c>
      <c r="J12" s="20" t="str">
        <f t="shared" si="3"/>
        <v/>
      </c>
      <c r="K12" s="17"/>
      <c r="L12" s="18"/>
      <c r="M12" s="18"/>
      <c r="N12" s="19" t="str">
        <f t="shared" si="6"/>
        <v/>
      </c>
      <c r="O12" s="20" t="str">
        <f t="shared" si="4"/>
        <v/>
      </c>
      <c r="P12" s="17"/>
      <c r="Q12" s="18"/>
      <c r="R12" s="18"/>
      <c r="S12" s="19" t="str">
        <f t="shared" si="7"/>
        <v/>
      </c>
      <c r="T12" s="20" t="str">
        <f t="shared" si="5"/>
        <v/>
      </c>
      <c r="U12" s="21" t="str">
        <f t="shared" si="0"/>
        <v/>
      </c>
      <c r="V12" s="22" t="str">
        <f t="shared" si="1"/>
        <v/>
      </c>
      <c r="W12" s="23" t="str">
        <f t="shared" si="2"/>
        <v/>
      </c>
    </row>
    <row r="13" spans="1:23" x14ac:dyDescent="0.4">
      <c r="A13" s="33" t="str">
        <f t="shared" si="8"/>
        <v/>
      </c>
      <c r="B13" s="34" t="str">
        <f t="shared" si="9"/>
        <v/>
      </c>
      <c r="C13" s="34" t="str">
        <f t="shared" si="10"/>
        <v/>
      </c>
      <c r="D13" s="34" t="str">
        <f t="shared" si="11"/>
        <v/>
      </c>
      <c r="E13" s="6"/>
      <c r="F13" s="17"/>
      <c r="G13" s="18"/>
      <c r="H13" s="18"/>
      <c r="I13" s="19" t="str">
        <f t="shared" si="12"/>
        <v/>
      </c>
      <c r="J13" s="20" t="str">
        <f t="shared" si="3"/>
        <v/>
      </c>
      <c r="K13" s="17"/>
      <c r="L13" s="18"/>
      <c r="M13" s="18"/>
      <c r="N13" s="19" t="str">
        <f t="shared" si="6"/>
        <v/>
      </c>
      <c r="O13" s="20" t="str">
        <f t="shared" si="4"/>
        <v/>
      </c>
      <c r="P13" s="17"/>
      <c r="Q13" s="18"/>
      <c r="R13" s="18"/>
      <c r="S13" s="19" t="str">
        <f t="shared" si="7"/>
        <v/>
      </c>
      <c r="T13" s="20" t="str">
        <f t="shared" si="5"/>
        <v/>
      </c>
      <c r="U13" s="21" t="str">
        <f t="shared" si="0"/>
        <v/>
      </c>
      <c r="V13" s="22" t="str">
        <f t="shared" si="1"/>
        <v/>
      </c>
      <c r="W13" s="23" t="str">
        <f t="shared" si="2"/>
        <v/>
      </c>
    </row>
    <row r="14" spans="1:23" x14ac:dyDescent="0.4">
      <c r="A14" s="33" t="str">
        <f t="shared" si="8"/>
        <v/>
      </c>
      <c r="B14" s="34" t="str">
        <f t="shared" si="9"/>
        <v/>
      </c>
      <c r="C14" s="34" t="str">
        <f t="shared" si="10"/>
        <v/>
      </c>
      <c r="D14" s="34" t="str">
        <f t="shared" si="11"/>
        <v/>
      </c>
      <c r="E14" s="6"/>
      <c r="F14" s="17"/>
      <c r="G14" s="18"/>
      <c r="H14" s="18"/>
      <c r="I14" s="19" t="str">
        <f t="shared" si="12"/>
        <v/>
      </c>
      <c r="J14" s="20" t="str">
        <f t="shared" si="3"/>
        <v/>
      </c>
      <c r="K14" s="17"/>
      <c r="L14" s="18"/>
      <c r="M14" s="18"/>
      <c r="N14" s="19" t="str">
        <f t="shared" si="6"/>
        <v/>
      </c>
      <c r="O14" s="20" t="str">
        <f t="shared" si="4"/>
        <v/>
      </c>
      <c r="P14" s="17"/>
      <c r="Q14" s="18"/>
      <c r="R14" s="18"/>
      <c r="S14" s="19" t="str">
        <f t="shared" si="7"/>
        <v/>
      </c>
      <c r="T14" s="20" t="str">
        <f t="shared" si="5"/>
        <v/>
      </c>
      <c r="U14" s="21" t="str">
        <f t="shared" si="0"/>
        <v/>
      </c>
      <c r="V14" s="22" t="str">
        <f t="shared" si="1"/>
        <v/>
      </c>
      <c r="W14" s="23" t="str">
        <f t="shared" si="2"/>
        <v/>
      </c>
    </row>
    <row r="15" spans="1:23" x14ac:dyDescent="0.4">
      <c r="A15" s="33" t="str">
        <f t="shared" si="8"/>
        <v/>
      </c>
      <c r="B15" s="34" t="str">
        <f t="shared" si="9"/>
        <v/>
      </c>
      <c r="C15" s="34" t="str">
        <f t="shared" si="10"/>
        <v/>
      </c>
      <c r="D15" s="34" t="str">
        <f t="shared" si="11"/>
        <v/>
      </c>
      <c r="E15" s="6"/>
      <c r="F15" s="17"/>
      <c r="G15" s="18"/>
      <c r="H15" s="18"/>
      <c r="I15" s="19" t="str">
        <f t="shared" si="12"/>
        <v/>
      </c>
      <c r="J15" s="20" t="str">
        <f t="shared" si="3"/>
        <v/>
      </c>
      <c r="K15" s="17"/>
      <c r="L15" s="18"/>
      <c r="M15" s="18"/>
      <c r="N15" s="19" t="str">
        <f t="shared" si="6"/>
        <v/>
      </c>
      <c r="O15" s="20" t="str">
        <f t="shared" si="4"/>
        <v/>
      </c>
      <c r="P15" s="17"/>
      <c r="Q15" s="18"/>
      <c r="R15" s="18"/>
      <c r="S15" s="19" t="str">
        <f t="shared" si="7"/>
        <v/>
      </c>
      <c r="T15" s="20" t="str">
        <f t="shared" si="5"/>
        <v/>
      </c>
      <c r="U15" s="21" t="str">
        <f t="shared" si="0"/>
        <v/>
      </c>
      <c r="V15" s="22" t="str">
        <f t="shared" si="1"/>
        <v/>
      </c>
      <c r="W15" s="23" t="str">
        <f t="shared" si="2"/>
        <v/>
      </c>
    </row>
    <row r="16" spans="1:23" x14ac:dyDescent="0.4">
      <c r="A16" s="33" t="str">
        <f t="shared" si="8"/>
        <v/>
      </c>
      <c r="B16" s="34" t="str">
        <f t="shared" si="9"/>
        <v/>
      </c>
      <c r="C16" s="34" t="str">
        <f t="shared" si="10"/>
        <v/>
      </c>
      <c r="D16" s="34" t="str">
        <f t="shared" si="11"/>
        <v/>
      </c>
      <c r="E16" s="6"/>
      <c r="F16" s="17"/>
      <c r="G16" s="18"/>
      <c r="H16" s="18"/>
      <c r="I16" s="19" t="str">
        <f t="shared" si="12"/>
        <v/>
      </c>
      <c r="J16" s="20" t="str">
        <f t="shared" si="3"/>
        <v/>
      </c>
      <c r="K16" s="17"/>
      <c r="L16" s="18"/>
      <c r="M16" s="18"/>
      <c r="N16" s="19" t="str">
        <f t="shared" si="6"/>
        <v/>
      </c>
      <c r="O16" s="20" t="str">
        <f t="shared" si="4"/>
        <v/>
      </c>
      <c r="P16" s="17"/>
      <c r="Q16" s="18"/>
      <c r="R16" s="18"/>
      <c r="S16" s="19" t="str">
        <f t="shared" si="7"/>
        <v/>
      </c>
      <c r="T16" s="20" t="str">
        <f t="shared" si="5"/>
        <v/>
      </c>
      <c r="U16" s="21" t="str">
        <f t="shared" si="0"/>
        <v/>
      </c>
      <c r="V16" s="22" t="str">
        <f t="shared" si="1"/>
        <v/>
      </c>
      <c r="W16" s="23" t="str">
        <f t="shared" si="2"/>
        <v/>
      </c>
    </row>
    <row r="17" spans="1:23" x14ac:dyDescent="0.4">
      <c r="A17" s="33" t="str">
        <f t="shared" si="8"/>
        <v/>
      </c>
      <c r="B17" s="34" t="str">
        <f t="shared" si="9"/>
        <v/>
      </c>
      <c r="C17" s="34" t="str">
        <f t="shared" si="10"/>
        <v/>
      </c>
      <c r="D17" s="34" t="str">
        <f t="shared" si="11"/>
        <v/>
      </c>
      <c r="E17" s="6"/>
      <c r="F17" s="17"/>
      <c r="G17" s="18"/>
      <c r="H17" s="18"/>
      <c r="I17" s="19" t="str">
        <f t="shared" si="12"/>
        <v/>
      </c>
      <c r="J17" s="20" t="str">
        <f t="shared" si="3"/>
        <v/>
      </c>
      <c r="K17" s="17"/>
      <c r="L17" s="18"/>
      <c r="M17" s="18"/>
      <c r="N17" s="19" t="str">
        <f t="shared" si="6"/>
        <v/>
      </c>
      <c r="O17" s="20" t="str">
        <f t="shared" si="4"/>
        <v/>
      </c>
      <c r="P17" s="17"/>
      <c r="Q17" s="18"/>
      <c r="R17" s="18"/>
      <c r="S17" s="19" t="str">
        <f t="shared" si="7"/>
        <v/>
      </c>
      <c r="T17" s="20" t="str">
        <f t="shared" si="5"/>
        <v/>
      </c>
      <c r="U17" s="21" t="str">
        <f t="shared" si="0"/>
        <v/>
      </c>
      <c r="V17" s="22" t="str">
        <f t="shared" si="1"/>
        <v/>
      </c>
      <c r="W17" s="23" t="str">
        <f t="shared" si="2"/>
        <v/>
      </c>
    </row>
    <row r="18" spans="1:23" x14ac:dyDescent="0.4">
      <c r="A18" s="33" t="str">
        <f t="shared" si="8"/>
        <v/>
      </c>
      <c r="B18" s="34" t="str">
        <f t="shared" si="9"/>
        <v/>
      </c>
      <c r="C18" s="34" t="str">
        <f t="shared" si="10"/>
        <v/>
      </c>
      <c r="D18" s="34" t="str">
        <f t="shared" si="11"/>
        <v/>
      </c>
      <c r="E18" s="6"/>
      <c r="F18" s="17"/>
      <c r="G18" s="18"/>
      <c r="H18" s="18"/>
      <c r="I18" s="19" t="str">
        <f t="shared" si="12"/>
        <v/>
      </c>
      <c r="J18" s="20" t="str">
        <f t="shared" si="3"/>
        <v/>
      </c>
      <c r="K18" s="17"/>
      <c r="L18" s="18"/>
      <c r="M18" s="18"/>
      <c r="N18" s="19" t="str">
        <f t="shared" si="6"/>
        <v/>
      </c>
      <c r="O18" s="20" t="str">
        <f t="shared" si="4"/>
        <v/>
      </c>
      <c r="P18" s="17"/>
      <c r="Q18" s="18"/>
      <c r="R18" s="18"/>
      <c r="S18" s="19" t="str">
        <f t="shared" si="7"/>
        <v/>
      </c>
      <c r="T18" s="20" t="str">
        <f t="shared" si="5"/>
        <v/>
      </c>
      <c r="U18" s="21" t="str">
        <f t="shared" si="0"/>
        <v/>
      </c>
      <c r="V18" s="22" t="str">
        <f t="shared" si="1"/>
        <v/>
      </c>
      <c r="W18" s="23" t="str">
        <f t="shared" si="2"/>
        <v/>
      </c>
    </row>
    <row r="19" spans="1:23" x14ac:dyDescent="0.4">
      <c r="A19" s="33" t="str">
        <f t="shared" si="8"/>
        <v/>
      </c>
      <c r="B19" s="34" t="str">
        <f t="shared" si="9"/>
        <v/>
      </c>
      <c r="C19" s="34" t="str">
        <f t="shared" si="10"/>
        <v/>
      </c>
      <c r="D19" s="34" t="str">
        <f t="shared" si="11"/>
        <v/>
      </c>
      <c r="E19" s="6"/>
      <c r="F19" s="17"/>
      <c r="G19" s="18"/>
      <c r="H19" s="18"/>
      <c r="I19" s="19" t="str">
        <f t="shared" si="12"/>
        <v/>
      </c>
      <c r="J19" s="20" t="str">
        <f t="shared" si="3"/>
        <v/>
      </c>
      <c r="K19" s="17"/>
      <c r="L19" s="18"/>
      <c r="M19" s="18"/>
      <c r="N19" s="19" t="str">
        <f t="shared" si="6"/>
        <v/>
      </c>
      <c r="O19" s="20" t="str">
        <f t="shared" si="4"/>
        <v/>
      </c>
      <c r="P19" s="17"/>
      <c r="Q19" s="18"/>
      <c r="R19" s="18"/>
      <c r="S19" s="19" t="str">
        <f t="shared" si="7"/>
        <v/>
      </c>
      <c r="T19" s="20" t="str">
        <f t="shared" si="5"/>
        <v/>
      </c>
      <c r="U19" s="21" t="str">
        <f t="shared" si="0"/>
        <v/>
      </c>
      <c r="V19" s="22" t="str">
        <f t="shared" si="1"/>
        <v/>
      </c>
      <c r="W19" s="23" t="str">
        <f t="shared" si="2"/>
        <v/>
      </c>
    </row>
    <row r="20" spans="1:23" x14ac:dyDescent="0.4">
      <c r="A20" s="33" t="str">
        <f t="shared" si="8"/>
        <v/>
      </c>
      <c r="B20" s="34" t="str">
        <f t="shared" si="9"/>
        <v/>
      </c>
      <c r="C20" s="34" t="str">
        <f t="shared" si="10"/>
        <v/>
      </c>
      <c r="D20" s="34" t="str">
        <f t="shared" si="11"/>
        <v/>
      </c>
      <c r="E20" s="6"/>
      <c r="F20" s="17"/>
      <c r="G20" s="18"/>
      <c r="H20" s="18"/>
      <c r="I20" s="19" t="str">
        <f t="shared" si="12"/>
        <v/>
      </c>
      <c r="J20" s="20" t="str">
        <f t="shared" si="3"/>
        <v/>
      </c>
      <c r="K20" s="17"/>
      <c r="L20" s="18"/>
      <c r="M20" s="18"/>
      <c r="N20" s="19" t="str">
        <f t="shared" si="6"/>
        <v/>
      </c>
      <c r="O20" s="20" t="str">
        <f t="shared" si="4"/>
        <v/>
      </c>
      <c r="P20" s="17"/>
      <c r="Q20" s="18"/>
      <c r="R20" s="18"/>
      <c r="S20" s="19" t="str">
        <f t="shared" si="7"/>
        <v/>
      </c>
      <c r="T20" s="20" t="str">
        <f t="shared" si="5"/>
        <v/>
      </c>
      <c r="U20" s="21" t="str">
        <f t="shared" si="0"/>
        <v/>
      </c>
      <c r="V20" s="22" t="str">
        <f t="shared" si="1"/>
        <v/>
      </c>
      <c r="W20" s="23" t="str">
        <f t="shared" si="2"/>
        <v/>
      </c>
    </row>
    <row r="21" spans="1:23" x14ac:dyDescent="0.4">
      <c r="A21" s="33" t="str">
        <f t="shared" si="8"/>
        <v/>
      </c>
      <c r="B21" s="34" t="str">
        <f t="shared" si="9"/>
        <v/>
      </c>
      <c r="C21" s="34" t="str">
        <f t="shared" si="10"/>
        <v/>
      </c>
      <c r="D21" s="34" t="str">
        <f t="shared" si="11"/>
        <v/>
      </c>
      <c r="E21" s="6"/>
      <c r="F21" s="17"/>
      <c r="G21" s="18"/>
      <c r="H21" s="18"/>
      <c r="I21" s="19" t="str">
        <f t="shared" si="12"/>
        <v/>
      </c>
      <c r="J21" s="20" t="str">
        <f t="shared" si="3"/>
        <v/>
      </c>
      <c r="K21" s="17"/>
      <c r="L21" s="18"/>
      <c r="M21" s="18"/>
      <c r="N21" s="19" t="str">
        <f t="shared" si="6"/>
        <v/>
      </c>
      <c r="O21" s="20" t="str">
        <f t="shared" si="4"/>
        <v/>
      </c>
      <c r="P21" s="17"/>
      <c r="Q21" s="18"/>
      <c r="R21" s="18"/>
      <c r="S21" s="19" t="str">
        <f t="shared" si="7"/>
        <v/>
      </c>
      <c r="T21" s="20" t="str">
        <f t="shared" si="5"/>
        <v/>
      </c>
      <c r="U21" s="21" t="str">
        <f t="shared" si="0"/>
        <v/>
      </c>
      <c r="V21" s="22" t="str">
        <f t="shared" si="1"/>
        <v/>
      </c>
      <c r="W21" s="23" t="str">
        <f t="shared" si="2"/>
        <v/>
      </c>
    </row>
    <row r="22" spans="1:23" x14ac:dyDescent="0.4">
      <c r="A22" s="33" t="str">
        <f t="shared" si="8"/>
        <v/>
      </c>
      <c r="B22" s="34" t="str">
        <f t="shared" si="9"/>
        <v/>
      </c>
      <c r="C22" s="34" t="str">
        <f t="shared" si="10"/>
        <v/>
      </c>
      <c r="D22" s="34" t="str">
        <f t="shared" si="11"/>
        <v/>
      </c>
      <c r="E22" s="6"/>
      <c r="F22" s="17"/>
      <c r="G22" s="18"/>
      <c r="H22" s="18"/>
      <c r="I22" s="19" t="str">
        <f t="shared" si="12"/>
        <v/>
      </c>
      <c r="J22" s="20" t="str">
        <f t="shared" si="3"/>
        <v/>
      </c>
      <c r="K22" s="17"/>
      <c r="L22" s="18"/>
      <c r="M22" s="18"/>
      <c r="N22" s="19" t="str">
        <f t="shared" si="6"/>
        <v/>
      </c>
      <c r="O22" s="20" t="str">
        <f t="shared" si="4"/>
        <v/>
      </c>
      <c r="P22" s="17"/>
      <c r="Q22" s="18"/>
      <c r="R22" s="18"/>
      <c r="S22" s="19" t="str">
        <f t="shared" si="7"/>
        <v/>
      </c>
      <c r="T22" s="20" t="str">
        <f t="shared" si="5"/>
        <v/>
      </c>
      <c r="U22" s="21" t="str">
        <f t="shared" si="0"/>
        <v/>
      </c>
      <c r="V22" s="22" t="str">
        <f t="shared" si="1"/>
        <v/>
      </c>
      <c r="W22" s="23" t="str">
        <f t="shared" si="2"/>
        <v/>
      </c>
    </row>
    <row r="23" spans="1:23" x14ac:dyDescent="0.4">
      <c r="A23" s="33" t="str">
        <f t="shared" si="8"/>
        <v/>
      </c>
      <c r="B23" s="34" t="str">
        <f t="shared" si="9"/>
        <v/>
      </c>
      <c r="C23" s="34" t="str">
        <f t="shared" si="10"/>
        <v/>
      </c>
      <c r="D23" s="34" t="str">
        <f t="shared" si="11"/>
        <v/>
      </c>
      <c r="E23" s="6"/>
      <c r="F23" s="17"/>
      <c r="G23" s="18"/>
      <c r="H23" s="18"/>
      <c r="I23" s="19" t="str">
        <f t="shared" si="12"/>
        <v/>
      </c>
      <c r="J23" s="20" t="str">
        <f t="shared" si="3"/>
        <v/>
      </c>
      <c r="K23" s="17"/>
      <c r="L23" s="18"/>
      <c r="M23" s="18"/>
      <c r="N23" s="19" t="str">
        <f t="shared" si="6"/>
        <v/>
      </c>
      <c r="O23" s="20" t="str">
        <f t="shared" si="4"/>
        <v/>
      </c>
      <c r="P23" s="17"/>
      <c r="Q23" s="18"/>
      <c r="R23" s="18"/>
      <c r="S23" s="19" t="str">
        <f t="shared" si="7"/>
        <v/>
      </c>
      <c r="T23" s="20" t="str">
        <f t="shared" si="5"/>
        <v/>
      </c>
      <c r="U23" s="21" t="str">
        <f t="shared" si="0"/>
        <v/>
      </c>
      <c r="V23" s="22" t="str">
        <f t="shared" si="1"/>
        <v/>
      </c>
      <c r="W23" s="23" t="str">
        <f t="shared" si="2"/>
        <v/>
      </c>
    </row>
    <row r="24" spans="1:23" x14ac:dyDescent="0.4">
      <c r="A24" s="33" t="str">
        <f t="shared" si="8"/>
        <v/>
      </c>
      <c r="B24" s="34" t="str">
        <f t="shared" si="9"/>
        <v/>
      </c>
      <c r="C24" s="34" t="str">
        <f t="shared" si="10"/>
        <v/>
      </c>
      <c r="D24" s="34" t="str">
        <f t="shared" si="11"/>
        <v/>
      </c>
      <c r="E24" s="6"/>
      <c r="F24" s="17"/>
      <c r="G24" s="18"/>
      <c r="H24" s="18"/>
      <c r="I24" s="19" t="str">
        <f t="shared" si="12"/>
        <v/>
      </c>
      <c r="J24" s="20" t="str">
        <f t="shared" si="3"/>
        <v/>
      </c>
      <c r="K24" s="17"/>
      <c r="L24" s="18"/>
      <c r="M24" s="18"/>
      <c r="N24" s="19" t="str">
        <f t="shared" si="6"/>
        <v/>
      </c>
      <c r="O24" s="20" t="str">
        <f t="shared" si="4"/>
        <v/>
      </c>
      <c r="P24" s="17"/>
      <c r="Q24" s="18"/>
      <c r="R24" s="18"/>
      <c r="S24" s="19" t="str">
        <f t="shared" si="7"/>
        <v/>
      </c>
      <c r="T24" s="20" t="str">
        <f t="shared" si="5"/>
        <v/>
      </c>
      <c r="U24" s="21" t="str">
        <f t="shared" si="0"/>
        <v/>
      </c>
      <c r="V24" s="22" t="str">
        <f t="shared" si="1"/>
        <v/>
      </c>
      <c r="W24" s="23" t="str">
        <f t="shared" si="2"/>
        <v/>
      </c>
    </row>
    <row r="25" spans="1:23" x14ac:dyDescent="0.4">
      <c r="A25" s="33" t="str">
        <f t="shared" si="8"/>
        <v/>
      </c>
      <c r="B25" s="34" t="str">
        <f t="shared" si="9"/>
        <v/>
      </c>
      <c r="C25" s="34" t="str">
        <f t="shared" si="10"/>
        <v/>
      </c>
      <c r="D25" s="34" t="str">
        <f t="shared" si="11"/>
        <v/>
      </c>
      <c r="E25" s="6"/>
      <c r="F25" s="17"/>
      <c r="G25" s="18"/>
      <c r="H25" s="18"/>
      <c r="I25" s="19" t="str">
        <f t="shared" si="12"/>
        <v/>
      </c>
      <c r="J25" s="20" t="str">
        <f t="shared" si="3"/>
        <v/>
      </c>
      <c r="K25" s="17"/>
      <c r="L25" s="18"/>
      <c r="M25" s="18"/>
      <c r="N25" s="19" t="str">
        <f t="shared" si="6"/>
        <v/>
      </c>
      <c r="O25" s="20" t="str">
        <f t="shared" si="4"/>
        <v/>
      </c>
      <c r="P25" s="17"/>
      <c r="Q25" s="18"/>
      <c r="R25" s="18"/>
      <c r="S25" s="19" t="str">
        <f t="shared" si="7"/>
        <v/>
      </c>
      <c r="T25" s="20" t="str">
        <f t="shared" si="5"/>
        <v/>
      </c>
      <c r="U25" s="21" t="str">
        <f t="shared" si="0"/>
        <v/>
      </c>
      <c r="V25" s="22" t="str">
        <f t="shared" si="1"/>
        <v/>
      </c>
      <c r="W25" s="23" t="str">
        <f t="shared" si="2"/>
        <v/>
      </c>
    </row>
    <row r="26" spans="1:23" x14ac:dyDescent="0.4">
      <c r="A26" s="33" t="str">
        <f t="shared" si="8"/>
        <v/>
      </c>
      <c r="B26" s="34" t="str">
        <f t="shared" si="9"/>
        <v/>
      </c>
      <c r="C26" s="34" t="str">
        <f t="shared" si="10"/>
        <v/>
      </c>
      <c r="D26" s="34" t="str">
        <f t="shared" si="11"/>
        <v/>
      </c>
      <c r="E26" s="6"/>
      <c r="F26" s="17"/>
      <c r="G26" s="18"/>
      <c r="H26" s="18"/>
      <c r="I26" s="19" t="str">
        <f t="shared" si="12"/>
        <v/>
      </c>
      <c r="J26" s="20" t="str">
        <f t="shared" si="3"/>
        <v/>
      </c>
      <c r="K26" s="17"/>
      <c r="L26" s="18"/>
      <c r="M26" s="18"/>
      <c r="N26" s="19" t="str">
        <f t="shared" si="6"/>
        <v/>
      </c>
      <c r="O26" s="20" t="str">
        <f t="shared" si="4"/>
        <v/>
      </c>
      <c r="P26" s="17"/>
      <c r="Q26" s="18"/>
      <c r="R26" s="18"/>
      <c r="S26" s="19" t="str">
        <f t="shared" si="7"/>
        <v/>
      </c>
      <c r="T26" s="20" t="str">
        <f t="shared" si="5"/>
        <v/>
      </c>
      <c r="U26" s="21" t="str">
        <f t="shared" si="0"/>
        <v/>
      </c>
      <c r="V26" s="22" t="str">
        <f t="shared" si="1"/>
        <v/>
      </c>
      <c r="W26" s="23" t="str">
        <f t="shared" si="2"/>
        <v/>
      </c>
    </row>
    <row r="27" spans="1:23" x14ac:dyDescent="0.4">
      <c r="A27" s="33" t="str">
        <f t="shared" si="8"/>
        <v/>
      </c>
      <c r="B27" s="34" t="str">
        <f t="shared" si="9"/>
        <v/>
      </c>
      <c r="C27" s="34" t="str">
        <f t="shared" si="10"/>
        <v/>
      </c>
      <c r="D27" s="34" t="str">
        <f t="shared" si="11"/>
        <v/>
      </c>
      <c r="E27" s="6"/>
      <c r="F27" s="17"/>
      <c r="G27" s="18"/>
      <c r="H27" s="18"/>
      <c r="I27" s="19" t="str">
        <f t="shared" si="12"/>
        <v/>
      </c>
      <c r="J27" s="20" t="str">
        <f t="shared" si="3"/>
        <v/>
      </c>
      <c r="K27" s="17"/>
      <c r="L27" s="18"/>
      <c r="M27" s="18"/>
      <c r="N27" s="19" t="str">
        <f t="shared" si="6"/>
        <v/>
      </c>
      <c r="O27" s="20" t="str">
        <f t="shared" si="4"/>
        <v/>
      </c>
      <c r="P27" s="17"/>
      <c r="Q27" s="18"/>
      <c r="R27" s="18"/>
      <c r="S27" s="19" t="str">
        <f t="shared" si="7"/>
        <v/>
      </c>
      <c r="T27" s="20" t="str">
        <f t="shared" si="5"/>
        <v/>
      </c>
      <c r="U27" s="21" t="str">
        <f t="shared" si="0"/>
        <v/>
      </c>
      <c r="V27" s="22" t="str">
        <f t="shared" si="1"/>
        <v/>
      </c>
      <c r="W27" s="23" t="str">
        <f t="shared" si="2"/>
        <v/>
      </c>
    </row>
    <row r="28" spans="1:23" x14ac:dyDescent="0.4">
      <c r="A28" s="33" t="str">
        <f t="shared" si="8"/>
        <v/>
      </c>
      <c r="B28" s="34" t="str">
        <f t="shared" si="9"/>
        <v/>
      </c>
      <c r="C28" s="34" t="str">
        <f t="shared" si="10"/>
        <v/>
      </c>
      <c r="D28" s="34" t="str">
        <f t="shared" si="11"/>
        <v/>
      </c>
      <c r="E28" s="6"/>
      <c r="F28" s="17"/>
      <c r="G28" s="18"/>
      <c r="H28" s="18"/>
      <c r="I28" s="19" t="str">
        <f t="shared" si="12"/>
        <v/>
      </c>
      <c r="J28" s="20" t="str">
        <f t="shared" si="3"/>
        <v/>
      </c>
      <c r="K28" s="17"/>
      <c r="L28" s="18"/>
      <c r="M28" s="18"/>
      <c r="N28" s="19" t="str">
        <f t="shared" si="6"/>
        <v/>
      </c>
      <c r="O28" s="20" t="str">
        <f t="shared" si="4"/>
        <v/>
      </c>
      <c r="P28" s="17"/>
      <c r="Q28" s="18"/>
      <c r="R28" s="18"/>
      <c r="S28" s="19" t="str">
        <f t="shared" si="7"/>
        <v/>
      </c>
      <c r="T28" s="20" t="str">
        <f t="shared" si="5"/>
        <v/>
      </c>
      <c r="U28" s="21" t="str">
        <f t="shared" si="0"/>
        <v/>
      </c>
      <c r="V28" s="22" t="str">
        <f t="shared" si="1"/>
        <v/>
      </c>
      <c r="W28" s="23" t="str">
        <f t="shared" si="2"/>
        <v/>
      </c>
    </row>
    <row r="29" spans="1:23" x14ac:dyDescent="0.4">
      <c r="A29" s="33" t="str">
        <f t="shared" si="8"/>
        <v/>
      </c>
      <c r="B29" s="34" t="str">
        <f t="shared" si="9"/>
        <v/>
      </c>
      <c r="C29" s="34" t="str">
        <f t="shared" si="10"/>
        <v/>
      </c>
      <c r="D29" s="34" t="str">
        <f t="shared" si="11"/>
        <v/>
      </c>
      <c r="E29" s="6"/>
      <c r="F29" s="17"/>
      <c r="G29" s="18"/>
      <c r="H29" s="18"/>
      <c r="I29" s="19" t="str">
        <f t="shared" si="12"/>
        <v/>
      </c>
      <c r="J29" s="20" t="str">
        <f t="shared" si="3"/>
        <v/>
      </c>
      <c r="K29" s="17"/>
      <c r="L29" s="18"/>
      <c r="M29" s="18"/>
      <c r="N29" s="19" t="str">
        <f t="shared" si="6"/>
        <v/>
      </c>
      <c r="O29" s="20" t="str">
        <f t="shared" si="4"/>
        <v/>
      </c>
      <c r="P29" s="17"/>
      <c r="Q29" s="18"/>
      <c r="R29" s="18"/>
      <c r="S29" s="19" t="str">
        <f t="shared" si="7"/>
        <v/>
      </c>
      <c r="T29" s="20" t="str">
        <f t="shared" si="5"/>
        <v/>
      </c>
      <c r="U29" s="21" t="str">
        <f t="shared" si="0"/>
        <v/>
      </c>
      <c r="V29" s="22" t="str">
        <f t="shared" si="1"/>
        <v/>
      </c>
      <c r="W29" s="23" t="str">
        <f t="shared" si="2"/>
        <v/>
      </c>
    </row>
    <row r="30" spans="1:23" x14ac:dyDescent="0.4">
      <c r="A30" s="35" t="str">
        <f t="shared" si="8"/>
        <v/>
      </c>
      <c r="B30" s="36" t="str">
        <f t="shared" si="9"/>
        <v/>
      </c>
      <c r="C30" s="36" t="str">
        <f t="shared" si="10"/>
        <v/>
      </c>
      <c r="D30" s="36" t="str">
        <f t="shared" si="11"/>
        <v/>
      </c>
      <c r="E30" s="7"/>
      <c r="F30" s="24"/>
      <c r="G30" s="25"/>
      <c r="H30" s="25"/>
      <c r="I30" s="26" t="str">
        <f t="shared" si="12"/>
        <v/>
      </c>
      <c r="J30" s="27" t="str">
        <f t="shared" si="3"/>
        <v/>
      </c>
      <c r="K30" s="24"/>
      <c r="L30" s="25"/>
      <c r="M30" s="25"/>
      <c r="N30" s="26" t="str">
        <f t="shared" si="6"/>
        <v/>
      </c>
      <c r="O30" s="27" t="str">
        <f t="shared" si="4"/>
        <v/>
      </c>
      <c r="P30" s="24"/>
      <c r="Q30" s="25"/>
      <c r="R30" s="25"/>
      <c r="S30" s="26" t="str">
        <f t="shared" si="7"/>
        <v/>
      </c>
      <c r="T30" s="27" t="str">
        <f t="shared" si="5"/>
        <v/>
      </c>
      <c r="U30" s="28" t="str">
        <f t="shared" si="0"/>
        <v/>
      </c>
      <c r="V30" s="29" t="str">
        <f t="shared" si="1"/>
        <v/>
      </c>
      <c r="W30" s="30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2">
      <formula>IF(AND(G4&lt;&gt;"",F4&lt;&gt;"流局",F4&lt;&gt;"チョンボ"),SUM($G4:$I4,$L4:$N4,$Q4:$S4)-$D4*1000)</formula>
    </cfRule>
  </conditionalFormatting>
  <conditionalFormatting sqref="F1:T1">
    <cfRule type="duplicateValues" dxfId="8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CF8B0-75C7-43E3-93B5-A38DF433C7FE}">
  <sheetPr codeName="Sheet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16</v>
      </c>
      <c r="G1" s="41"/>
      <c r="H1" s="41"/>
      <c r="I1" s="42"/>
      <c r="J1" s="43"/>
      <c r="K1" s="40" t="s">
        <v>27</v>
      </c>
      <c r="L1" s="41"/>
      <c r="M1" s="41"/>
      <c r="N1" s="42"/>
      <c r="O1" s="43"/>
      <c r="P1" s="40" t="s">
        <v>20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38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3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38" t="s">
        <v>10</v>
      </c>
      <c r="T2" s="9" t="s">
        <v>5</v>
      </c>
      <c r="U2" s="2" t="str">
        <f>F1</f>
        <v>だいち</v>
      </c>
      <c r="V2" s="3" t="str">
        <f>K1</f>
        <v>りくと</v>
      </c>
      <c r="W2" s="39" t="str">
        <f>P1</f>
        <v>いっしー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 t="shared" ref="U3:U30" si="0">IF($J3="","",ROUND(($J3-35000)/1000,0))</f>
        <v>0</v>
      </c>
      <c r="V3" s="15">
        <f t="shared" ref="V3:V30" si="1">IF($O3="","",ROUND(($O3-35000)/1000,0))</f>
        <v>0</v>
      </c>
      <c r="W3" s="16">
        <f t="shared" ref="W3:W30" si="2"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15</v>
      </c>
      <c r="F4" s="17" t="s">
        <v>22</v>
      </c>
      <c r="G4" s="18">
        <v>18000</v>
      </c>
      <c r="H4" s="18"/>
      <c r="I4" s="19">
        <f>IF(OR(F4="ロン",F4="ツモ"),$C4*1000,IF(F4="放銃",$C4*-1000,IF(F4="ツモ支払",$C4*-500,"")))</f>
        <v>0</v>
      </c>
      <c r="J4" s="20">
        <f t="shared" ref="J4:J30" si="3">IF(COUNTA($F4,$K4,$P4)&gt;0,J3+SUM(G4:I4),"")</f>
        <v>53000</v>
      </c>
      <c r="K4" s="17"/>
      <c r="L4" s="18"/>
      <c r="M4" s="18"/>
      <c r="N4" s="19" t="str">
        <f>IF(OR(K4="ロン",K4="ツモ"),$C4*1000,IF(K4="放銃",$C4*-1000,IF(K4="ツモ支払",$C4*-500,"")))</f>
        <v/>
      </c>
      <c r="O4" s="20">
        <f t="shared" ref="O4:O30" si="4">IF(COUNTA($F4,$K4,$P4)&gt;0,O3+SUM(L4:N4),"")</f>
        <v>35000</v>
      </c>
      <c r="P4" s="17" t="s">
        <v>23</v>
      </c>
      <c r="Q4" s="18">
        <v>-18000</v>
      </c>
      <c r="R4" s="18"/>
      <c r="S4" s="19">
        <f>IF(OR(P4="ロン",P4="ツモ"),$C4*1000,IF(P4="放銃",$C4*-1000,IF(P4="ツモ支払",$C4*-500,"")))</f>
        <v>0</v>
      </c>
      <c r="T4" s="20">
        <f t="shared" ref="T4:T30" si="5">IF(COUNTA($F4,$K4,$P4)&gt;0,T3+SUM(Q4:S4),"")</f>
        <v>17000</v>
      </c>
      <c r="U4" s="21">
        <f t="shared" si="0"/>
        <v>18</v>
      </c>
      <c r="V4" s="22">
        <f t="shared" si="1"/>
        <v>0</v>
      </c>
      <c r="W4" s="23">
        <f t="shared" si="2"/>
        <v>-18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1</v>
      </c>
      <c r="C5" s="34">
        <f>IF($E5="","",IF($E4=$E5,C4+1,0))</f>
        <v>1</v>
      </c>
      <c r="D5" s="34">
        <f>IF($E5="","",IF(OR(F4="流局",K4="流局",P4="流局",F4="チョンボ",K4="チョンボ",P4="チョンボ"),D4+($H4+$M4+$R4)/-1000,0))</f>
        <v>0</v>
      </c>
      <c r="E5" s="6" t="s">
        <v>15</v>
      </c>
      <c r="F5" s="17" t="s">
        <v>25</v>
      </c>
      <c r="G5" s="18">
        <v>-5000</v>
      </c>
      <c r="H5" s="18"/>
      <c r="I5" s="19">
        <f>IF(OR(F5="ロン",F5="ツモ"),$C5*1000,IF(F5="放銃",$C5*-1000,IF(F5="ツモ支払",$C5*-500,"")))</f>
        <v>-500</v>
      </c>
      <c r="J5" s="20">
        <f t="shared" si="3"/>
        <v>47500</v>
      </c>
      <c r="K5" s="17" t="s">
        <v>25</v>
      </c>
      <c r="L5" s="18">
        <v>-3000</v>
      </c>
      <c r="M5" s="18"/>
      <c r="N5" s="19">
        <f t="shared" ref="N5:N30" si="6">IF(OR(K5="ロン",K5="ツモ"),$C5*1000,IF(K5="放銃",$C5*-1000,IF(K5="ツモ支払",$C5*-500,"")))</f>
        <v>-500</v>
      </c>
      <c r="O5" s="20">
        <f t="shared" si="4"/>
        <v>31500</v>
      </c>
      <c r="P5" s="17" t="s">
        <v>24</v>
      </c>
      <c r="Q5" s="18">
        <v>8000</v>
      </c>
      <c r="R5" s="18"/>
      <c r="S5" s="19">
        <f t="shared" ref="S5:S30" si="7">IF(OR(P5="ロン",P5="ツモ"),$C5*1000,IF(P5="放銃",$C5*-1000,IF(P5="ツモ支払",$C5*-500,"")))</f>
        <v>1000</v>
      </c>
      <c r="T5" s="20">
        <f t="shared" si="5"/>
        <v>26000</v>
      </c>
      <c r="U5" s="21">
        <f t="shared" si="0"/>
        <v>13</v>
      </c>
      <c r="V5" s="22">
        <f t="shared" si="1"/>
        <v>-4</v>
      </c>
      <c r="W5" s="23">
        <f t="shared" si="2"/>
        <v>-9</v>
      </c>
    </row>
    <row r="6" spans="1:23" x14ac:dyDescent="0.4">
      <c r="A6" s="33" t="str">
        <f t="shared" ref="A6:A30" si="8">IF($E6="","",IF(AND(B5=3,B6=1),IF(A5="東","南",IF(A5="南","西",IF(A5="西","北",IF(A5="北","東","")))),A5))</f>
        <v>東</v>
      </c>
      <c r="B6" s="34">
        <f t="shared" ref="B6:B30" si="9">IF($E6="","",IF($E5=$E6,B5,IF(B5=3,1,B5+1)))</f>
        <v>2</v>
      </c>
      <c r="C6" s="34">
        <f t="shared" ref="C6:C30" si="10">IF($E6="","",IF($E5=$E6,C5+1,0))</f>
        <v>0</v>
      </c>
      <c r="D6" s="34">
        <f t="shared" ref="D6:D30" si="11">IF($E6="","",IF(OR(F5="流局",K5="流局",P5="流局",F5="チョンボ",K5="チョンボ",P5="チョンボ"),D5+($H5+$M5+$R5)/-1000,0))</f>
        <v>0</v>
      </c>
      <c r="E6" s="6" t="s">
        <v>26</v>
      </c>
      <c r="F6" s="17" t="s">
        <v>23</v>
      </c>
      <c r="G6" s="18">
        <v>-8000</v>
      </c>
      <c r="H6" s="18"/>
      <c r="I6" s="19">
        <f t="shared" ref="I6:I30" si="12">IF(OR(F6="ロン",F6="ツモ"),$C6*1000,IF(F6="放銃",$C6*-1000,IF(F6="ツモ支払",$C6*-500,"")))</f>
        <v>0</v>
      </c>
      <c r="J6" s="20">
        <f t="shared" si="3"/>
        <v>39500</v>
      </c>
      <c r="K6" s="17"/>
      <c r="L6" s="18"/>
      <c r="M6" s="18"/>
      <c r="N6" s="19" t="str">
        <f t="shared" si="6"/>
        <v/>
      </c>
      <c r="O6" s="20">
        <f t="shared" si="4"/>
        <v>31500</v>
      </c>
      <c r="P6" s="17" t="s">
        <v>22</v>
      </c>
      <c r="Q6" s="18">
        <v>8000</v>
      </c>
      <c r="R6" s="18"/>
      <c r="S6" s="19">
        <f t="shared" si="7"/>
        <v>0</v>
      </c>
      <c r="T6" s="20">
        <f t="shared" si="5"/>
        <v>34000</v>
      </c>
      <c r="U6" s="21">
        <f t="shared" si="0"/>
        <v>5</v>
      </c>
      <c r="V6" s="22">
        <f t="shared" si="1"/>
        <v>-4</v>
      </c>
      <c r="W6" s="23">
        <f t="shared" si="2"/>
        <v>-1</v>
      </c>
    </row>
    <row r="7" spans="1:23" x14ac:dyDescent="0.4">
      <c r="A7" s="33" t="str">
        <f t="shared" si="8"/>
        <v>東</v>
      </c>
      <c r="B7" s="34">
        <f t="shared" si="9"/>
        <v>3</v>
      </c>
      <c r="C7" s="34">
        <f t="shared" si="10"/>
        <v>0</v>
      </c>
      <c r="D7" s="34">
        <f t="shared" si="11"/>
        <v>0</v>
      </c>
      <c r="E7" s="6" t="s">
        <v>19</v>
      </c>
      <c r="F7" s="17" t="s">
        <v>24</v>
      </c>
      <c r="G7" s="18">
        <v>8000</v>
      </c>
      <c r="H7" s="18"/>
      <c r="I7" s="19">
        <f t="shared" si="12"/>
        <v>0</v>
      </c>
      <c r="J7" s="20">
        <f t="shared" si="3"/>
        <v>47500</v>
      </c>
      <c r="K7" s="17" t="s">
        <v>25</v>
      </c>
      <c r="L7" s="18">
        <v>-3000</v>
      </c>
      <c r="M7" s="18"/>
      <c r="N7" s="19">
        <f t="shared" si="6"/>
        <v>0</v>
      </c>
      <c r="O7" s="20">
        <f t="shared" si="4"/>
        <v>28500</v>
      </c>
      <c r="P7" s="17" t="s">
        <v>25</v>
      </c>
      <c r="Q7" s="18">
        <v>-5000</v>
      </c>
      <c r="R7" s="18"/>
      <c r="S7" s="19">
        <f t="shared" si="7"/>
        <v>0</v>
      </c>
      <c r="T7" s="20">
        <f t="shared" si="5"/>
        <v>29000</v>
      </c>
      <c r="U7" s="21">
        <f t="shared" si="0"/>
        <v>13</v>
      </c>
      <c r="V7" s="22">
        <f t="shared" si="1"/>
        <v>-7</v>
      </c>
      <c r="W7" s="23">
        <f t="shared" si="2"/>
        <v>-6</v>
      </c>
    </row>
    <row r="8" spans="1:23" x14ac:dyDescent="0.4">
      <c r="A8" s="33" t="str">
        <f t="shared" si="8"/>
        <v>南</v>
      </c>
      <c r="B8" s="34">
        <f t="shared" si="9"/>
        <v>1</v>
      </c>
      <c r="C8" s="34">
        <f t="shared" si="10"/>
        <v>0</v>
      </c>
      <c r="D8" s="34">
        <f t="shared" si="11"/>
        <v>0</v>
      </c>
      <c r="E8" s="6" t="s">
        <v>15</v>
      </c>
      <c r="F8" s="17" t="s">
        <v>22</v>
      </c>
      <c r="G8" s="18">
        <v>18000</v>
      </c>
      <c r="H8" s="18">
        <v>1000</v>
      </c>
      <c r="I8" s="19">
        <f t="shared" si="12"/>
        <v>0</v>
      </c>
      <c r="J8" s="20">
        <f t="shared" si="3"/>
        <v>66500</v>
      </c>
      <c r="K8" s="17" t="s">
        <v>23</v>
      </c>
      <c r="L8" s="18">
        <v>-18000</v>
      </c>
      <c r="M8" s="18"/>
      <c r="N8" s="19">
        <f t="shared" si="6"/>
        <v>0</v>
      </c>
      <c r="O8" s="20">
        <f t="shared" si="4"/>
        <v>10500</v>
      </c>
      <c r="P8" s="17"/>
      <c r="Q8" s="18"/>
      <c r="R8" s="18">
        <v>-1000</v>
      </c>
      <c r="S8" s="19" t="str">
        <f t="shared" si="7"/>
        <v/>
      </c>
      <c r="T8" s="20">
        <f t="shared" si="5"/>
        <v>28000</v>
      </c>
      <c r="U8" s="21">
        <f t="shared" si="0"/>
        <v>32</v>
      </c>
      <c r="V8" s="22">
        <f t="shared" si="1"/>
        <v>-25</v>
      </c>
      <c r="W8" s="23">
        <f t="shared" si="2"/>
        <v>-7</v>
      </c>
    </row>
    <row r="9" spans="1:23" x14ac:dyDescent="0.4">
      <c r="A9" s="33" t="str">
        <f t="shared" si="8"/>
        <v>南</v>
      </c>
      <c r="B9" s="34">
        <f t="shared" si="9"/>
        <v>1</v>
      </c>
      <c r="C9" s="34">
        <f t="shared" si="10"/>
        <v>1</v>
      </c>
      <c r="D9" s="34">
        <f t="shared" si="11"/>
        <v>0</v>
      </c>
      <c r="E9" s="6" t="s">
        <v>15</v>
      </c>
      <c r="F9" s="17"/>
      <c r="G9" s="18"/>
      <c r="H9" s="18"/>
      <c r="I9" s="19" t="str">
        <f t="shared" si="12"/>
        <v/>
      </c>
      <c r="J9" s="20">
        <f t="shared" si="3"/>
        <v>66500</v>
      </c>
      <c r="K9" s="17" t="s">
        <v>23</v>
      </c>
      <c r="L9" s="18">
        <v>-8000</v>
      </c>
      <c r="M9" s="18"/>
      <c r="N9" s="19">
        <f t="shared" si="6"/>
        <v>-1000</v>
      </c>
      <c r="O9" s="20">
        <f t="shared" si="4"/>
        <v>1500</v>
      </c>
      <c r="P9" s="17" t="s">
        <v>22</v>
      </c>
      <c r="Q9" s="18">
        <v>8000</v>
      </c>
      <c r="R9" s="18"/>
      <c r="S9" s="19">
        <f t="shared" si="7"/>
        <v>1000</v>
      </c>
      <c r="T9" s="20">
        <f t="shared" si="5"/>
        <v>37000</v>
      </c>
      <c r="U9" s="21">
        <f t="shared" si="0"/>
        <v>32</v>
      </c>
      <c r="V9" s="22">
        <f t="shared" si="1"/>
        <v>-34</v>
      </c>
      <c r="W9" s="23">
        <f t="shared" si="2"/>
        <v>2</v>
      </c>
    </row>
    <row r="10" spans="1:23" x14ac:dyDescent="0.4">
      <c r="A10" s="33" t="str">
        <f t="shared" si="8"/>
        <v>南</v>
      </c>
      <c r="B10" s="34">
        <f t="shared" si="9"/>
        <v>2</v>
      </c>
      <c r="C10" s="34">
        <f t="shared" si="10"/>
        <v>0</v>
      </c>
      <c r="D10" s="34">
        <f t="shared" si="11"/>
        <v>0</v>
      </c>
      <c r="E10" s="6" t="s">
        <v>26</v>
      </c>
      <c r="F10" s="17"/>
      <c r="G10" s="18"/>
      <c r="H10" s="18"/>
      <c r="I10" s="19" t="str">
        <f t="shared" si="12"/>
        <v/>
      </c>
      <c r="J10" s="20">
        <f t="shared" si="3"/>
        <v>66500</v>
      </c>
      <c r="K10" s="17" t="s">
        <v>23</v>
      </c>
      <c r="L10" s="18">
        <v>-2000</v>
      </c>
      <c r="M10" s="18"/>
      <c r="N10" s="19">
        <f t="shared" si="6"/>
        <v>0</v>
      </c>
      <c r="O10" s="20">
        <f t="shared" si="4"/>
        <v>-500</v>
      </c>
      <c r="P10" s="17" t="s">
        <v>22</v>
      </c>
      <c r="Q10" s="18">
        <v>2000</v>
      </c>
      <c r="R10" s="18"/>
      <c r="S10" s="19">
        <f t="shared" si="7"/>
        <v>0</v>
      </c>
      <c r="T10" s="20">
        <f t="shared" si="5"/>
        <v>39000</v>
      </c>
      <c r="U10" s="21">
        <f t="shared" si="0"/>
        <v>32</v>
      </c>
      <c r="V10" s="22">
        <f t="shared" si="1"/>
        <v>-36</v>
      </c>
      <c r="W10" s="23">
        <f t="shared" si="2"/>
        <v>4</v>
      </c>
    </row>
    <row r="11" spans="1:23" x14ac:dyDescent="0.4">
      <c r="A11" s="33" t="str">
        <f t="shared" si="8"/>
        <v/>
      </c>
      <c r="B11" s="34" t="str">
        <f t="shared" si="9"/>
        <v/>
      </c>
      <c r="C11" s="34" t="str">
        <f t="shared" si="10"/>
        <v/>
      </c>
      <c r="D11" s="34" t="str">
        <f t="shared" si="11"/>
        <v/>
      </c>
      <c r="E11" s="6"/>
      <c r="F11" s="17"/>
      <c r="G11" s="18"/>
      <c r="H11" s="18"/>
      <c r="I11" s="19" t="str">
        <f t="shared" si="12"/>
        <v/>
      </c>
      <c r="J11" s="20" t="str">
        <f t="shared" si="3"/>
        <v/>
      </c>
      <c r="K11" s="17"/>
      <c r="L11" s="18"/>
      <c r="M11" s="18"/>
      <c r="N11" s="19" t="str">
        <f t="shared" si="6"/>
        <v/>
      </c>
      <c r="O11" s="20" t="str">
        <f t="shared" si="4"/>
        <v/>
      </c>
      <c r="P11" s="17"/>
      <c r="Q11" s="18"/>
      <c r="R11" s="18"/>
      <c r="S11" s="19" t="str">
        <f t="shared" si="7"/>
        <v/>
      </c>
      <c r="T11" s="20" t="str">
        <f t="shared" si="5"/>
        <v/>
      </c>
      <c r="U11" s="21" t="str">
        <f t="shared" si="0"/>
        <v/>
      </c>
      <c r="V11" s="22" t="str">
        <f t="shared" si="1"/>
        <v/>
      </c>
      <c r="W11" s="23" t="str">
        <f t="shared" si="2"/>
        <v/>
      </c>
    </row>
    <row r="12" spans="1:23" x14ac:dyDescent="0.4">
      <c r="A12" s="33" t="str">
        <f t="shared" si="8"/>
        <v/>
      </c>
      <c r="B12" s="34" t="str">
        <f t="shared" si="9"/>
        <v/>
      </c>
      <c r="C12" s="34" t="str">
        <f t="shared" si="10"/>
        <v/>
      </c>
      <c r="D12" s="34" t="str">
        <f t="shared" si="11"/>
        <v/>
      </c>
      <c r="E12" s="6"/>
      <c r="F12" s="17"/>
      <c r="G12" s="18"/>
      <c r="H12" s="18"/>
      <c r="I12" s="19" t="str">
        <f t="shared" si="12"/>
        <v/>
      </c>
      <c r="J12" s="20" t="str">
        <f t="shared" si="3"/>
        <v/>
      </c>
      <c r="K12" s="17"/>
      <c r="L12" s="18"/>
      <c r="M12" s="18"/>
      <c r="N12" s="19" t="str">
        <f t="shared" si="6"/>
        <v/>
      </c>
      <c r="O12" s="20" t="str">
        <f t="shared" si="4"/>
        <v/>
      </c>
      <c r="P12" s="17"/>
      <c r="Q12" s="18"/>
      <c r="R12" s="18"/>
      <c r="S12" s="19" t="str">
        <f t="shared" si="7"/>
        <v/>
      </c>
      <c r="T12" s="20" t="str">
        <f t="shared" si="5"/>
        <v/>
      </c>
      <c r="U12" s="21" t="str">
        <f t="shared" si="0"/>
        <v/>
      </c>
      <c r="V12" s="22" t="str">
        <f t="shared" si="1"/>
        <v/>
      </c>
      <c r="W12" s="23" t="str">
        <f t="shared" si="2"/>
        <v/>
      </c>
    </row>
    <row r="13" spans="1:23" x14ac:dyDescent="0.4">
      <c r="A13" s="33" t="str">
        <f t="shared" si="8"/>
        <v/>
      </c>
      <c r="B13" s="34" t="str">
        <f t="shared" si="9"/>
        <v/>
      </c>
      <c r="C13" s="34" t="str">
        <f t="shared" si="10"/>
        <v/>
      </c>
      <c r="D13" s="34" t="str">
        <f t="shared" si="11"/>
        <v/>
      </c>
      <c r="E13" s="6"/>
      <c r="F13" s="17"/>
      <c r="G13" s="18"/>
      <c r="H13" s="18"/>
      <c r="I13" s="19" t="str">
        <f t="shared" si="12"/>
        <v/>
      </c>
      <c r="J13" s="20" t="str">
        <f t="shared" si="3"/>
        <v/>
      </c>
      <c r="K13" s="17"/>
      <c r="L13" s="18"/>
      <c r="M13" s="18"/>
      <c r="N13" s="19" t="str">
        <f t="shared" si="6"/>
        <v/>
      </c>
      <c r="O13" s="20" t="str">
        <f t="shared" si="4"/>
        <v/>
      </c>
      <c r="P13" s="17"/>
      <c r="Q13" s="18"/>
      <c r="R13" s="18"/>
      <c r="S13" s="19" t="str">
        <f t="shared" si="7"/>
        <v/>
      </c>
      <c r="T13" s="20" t="str">
        <f t="shared" si="5"/>
        <v/>
      </c>
      <c r="U13" s="21" t="str">
        <f t="shared" si="0"/>
        <v/>
      </c>
      <c r="V13" s="22" t="str">
        <f t="shared" si="1"/>
        <v/>
      </c>
      <c r="W13" s="23" t="str">
        <f t="shared" si="2"/>
        <v/>
      </c>
    </row>
    <row r="14" spans="1:23" x14ac:dyDescent="0.4">
      <c r="A14" s="33" t="str">
        <f t="shared" si="8"/>
        <v/>
      </c>
      <c r="B14" s="34" t="str">
        <f t="shared" si="9"/>
        <v/>
      </c>
      <c r="C14" s="34" t="str">
        <f t="shared" si="10"/>
        <v/>
      </c>
      <c r="D14" s="34" t="str">
        <f t="shared" si="11"/>
        <v/>
      </c>
      <c r="E14" s="6"/>
      <c r="F14" s="17"/>
      <c r="G14" s="18"/>
      <c r="H14" s="18"/>
      <c r="I14" s="19" t="str">
        <f t="shared" si="12"/>
        <v/>
      </c>
      <c r="J14" s="20" t="str">
        <f t="shared" si="3"/>
        <v/>
      </c>
      <c r="K14" s="17"/>
      <c r="L14" s="18"/>
      <c r="M14" s="18"/>
      <c r="N14" s="19" t="str">
        <f t="shared" si="6"/>
        <v/>
      </c>
      <c r="O14" s="20" t="str">
        <f t="shared" si="4"/>
        <v/>
      </c>
      <c r="P14" s="17"/>
      <c r="Q14" s="18"/>
      <c r="R14" s="18"/>
      <c r="S14" s="19" t="str">
        <f t="shared" si="7"/>
        <v/>
      </c>
      <c r="T14" s="20" t="str">
        <f t="shared" si="5"/>
        <v/>
      </c>
      <c r="U14" s="21" t="str">
        <f t="shared" si="0"/>
        <v/>
      </c>
      <c r="V14" s="22" t="str">
        <f t="shared" si="1"/>
        <v/>
      </c>
      <c r="W14" s="23" t="str">
        <f t="shared" si="2"/>
        <v/>
      </c>
    </row>
    <row r="15" spans="1:23" x14ac:dyDescent="0.4">
      <c r="A15" s="33" t="str">
        <f t="shared" si="8"/>
        <v/>
      </c>
      <c r="B15" s="34" t="str">
        <f t="shared" si="9"/>
        <v/>
      </c>
      <c r="C15" s="34" t="str">
        <f t="shared" si="10"/>
        <v/>
      </c>
      <c r="D15" s="34" t="str">
        <f t="shared" si="11"/>
        <v/>
      </c>
      <c r="E15" s="6"/>
      <c r="F15" s="17"/>
      <c r="G15" s="18"/>
      <c r="H15" s="18"/>
      <c r="I15" s="19" t="str">
        <f t="shared" si="12"/>
        <v/>
      </c>
      <c r="J15" s="20" t="str">
        <f t="shared" si="3"/>
        <v/>
      </c>
      <c r="K15" s="17"/>
      <c r="L15" s="18"/>
      <c r="M15" s="18"/>
      <c r="N15" s="19" t="str">
        <f t="shared" si="6"/>
        <v/>
      </c>
      <c r="O15" s="20" t="str">
        <f t="shared" si="4"/>
        <v/>
      </c>
      <c r="P15" s="17"/>
      <c r="Q15" s="18"/>
      <c r="R15" s="18"/>
      <c r="S15" s="19" t="str">
        <f t="shared" si="7"/>
        <v/>
      </c>
      <c r="T15" s="20" t="str">
        <f t="shared" si="5"/>
        <v/>
      </c>
      <c r="U15" s="21" t="str">
        <f t="shared" si="0"/>
        <v/>
      </c>
      <c r="V15" s="22" t="str">
        <f t="shared" si="1"/>
        <v/>
      </c>
      <c r="W15" s="23" t="str">
        <f t="shared" si="2"/>
        <v/>
      </c>
    </row>
    <row r="16" spans="1:23" x14ac:dyDescent="0.4">
      <c r="A16" s="33" t="str">
        <f t="shared" si="8"/>
        <v/>
      </c>
      <c r="B16" s="34" t="str">
        <f t="shared" si="9"/>
        <v/>
      </c>
      <c r="C16" s="34" t="str">
        <f t="shared" si="10"/>
        <v/>
      </c>
      <c r="D16" s="34" t="str">
        <f t="shared" si="11"/>
        <v/>
      </c>
      <c r="E16" s="6"/>
      <c r="F16" s="17"/>
      <c r="G16" s="18"/>
      <c r="H16" s="18"/>
      <c r="I16" s="19" t="str">
        <f t="shared" si="12"/>
        <v/>
      </c>
      <c r="J16" s="20" t="str">
        <f t="shared" si="3"/>
        <v/>
      </c>
      <c r="K16" s="17"/>
      <c r="L16" s="18"/>
      <c r="M16" s="18"/>
      <c r="N16" s="19" t="str">
        <f t="shared" si="6"/>
        <v/>
      </c>
      <c r="O16" s="20" t="str">
        <f t="shared" si="4"/>
        <v/>
      </c>
      <c r="P16" s="17"/>
      <c r="Q16" s="18"/>
      <c r="R16" s="18"/>
      <c r="S16" s="19" t="str">
        <f t="shared" si="7"/>
        <v/>
      </c>
      <c r="T16" s="20" t="str">
        <f t="shared" si="5"/>
        <v/>
      </c>
      <c r="U16" s="21" t="str">
        <f t="shared" si="0"/>
        <v/>
      </c>
      <c r="V16" s="22" t="str">
        <f t="shared" si="1"/>
        <v/>
      </c>
      <c r="W16" s="23" t="str">
        <f t="shared" si="2"/>
        <v/>
      </c>
    </row>
    <row r="17" spans="1:23" x14ac:dyDescent="0.4">
      <c r="A17" s="33" t="str">
        <f t="shared" si="8"/>
        <v/>
      </c>
      <c r="B17" s="34" t="str">
        <f t="shared" si="9"/>
        <v/>
      </c>
      <c r="C17" s="34" t="str">
        <f t="shared" si="10"/>
        <v/>
      </c>
      <c r="D17" s="34" t="str">
        <f t="shared" si="11"/>
        <v/>
      </c>
      <c r="E17" s="6"/>
      <c r="F17" s="17"/>
      <c r="G17" s="18"/>
      <c r="H17" s="18"/>
      <c r="I17" s="19" t="str">
        <f t="shared" si="12"/>
        <v/>
      </c>
      <c r="J17" s="20" t="str">
        <f t="shared" si="3"/>
        <v/>
      </c>
      <c r="K17" s="17"/>
      <c r="L17" s="18"/>
      <c r="M17" s="18"/>
      <c r="N17" s="19" t="str">
        <f t="shared" si="6"/>
        <v/>
      </c>
      <c r="O17" s="20" t="str">
        <f t="shared" si="4"/>
        <v/>
      </c>
      <c r="P17" s="17"/>
      <c r="Q17" s="18"/>
      <c r="R17" s="18"/>
      <c r="S17" s="19" t="str">
        <f t="shared" si="7"/>
        <v/>
      </c>
      <c r="T17" s="20" t="str">
        <f t="shared" si="5"/>
        <v/>
      </c>
      <c r="U17" s="21" t="str">
        <f t="shared" si="0"/>
        <v/>
      </c>
      <c r="V17" s="22" t="str">
        <f t="shared" si="1"/>
        <v/>
      </c>
      <c r="W17" s="23" t="str">
        <f t="shared" si="2"/>
        <v/>
      </c>
    </row>
    <row r="18" spans="1:23" x14ac:dyDescent="0.4">
      <c r="A18" s="33" t="str">
        <f t="shared" si="8"/>
        <v/>
      </c>
      <c r="B18" s="34" t="str">
        <f t="shared" si="9"/>
        <v/>
      </c>
      <c r="C18" s="34" t="str">
        <f t="shared" si="10"/>
        <v/>
      </c>
      <c r="D18" s="34" t="str">
        <f t="shared" si="11"/>
        <v/>
      </c>
      <c r="E18" s="6"/>
      <c r="F18" s="17"/>
      <c r="G18" s="18"/>
      <c r="H18" s="18"/>
      <c r="I18" s="19" t="str">
        <f t="shared" si="12"/>
        <v/>
      </c>
      <c r="J18" s="20" t="str">
        <f t="shared" si="3"/>
        <v/>
      </c>
      <c r="K18" s="17"/>
      <c r="L18" s="18"/>
      <c r="M18" s="18"/>
      <c r="N18" s="19" t="str">
        <f t="shared" si="6"/>
        <v/>
      </c>
      <c r="O18" s="20" t="str">
        <f t="shared" si="4"/>
        <v/>
      </c>
      <c r="P18" s="17"/>
      <c r="Q18" s="18"/>
      <c r="R18" s="18"/>
      <c r="S18" s="19" t="str">
        <f t="shared" si="7"/>
        <v/>
      </c>
      <c r="T18" s="20" t="str">
        <f t="shared" si="5"/>
        <v/>
      </c>
      <c r="U18" s="21" t="str">
        <f t="shared" si="0"/>
        <v/>
      </c>
      <c r="V18" s="22" t="str">
        <f t="shared" si="1"/>
        <v/>
      </c>
      <c r="W18" s="23" t="str">
        <f t="shared" si="2"/>
        <v/>
      </c>
    </row>
    <row r="19" spans="1:23" x14ac:dyDescent="0.4">
      <c r="A19" s="33" t="str">
        <f t="shared" si="8"/>
        <v/>
      </c>
      <c r="B19" s="34" t="str">
        <f t="shared" si="9"/>
        <v/>
      </c>
      <c r="C19" s="34" t="str">
        <f t="shared" si="10"/>
        <v/>
      </c>
      <c r="D19" s="34" t="str">
        <f t="shared" si="11"/>
        <v/>
      </c>
      <c r="E19" s="6"/>
      <c r="F19" s="17"/>
      <c r="G19" s="18"/>
      <c r="H19" s="18"/>
      <c r="I19" s="19" t="str">
        <f t="shared" si="12"/>
        <v/>
      </c>
      <c r="J19" s="20" t="str">
        <f t="shared" si="3"/>
        <v/>
      </c>
      <c r="K19" s="17"/>
      <c r="L19" s="18"/>
      <c r="M19" s="18"/>
      <c r="N19" s="19" t="str">
        <f t="shared" si="6"/>
        <v/>
      </c>
      <c r="O19" s="20" t="str">
        <f t="shared" si="4"/>
        <v/>
      </c>
      <c r="P19" s="17"/>
      <c r="Q19" s="18"/>
      <c r="R19" s="18"/>
      <c r="S19" s="19" t="str">
        <f t="shared" si="7"/>
        <v/>
      </c>
      <c r="T19" s="20" t="str">
        <f t="shared" si="5"/>
        <v/>
      </c>
      <c r="U19" s="21" t="str">
        <f t="shared" si="0"/>
        <v/>
      </c>
      <c r="V19" s="22" t="str">
        <f t="shared" si="1"/>
        <v/>
      </c>
      <c r="W19" s="23" t="str">
        <f t="shared" si="2"/>
        <v/>
      </c>
    </row>
    <row r="20" spans="1:23" x14ac:dyDescent="0.4">
      <c r="A20" s="33" t="str">
        <f t="shared" si="8"/>
        <v/>
      </c>
      <c r="B20" s="34" t="str">
        <f t="shared" si="9"/>
        <v/>
      </c>
      <c r="C20" s="34" t="str">
        <f t="shared" si="10"/>
        <v/>
      </c>
      <c r="D20" s="34" t="str">
        <f t="shared" si="11"/>
        <v/>
      </c>
      <c r="E20" s="6"/>
      <c r="F20" s="17"/>
      <c r="G20" s="18"/>
      <c r="H20" s="18"/>
      <c r="I20" s="19" t="str">
        <f t="shared" si="12"/>
        <v/>
      </c>
      <c r="J20" s="20" t="str">
        <f t="shared" si="3"/>
        <v/>
      </c>
      <c r="K20" s="17"/>
      <c r="L20" s="18"/>
      <c r="M20" s="18"/>
      <c r="N20" s="19" t="str">
        <f t="shared" si="6"/>
        <v/>
      </c>
      <c r="O20" s="20" t="str">
        <f t="shared" si="4"/>
        <v/>
      </c>
      <c r="P20" s="17"/>
      <c r="Q20" s="18"/>
      <c r="R20" s="18"/>
      <c r="S20" s="19" t="str">
        <f t="shared" si="7"/>
        <v/>
      </c>
      <c r="T20" s="20" t="str">
        <f t="shared" si="5"/>
        <v/>
      </c>
      <c r="U20" s="21" t="str">
        <f t="shared" si="0"/>
        <v/>
      </c>
      <c r="V20" s="22" t="str">
        <f t="shared" si="1"/>
        <v/>
      </c>
      <c r="W20" s="23" t="str">
        <f t="shared" si="2"/>
        <v/>
      </c>
    </row>
    <row r="21" spans="1:23" x14ac:dyDescent="0.4">
      <c r="A21" s="33" t="str">
        <f t="shared" si="8"/>
        <v/>
      </c>
      <c r="B21" s="34" t="str">
        <f t="shared" si="9"/>
        <v/>
      </c>
      <c r="C21" s="34" t="str">
        <f t="shared" si="10"/>
        <v/>
      </c>
      <c r="D21" s="34" t="str">
        <f t="shared" si="11"/>
        <v/>
      </c>
      <c r="E21" s="6"/>
      <c r="F21" s="17"/>
      <c r="G21" s="18"/>
      <c r="H21" s="18"/>
      <c r="I21" s="19" t="str">
        <f t="shared" si="12"/>
        <v/>
      </c>
      <c r="J21" s="20" t="str">
        <f t="shared" si="3"/>
        <v/>
      </c>
      <c r="K21" s="17"/>
      <c r="L21" s="18"/>
      <c r="M21" s="18"/>
      <c r="N21" s="19" t="str">
        <f t="shared" si="6"/>
        <v/>
      </c>
      <c r="O21" s="20" t="str">
        <f t="shared" si="4"/>
        <v/>
      </c>
      <c r="P21" s="17"/>
      <c r="Q21" s="18"/>
      <c r="R21" s="18"/>
      <c r="S21" s="19" t="str">
        <f t="shared" si="7"/>
        <v/>
      </c>
      <c r="T21" s="20" t="str">
        <f t="shared" si="5"/>
        <v/>
      </c>
      <c r="U21" s="21" t="str">
        <f t="shared" si="0"/>
        <v/>
      </c>
      <c r="V21" s="22" t="str">
        <f t="shared" si="1"/>
        <v/>
      </c>
      <c r="W21" s="23" t="str">
        <f t="shared" si="2"/>
        <v/>
      </c>
    </row>
    <row r="22" spans="1:23" x14ac:dyDescent="0.4">
      <c r="A22" s="33" t="str">
        <f t="shared" si="8"/>
        <v/>
      </c>
      <c r="B22" s="34" t="str">
        <f t="shared" si="9"/>
        <v/>
      </c>
      <c r="C22" s="34" t="str">
        <f t="shared" si="10"/>
        <v/>
      </c>
      <c r="D22" s="34" t="str">
        <f t="shared" si="11"/>
        <v/>
      </c>
      <c r="E22" s="6"/>
      <c r="F22" s="17"/>
      <c r="G22" s="18"/>
      <c r="H22" s="18"/>
      <c r="I22" s="19" t="str">
        <f t="shared" si="12"/>
        <v/>
      </c>
      <c r="J22" s="20" t="str">
        <f t="shared" si="3"/>
        <v/>
      </c>
      <c r="K22" s="17"/>
      <c r="L22" s="18"/>
      <c r="M22" s="18"/>
      <c r="N22" s="19" t="str">
        <f t="shared" si="6"/>
        <v/>
      </c>
      <c r="O22" s="20" t="str">
        <f t="shared" si="4"/>
        <v/>
      </c>
      <c r="P22" s="17"/>
      <c r="Q22" s="18"/>
      <c r="R22" s="18"/>
      <c r="S22" s="19" t="str">
        <f t="shared" si="7"/>
        <v/>
      </c>
      <c r="T22" s="20" t="str">
        <f t="shared" si="5"/>
        <v/>
      </c>
      <c r="U22" s="21" t="str">
        <f t="shared" si="0"/>
        <v/>
      </c>
      <c r="V22" s="22" t="str">
        <f t="shared" si="1"/>
        <v/>
      </c>
      <c r="W22" s="23" t="str">
        <f t="shared" si="2"/>
        <v/>
      </c>
    </row>
    <row r="23" spans="1:23" x14ac:dyDescent="0.4">
      <c r="A23" s="33" t="str">
        <f t="shared" si="8"/>
        <v/>
      </c>
      <c r="B23" s="34" t="str">
        <f t="shared" si="9"/>
        <v/>
      </c>
      <c r="C23" s="34" t="str">
        <f t="shared" si="10"/>
        <v/>
      </c>
      <c r="D23" s="34" t="str">
        <f t="shared" si="11"/>
        <v/>
      </c>
      <c r="E23" s="6"/>
      <c r="F23" s="17"/>
      <c r="G23" s="18"/>
      <c r="H23" s="18"/>
      <c r="I23" s="19" t="str">
        <f t="shared" si="12"/>
        <v/>
      </c>
      <c r="J23" s="20" t="str">
        <f t="shared" si="3"/>
        <v/>
      </c>
      <c r="K23" s="17"/>
      <c r="L23" s="18"/>
      <c r="M23" s="18"/>
      <c r="N23" s="19" t="str">
        <f t="shared" si="6"/>
        <v/>
      </c>
      <c r="O23" s="20" t="str">
        <f t="shared" si="4"/>
        <v/>
      </c>
      <c r="P23" s="17"/>
      <c r="Q23" s="18"/>
      <c r="R23" s="18"/>
      <c r="S23" s="19" t="str">
        <f t="shared" si="7"/>
        <v/>
      </c>
      <c r="T23" s="20" t="str">
        <f t="shared" si="5"/>
        <v/>
      </c>
      <c r="U23" s="21" t="str">
        <f t="shared" si="0"/>
        <v/>
      </c>
      <c r="V23" s="22" t="str">
        <f t="shared" si="1"/>
        <v/>
      </c>
      <c r="W23" s="23" t="str">
        <f t="shared" si="2"/>
        <v/>
      </c>
    </row>
    <row r="24" spans="1:23" x14ac:dyDescent="0.4">
      <c r="A24" s="33" t="str">
        <f t="shared" si="8"/>
        <v/>
      </c>
      <c r="B24" s="34" t="str">
        <f t="shared" si="9"/>
        <v/>
      </c>
      <c r="C24" s="34" t="str">
        <f t="shared" si="10"/>
        <v/>
      </c>
      <c r="D24" s="34" t="str">
        <f t="shared" si="11"/>
        <v/>
      </c>
      <c r="E24" s="6"/>
      <c r="F24" s="17"/>
      <c r="G24" s="18"/>
      <c r="H24" s="18"/>
      <c r="I24" s="19" t="str">
        <f t="shared" si="12"/>
        <v/>
      </c>
      <c r="J24" s="20" t="str">
        <f t="shared" si="3"/>
        <v/>
      </c>
      <c r="K24" s="17"/>
      <c r="L24" s="18"/>
      <c r="M24" s="18"/>
      <c r="N24" s="19" t="str">
        <f t="shared" si="6"/>
        <v/>
      </c>
      <c r="O24" s="20" t="str">
        <f t="shared" si="4"/>
        <v/>
      </c>
      <c r="P24" s="17"/>
      <c r="Q24" s="18"/>
      <c r="R24" s="18"/>
      <c r="S24" s="19" t="str">
        <f t="shared" si="7"/>
        <v/>
      </c>
      <c r="T24" s="20" t="str">
        <f t="shared" si="5"/>
        <v/>
      </c>
      <c r="U24" s="21" t="str">
        <f t="shared" si="0"/>
        <v/>
      </c>
      <c r="V24" s="22" t="str">
        <f t="shared" si="1"/>
        <v/>
      </c>
      <c r="W24" s="23" t="str">
        <f t="shared" si="2"/>
        <v/>
      </c>
    </row>
    <row r="25" spans="1:23" x14ac:dyDescent="0.4">
      <c r="A25" s="33" t="str">
        <f t="shared" si="8"/>
        <v/>
      </c>
      <c r="B25" s="34" t="str">
        <f t="shared" si="9"/>
        <v/>
      </c>
      <c r="C25" s="34" t="str">
        <f t="shared" si="10"/>
        <v/>
      </c>
      <c r="D25" s="34" t="str">
        <f t="shared" si="11"/>
        <v/>
      </c>
      <c r="E25" s="6"/>
      <c r="F25" s="17"/>
      <c r="G25" s="18"/>
      <c r="H25" s="18"/>
      <c r="I25" s="19" t="str">
        <f t="shared" si="12"/>
        <v/>
      </c>
      <c r="J25" s="20" t="str">
        <f t="shared" si="3"/>
        <v/>
      </c>
      <c r="K25" s="17"/>
      <c r="L25" s="18"/>
      <c r="M25" s="18"/>
      <c r="N25" s="19" t="str">
        <f t="shared" si="6"/>
        <v/>
      </c>
      <c r="O25" s="20" t="str">
        <f t="shared" si="4"/>
        <v/>
      </c>
      <c r="P25" s="17"/>
      <c r="Q25" s="18"/>
      <c r="R25" s="18"/>
      <c r="S25" s="19" t="str">
        <f t="shared" si="7"/>
        <v/>
      </c>
      <c r="T25" s="20" t="str">
        <f t="shared" si="5"/>
        <v/>
      </c>
      <c r="U25" s="21" t="str">
        <f t="shared" si="0"/>
        <v/>
      </c>
      <c r="V25" s="22" t="str">
        <f t="shared" si="1"/>
        <v/>
      </c>
      <c r="W25" s="23" t="str">
        <f t="shared" si="2"/>
        <v/>
      </c>
    </row>
    <row r="26" spans="1:23" x14ac:dyDescent="0.4">
      <c r="A26" s="33" t="str">
        <f t="shared" si="8"/>
        <v/>
      </c>
      <c r="B26" s="34" t="str">
        <f t="shared" si="9"/>
        <v/>
      </c>
      <c r="C26" s="34" t="str">
        <f t="shared" si="10"/>
        <v/>
      </c>
      <c r="D26" s="34" t="str">
        <f t="shared" si="11"/>
        <v/>
      </c>
      <c r="E26" s="6"/>
      <c r="F26" s="17"/>
      <c r="G26" s="18"/>
      <c r="H26" s="18"/>
      <c r="I26" s="19" t="str">
        <f t="shared" si="12"/>
        <v/>
      </c>
      <c r="J26" s="20" t="str">
        <f t="shared" si="3"/>
        <v/>
      </c>
      <c r="K26" s="17"/>
      <c r="L26" s="18"/>
      <c r="M26" s="18"/>
      <c r="N26" s="19" t="str">
        <f t="shared" si="6"/>
        <v/>
      </c>
      <c r="O26" s="20" t="str">
        <f t="shared" si="4"/>
        <v/>
      </c>
      <c r="P26" s="17"/>
      <c r="Q26" s="18"/>
      <c r="R26" s="18"/>
      <c r="S26" s="19" t="str">
        <f t="shared" si="7"/>
        <v/>
      </c>
      <c r="T26" s="20" t="str">
        <f t="shared" si="5"/>
        <v/>
      </c>
      <c r="U26" s="21" t="str">
        <f t="shared" si="0"/>
        <v/>
      </c>
      <c r="V26" s="22" t="str">
        <f t="shared" si="1"/>
        <v/>
      </c>
      <c r="W26" s="23" t="str">
        <f t="shared" si="2"/>
        <v/>
      </c>
    </row>
    <row r="27" spans="1:23" x14ac:dyDescent="0.4">
      <c r="A27" s="33" t="str">
        <f t="shared" si="8"/>
        <v/>
      </c>
      <c r="B27" s="34" t="str">
        <f t="shared" si="9"/>
        <v/>
      </c>
      <c r="C27" s="34" t="str">
        <f t="shared" si="10"/>
        <v/>
      </c>
      <c r="D27" s="34" t="str">
        <f t="shared" si="11"/>
        <v/>
      </c>
      <c r="E27" s="6"/>
      <c r="F27" s="17"/>
      <c r="G27" s="18"/>
      <c r="H27" s="18"/>
      <c r="I27" s="19" t="str">
        <f t="shared" si="12"/>
        <v/>
      </c>
      <c r="J27" s="20" t="str">
        <f t="shared" si="3"/>
        <v/>
      </c>
      <c r="K27" s="17"/>
      <c r="L27" s="18"/>
      <c r="M27" s="18"/>
      <c r="N27" s="19" t="str">
        <f t="shared" si="6"/>
        <v/>
      </c>
      <c r="O27" s="20" t="str">
        <f t="shared" si="4"/>
        <v/>
      </c>
      <c r="P27" s="17"/>
      <c r="Q27" s="18"/>
      <c r="R27" s="18"/>
      <c r="S27" s="19" t="str">
        <f t="shared" si="7"/>
        <v/>
      </c>
      <c r="T27" s="20" t="str">
        <f t="shared" si="5"/>
        <v/>
      </c>
      <c r="U27" s="21" t="str">
        <f t="shared" si="0"/>
        <v/>
      </c>
      <c r="V27" s="22" t="str">
        <f t="shared" si="1"/>
        <v/>
      </c>
      <c r="W27" s="23" t="str">
        <f t="shared" si="2"/>
        <v/>
      </c>
    </row>
    <row r="28" spans="1:23" x14ac:dyDescent="0.4">
      <c r="A28" s="33" t="str">
        <f t="shared" si="8"/>
        <v/>
      </c>
      <c r="B28" s="34" t="str">
        <f t="shared" si="9"/>
        <v/>
      </c>
      <c r="C28" s="34" t="str">
        <f t="shared" si="10"/>
        <v/>
      </c>
      <c r="D28" s="34" t="str">
        <f t="shared" si="11"/>
        <v/>
      </c>
      <c r="E28" s="6"/>
      <c r="F28" s="17"/>
      <c r="G28" s="18"/>
      <c r="H28" s="18"/>
      <c r="I28" s="19" t="str">
        <f t="shared" si="12"/>
        <v/>
      </c>
      <c r="J28" s="20" t="str">
        <f t="shared" si="3"/>
        <v/>
      </c>
      <c r="K28" s="17"/>
      <c r="L28" s="18"/>
      <c r="M28" s="18"/>
      <c r="N28" s="19" t="str">
        <f t="shared" si="6"/>
        <v/>
      </c>
      <c r="O28" s="20" t="str">
        <f t="shared" si="4"/>
        <v/>
      </c>
      <c r="P28" s="17"/>
      <c r="Q28" s="18"/>
      <c r="R28" s="18"/>
      <c r="S28" s="19" t="str">
        <f t="shared" si="7"/>
        <v/>
      </c>
      <c r="T28" s="20" t="str">
        <f t="shared" si="5"/>
        <v/>
      </c>
      <c r="U28" s="21" t="str">
        <f t="shared" si="0"/>
        <v/>
      </c>
      <c r="V28" s="22" t="str">
        <f t="shared" si="1"/>
        <v/>
      </c>
      <c r="W28" s="23" t="str">
        <f t="shared" si="2"/>
        <v/>
      </c>
    </row>
    <row r="29" spans="1:23" x14ac:dyDescent="0.4">
      <c r="A29" s="33" t="str">
        <f t="shared" si="8"/>
        <v/>
      </c>
      <c r="B29" s="34" t="str">
        <f t="shared" si="9"/>
        <v/>
      </c>
      <c r="C29" s="34" t="str">
        <f t="shared" si="10"/>
        <v/>
      </c>
      <c r="D29" s="34" t="str">
        <f t="shared" si="11"/>
        <v/>
      </c>
      <c r="E29" s="6"/>
      <c r="F29" s="17"/>
      <c r="G29" s="18"/>
      <c r="H29" s="18"/>
      <c r="I29" s="19" t="str">
        <f t="shared" si="12"/>
        <v/>
      </c>
      <c r="J29" s="20" t="str">
        <f t="shared" si="3"/>
        <v/>
      </c>
      <c r="K29" s="17"/>
      <c r="L29" s="18"/>
      <c r="M29" s="18"/>
      <c r="N29" s="19" t="str">
        <f t="shared" si="6"/>
        <v/>
      </c>
      <c r="O29" s="20" t="str">
        <f t="shared" si="4"/>
        <v/>
      </c>
      <c r="P29" s="17"/>
      <c r="Q29" s="18"/>
      <c r="R29" s="18"/>
      <c r="S29" s="19" t="str">
        <f t="shared" si="7"/>
        <v/>
      </c>
      <c r="T29" s="20" t="str">
        <f t="shared" si="5"/>
        <v/>
      </c>
      <c r="U29" s="21" t="str">
        <f t="shared" si="0"/>
        <v/>
      </c>
      <c r="V29" s="22" t="str">
        <f t="shared" si="1"/>
        <v/>
      </c>
      <c r="W29" s="23" t="str">
        <f t="shared" si="2"/>
        <v/>
      </c>
    </row>
    <row r="30" spans="1:23" x14ac:dyDescent="0.4">
      <c r="A30" s="35" t="str">
        <f t="shared" si="8"/>
        <v/>
      </c>
      <c r="B30" s="36" t="str">
        <f t="shared" si="9"/>
        <v/>
      </c>
      <c r="C30" s="36" t="str">
        <f t="shared" si="10"/>
        <v/>
      </c>
      <c r="D30" s="36" t="str">
        <f t="shared" si="11"/>
        <v/>
      </c>
      <c r="E30" s="7"/>
      <c r="F30" s="24"/>
      <c r="G30" s="25"/>
      <c r="H30" s="25"/>
      <c r="I30" s="26" t="str">
        <f t="shared" si="12"/>
        <v/>
      </c>
      <c r="J30" s="27" t="str">
        <f t="shared" si="3"/>
        <v/>
      </c>
      <c r="K30" s="24"/>
      <c r="L30" s="25"/>
      <c r="M30" s="25"/>
      <c r="N30" s="26" t="str">
        <f t="shared" si="6"/>
        <v/>
      </c>
      <c r="O30" s="27" t="str">
        <f t="shared" si="4"/>
        <v/>
      </c>
      <c r="P30" s="24"/>
      <c r="Q30" s="25"/>
      <c r="R30" s="25"/>
      <c r="S30" s="26" t="str">
        <f t="shared" si="7"/>
        <v/>
      </c>
      <c r="T30" s="27" t="str">
        <f t="shared" si="5"/>
        <v/>
      </c>
      <c r="U30" s="28" t="str">
        <f t="shared" si="0"/>
        <v/>
      </c>
      <c r="V30" s="29" t="str">
        <f t="shared" si="1"/>
        <v/>
      </c>
      <c r="W30" s="30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7" priority="2">
      <formula>IF(AND(G4&lt;&gt;"",F4&lt;&gt;"流局",F4&lt;&gt;"チョンボ"),SUM($G4:$I4,$L4:$N4,$Q4:$S4)-$D4*1000)</formula>
    </cfRule>
  </conditionalFormatting>
  <conditionalFormatting sqref="F1:T1">
    <cfRule type="duplicateValues" dxfId="6" priority="1"/>
  </conditionalFormatting>
  <dataValidations count="2">
    <dataValidation type="list" allowBlank="1" showErrorMessage="1" sqref="E4:E30" xr:uid="{4342511D-A081-460B-B83E-CCFA6E68A9E5}">
      <formula1>$U$2:$W$2</formula1>
    </dataValidation>
    <dataValidation type="list" showInputMessage="1" showErrorMessage="1" sqref="K4:K30 P4:P30 F4:F30" xr:uid="{D8703CAF-F4AA-4BFE-AE52-97A1C621191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AD5F3-234C-43CA-A6D9-87C736897EBE}">
  <sheetPr codeName="Sheet10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16</v>
      </c>
      <c r="G1" s="41"/>
      <c r="H1" s="41"/>
      <c r="I1" s="42"/>
      <c r="J1" s="43"/>
      <c r="K1" s="40" t="s">
        <v>27</v>
      </c>
      <c r="L1" s="41"/>
      <c r="M1" s="41"/>
      <c r="N1" s="42"/>
      <c r="O1" s="43"/>
      <c r="P1" s="40" t="s">
        <v>20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38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3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38" t="s">
        <v>10</v>
      </c>
      <c r="T2" s="9" t="s">
        <v>5</v>
      </c>
      <c r="U2" s="2" t="str">
        <f>F1</f>
        <v>だいち</v>
      </c>
      <c r="V2" s="3" t="str">
        <f>K1</f>
        <v>りくと</v>
      </c>
      <c r="W2" s="39" t="str">
        <f>P1</f>
        <v>いっしー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 t="shared" ref="U3:U30" si="0">IF($J3="","",ROUND(($J3-35000)/1000,0))</f>
        <v>0</v>
      </c>
      <c r="V3" s="15">
        <f t="shared" ref="V3:V30" si="1">IF($O3="","",ROUND(($O3-35000)/1000,0))</f>
        <v>0</v>
      </c>
      <c r="W3" s="16">
        <f t="shared" ref="W3:W30" si="2"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15</v>
      </c>
      <c r="F4" s="17"/>
      <c r="G4" s="18"/>
      <c r="H4" s="18"/>
      <c r="I4" s="19" t="str">
        <f>IF(OR(F4="ロン",F4="ツモ"),$C4*1000,IF(F4="放銃",$C4*-1000,IF(F4="ツモ支払",$C4*-500,"")))</f>
        <v/>
      </c>
      <c r="J4" s="20">
        <f t="shared" ref="J4:J30" si="3">IF(COUNTA($F4,$K4,$P4)&gt;0,J3+SUM(G4:I4),"")</f>
        <v>35000</v>
      </c>
      <c r="K4" s="17" t="s">
        <v>23</v>
      </c>
      <c r="L4" s="18">
        <v>-8000</v>
      </c>
      <c r="M4" s="18"/>
      <c r="N4" s="19">
        <f>IF(OR(K4="ロン",K4="ツモ"),$C4*1000,IF(K4="放銃",$C4*-1000,IF(K4="ツモ支払",$C4*-500,"")))</f>
        <v>0</v>
      </c>
      <c r="O4" s="20">
        <f t="shared" ref="O4:O30" si="4">IF(COUNTA($F4,$K4,$P4)&gt;0,O3+SUM(L4:N4),"")</f>
        <v>27000</v>
      </c>
      <c r="P4" s="17" t="s">
        <v>22</v>
      </c>
      <c r="Q4" s="18">
        <v>8000</v>
      </c>
      <c r="R4" s="18"/>
      <c r="S4" s="19">
        <f>IF(OR(P4="ロン",P4="ツモ"),$C4*1000,IF(P4="放銃",$C4*-1000,IF(P4="ツモ支払",$C4*-500,"")))</f>
        <v>0</v>
      </c>
      <c r="T4" s="20">
        <f t="shared" ref="T4:T30" si="5">IF(COUNTA($F4,$K4,$P4)&gt;0,T3+SUM(Q4:S4),"")</f>
        <v>43000</v>
      </c>
      <c r="U4" s="21">
        <f t="shared" si="0"/>
        <v>0</v>
      </c>
      <c r="V4" s="22">
        <f t="shared" si="1"/>
        <v>-8</v>
      </c>
      <c r="W4" s="23">
        <f t="shared" si="2"/>
        <v>8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2</v>
      </c>
      <c r="C5" s="34">
        <f>IF($E5="","",IF($E4=$E5,C4+1,0))</f>
        <v>0</v>
      </c>
      <c r="D5" s="34">
        <f>IF($E5="","",IF(OR(F4="流局",K4="流局",P4="流局",F4="チョンボ",K4="チョンボ",P4="チョンボ"),D4+($H4+$M4+$R4)/-1000,0))</f>
        <v>0</v>
      </c>
      <c r="E5" s="6" t="s">
        <v>26</v>
      </c>
      <c r="F5" s="17" t="s">
        <v>23</v>
      </c>
      <c r="G5" s="18">
        <v>-48000</v>
      </c>
      <c r="H5" s="18"/>
      <c r="I5" s="19">
        <f>IF(OR(F5="ロン",F5="ツモ"),$C5*1000,IF(F5="放銃",$C5*-1000,IF(F5="ツモ支払",$C5*-500,"")))</f>
        <v>0</v>
      </c>
      <c r="J5" s="20">
        <f t="shared" si="3"/>
        <v>-13000</v>
      </c>
      <c r="K5" s="17" t="s">
        <v>22</v>
      </c>
      <c r="L5" s="18">
        <v>48000</v>
      </c>
      <c r="M5" s="18"/>
      <c r="N5" s="19">
        <f t="shared" ref="N5:N30" si="6">IF(OR(K5="ロン",K5="ツモ"),$C5*1000,IF(K5="放銃",$C5*-1000,IF(K5="ツモ支払",$C5*-500,"")))</f>
        <v>0</v>
      </c>
      <c r="O5" s="20">
        <f t="shared" si="4"/>
        <v>75000</v>
      </c>
      <c r="P5" s="17"/>
      <c r="Q5" s="18"/>
      <c r="R5" s="18"/>
      <c r="S5" s="19" t="str">
        <f t="shared" ref="S5:S30" si="7">IF(OR(P5="ロン",P5="ツモ"),$C5*1000,IF(P5="放銃",$C5*-1000,IF(P5="ツモ支払",$C5*-500,"")))</f>
        <v/>
      </c>
      <c r="T5" s="20">
        <f t="shared" si="5"/>
        <v>43000</v>
      </c>
      <c r="U5" s="21">
        <f t="shared" si="0"/>
        <v>-48</v>
      </c>
      <c r="V5" s="22">
        <f t="shared" si="1"/>
        <v>40</v>
      </c>
      <c r="W5" s="23">
        <f t="shared" si="2"/>
        <v>8</v>
      </c>
    </row>
    <row r="6" spans="1:23" x14ac:dyDescent="0.4">
      <c r="A6" s="33" t="str">
        <f t="shared" ref="A6:A30" si="8">IF($E6="","",IF(AND(B5=3,B6=1),IF(A5="東","南",IF(A5="南","西",IF(A5="西","北",IF(A5="北","東","")))),A5))</f>
        <v/>
      </c>
      <c r="B6" s="34" t="str">
        <f t="shared" ref="B6:B30" si="9">IF($E6="","",IF($E5=$E6,B5,IF(B5=3,1,B5+1)))</f>
        <v/>
      </c>
      <c r="C6" s="34" t="str">
        <f t="shared" ref="C6:C30" si="10">IF($E6="","",IF($E5=$E6,C5+1,0))</f>
        <v/>
      </c>
      <c r="D6" s="34" t="str">
        <f t="shared" ref="D6:D30" si="11">IF($E6="","",IF(OR(F5="流局",K5="流局",P5="流局",F5="チョンボ",K5="チョンボ",P5="チョンボ"),D5+($H5+$M5+$R5)/-1000,0))</f>
        <v/>
      </c>
      <c r="E6" s="6"/>
      <c r="F6" s="17"/>
      <c r="G6" s="18"/>
      <c r="H6" s="18"/>
      <c r="I6" s="19" t="str">
        <f t="shared" ref="I6:I30" si="12">IF(OR(F6="ロン",F6="ツモ"),$C6*1000,IF(F6="放銃",$C6*-1000,IF(F6="ツモ支払",$C6*-500,"")))</f>
        <v/>
      </c>
      <c r="J6" s="20" t="str">
        <f t="shared" si="3"/>
        <v/>
      </c>
      <c r="K6" s="17"/>
      <c r="L6" s="18"/>
      <c r="M6" s="18"/>
      <c r="N6" s="19" t="str">
        <f t="shared" si="6"/>
        <v/>
      </c>
      <c r="O6" s="20" t="str">
        <f t="shared" si="4"/>
        <v/>
      </c>
      <c r="P6" s="17"/>
      <c r="Q6" s="18"/>
      <c r="R6" s="18"/>
      <c r="S6" s="19" t="str">
        <f t="shared" si="7"/>
        <v/>
      </c>
      <c r="T6" s="20" t="str">
        <f t="shared" si="5"/>
        <v/>
      </c>
      <c r="U6" s="21" t="str">
        <f t="shared" si="0"/>
        <v/>
      </c>
      <c r="V6" s="22" t="str">
        <f t="shared" si="1"/>
        <v/>
      </c>
      <c r="W6" s="23" t="str">
        <f t="shared" si="2"/>
        <v/>
      </c>
    </row>
    <row r="7" spans="1:23" x14ac:dyDescent="0.4">
      <c r="A7" s="33" t="str">
        <f t="shared" si="8"/>
        <v/>
      </c>
      <c r="B7" s="34" t="str">
        <f t="shared" si="9"/>
        <v/>
      </c>
      <c r="C7" s="34" t="str">
        <f t="shared" si="10"/>
        <v/>
      </c>
      <c r="D7" s="34" t="str">
        <f t="shared" si="11"/>
        <v/>
      </c>
      <c r="E7" s="6"/>
      <c r="F7" s="17"/>
      <c r="G7" s="18"/>
      <c r="H7" s="18"/>
      <c r="I7" s="19" t="str">
        <f t="shared" si="12"/>
        <v/>
      </c>
      <c r="J7" s="20" t="str">
        <f t="shared" si="3"/>
        <v/>
      </c>
      <c r="K7" s="17"/>
      <c r="L7" s="18"/>
      <c r="M7" s="18"/>
      <c r="N7" s="19" t="str">
        <f t="shared" si="6"/>
        <v/>
      </c>
      <c r="O7" s="20" t="str">
        <f t="shared" si="4"/>
        <v/>
      </c>
      <c r="P7" s="17"/>
      <c r="Q7" s="18"/>
      <c r="R7" s="18"/>
      <c r="S7" s="19" t="str">
        <f t="shared" si="7"/>
        <v/>
      </c>
      <c r="T7" s="20" t="str">
        <f t="shared" si="5"/>
        <v/>
      </c>
      <c r="U7" s="21" t="str">
        <f t="shared" si="0"/>
        <v/>
      </c>
      <c r="V7" s="22" t="str">
        <f t="shared" si="1"/>
        <v/>
      </c>
      <c r="W7" s="23" t="str">
        <f t="shared" si="2"/>
        <v/>
      </c>
    </row>
    <row r="8" spans="1:23" x14ac:dyDescent="0.4">
      <c r="A8" s="33" t="str">
        <f t="shared" si="8"/>
        <v/>
      </c>
      <c r="B8" s="34" t="str">
        <f t="shared" si="9"/>
        <v/>
      </c>
      <c r="C8" s="34" t="str">
        <f t="shared" si="10"/>
        <v/>
      </c>
      <c r="D8" s="34" t="str">
        <f t="shared" si="11"/>
        <v/>
      </c>
      <c r="E8" s="6"/>
      <c r="F8" s="17"/>
      <c r="G8" s="18"/>
      <c r="H8" s="18"/>
      <c r="I8" s="19" t="str">
        <f t="shared" si="12"/>
        <v/>
      </c>
      <c r="J8" s="20" t="str">
        <f t="shared" si="3"/>
        <v/>
      </c>
      <c r="K8" s="17"/>
      <c r="L8" s="18"/>
      <c r="M8" s="18"/>
      <c r="N8" s="19" t="str">
        <f t="shared" si="6"/>
        <v/>
      </c>
      <c r="O8" s="20" t="str">
        <f t="shared" si="4"/>
        <v/>
      </c>
      <c r="P8" s="17"/>
      <c r="Q8" s="18"/>
      <c r="R8" s="18"/>
      <c r="S8" s="19" t="str">
        <f t="shared" si="7"/>
        <v/>
      </c>
      <c r="T8" s="20" t="str">
        <f t="shared" si="5"/>
        <v/>
      </c>
      <c r="U8" s="21" t="str">
        <f t="shared" si="0"/>
        <v/>
      </c>
      <c r="V8" s="22" t="str">
        <f t="shared" si="1"/>
        <v/>
      </c>
      <c r="W8" s="23" t="str">
        <f t="shared" si="2"/>
        <v/>
      </c>
    </row>
    <row r="9" spans="1:23" x14ac:dyDescent="0.4">
      <c r="A9" s="33" t="str">
        <f t="shared" si="8"/>
        <v/>
      </c>
      <c r="B9" s="34" t="str">
        <f t="shared" si="9"/>
        <v/>
      </c>
      <c r="C9" s="34" t="str">
        <f t="shared" si="10"/>
        <v/>
      </c>
      <c r="D9" s="34" t="str">
        <f t="shared" si="11"/>
        <v/>
      </c>
      <c r="E9" s="6"/>
      <c r="F9" s="17"/>
      <c r="G9" s="18"/>
      <c r="H9" s="18"/>
      <c r="I9" s="19" t="str">
        <f t="shared" si="12"/>
        <v/>
      </c>
      <c r="J9" s="20" t="str">
        <f t="shared" si="3"/>
        <v/>
      </c>
      <c r="K9" s="17"/>
      <c r="L9" s="18"/>
      <c r="M9" s="18"/>
      <c r="N9" s="19" t="str">
        <f t="shared" si="6"/>
        <v/>
      </c>
      <c r="O9" s="20" t="str">
        <f t="shared" si="4"/>
        <v/>
      </c>
      <c r="P9" s="17"/>
      <c r="Q9" s="18"/>
      <c r="R9" s="18"/>
      <c r="S9" s="19" t="str">
        <f t="shared" si="7"/>
        <v/>
      </c>
      <c r="T9" s="20" t="str">
        <f t="shared" si="5"/>
        <v/>
      </c>
      <c r="U9" s="21" t="str">
        <f t="shared" si="0"/>
        <v/>
      </c>
      <c r="V9" s="22" t="str">
        <f t="shared" si="1"/>
        <v/>
      </c>
      <c r="W9" s="23" t="str">
        <f t="shared" si="2"/>
        <v/>
      </c>
    </row>
    <row r="10" spans="1:23" x14ac:dyDescent="0.4">
      <c r="A10" s="33" t="str">
        <f t="shared" si="8"/>
        <v/>
      </c>
      <c r="B10" s="34" t="str">
        <f t="shared" si="9"/>
        <v/>
      </c>
      <c r="C10" s="34" t="str">
        <f t="shared" si="10"/>
        <v/>
      </c>
      <c r="D10" s="34" t="str">
        <f t="shared" si="11"/>
        <v/>
      </c>
      <c r="E10" s="6"/>
      <c r="F10" s="17"/>
      <c r="G10" s="18"/>
      <c r="H10" s="18"/>
      <c r="I10" s="19" t="str">
        <f t="shared" si="12"/>
        <v/>
      </c>
      <c r="J10" s="20" t="str">
        <f t="shared" si="3"/>
        <v/>
      </c>
      <c r="K10" s="17"/>
      <c r="L10" s="18"/>
      <c r="M10" s="18"/>
      <c r="N10" s="19" t="str">
        <f t="shared" si="6"/>
        <v/>
      </c>
      <c r="O10" s="20" t="str">
        <f t="shared" si="4"/>
        <v/>
      </c>
      <c r="P10" s="17"/>
      <c r="Q10" s="18"/>
      <c r="R10" s="18"/>
      <c r="S10" s="19" t="str">
        <f t="shared" si="7"/>
        <v/>
      </c>
      <c r="T10" s="20" t="str">
        <f t="shared" si="5"/>
        <v/>
      </c>
      <c r="U10" s="21" t="str">
        <f t="shared" si="0"/>
        <v/>
      </c>
      <c r="V10" s="22" t="str">
        <f t="shared" si="1"/>
        <v/>
      </c>
      <c r="W10" s="23" t="str">
        <f t="shared" si="2"/>
        <v/>
      </c>
    </row>
    <row r="11" spans="1:23" x14ac:dyDescent="0.4">
      <c r="A11" s="33" t="str">
        <f t="shared" si="8"/>
        <v/>
      </c>
      <c r="B11" s="34" t="str">
        <f t="shared" si="9"/>
        <v/>
      </c>
      <c r="C11" s="34" t="str">
        <f t="shared" si="10"/>
        <v/>
      </c>
      <c r="D11" s="34" t="str">
        <f t="shared" si="11"/>
        <v/>
      </c>
      <c r="E11" s="6"/>
      <c r="F11" s="17"/>
      <c r="G11" s="18"/>
      <c r="H11" s="18"/>
      <c r="I11" s="19" t="str">
        <f t="shared" si="12"/>
        <v/>
      </c>
      <c r="J11" s="20" t="str">
        <f t="shared" si="3"/>
        <v/>
      </c>
      <c r="K11" s="17"/>
      <c r="L11" s="18"/>
      <c r="M11" s="18"/>
      <c r="N11" s="19" t="str">
        <f t="shared" si="6"/>
        <v/>
      </c>
      <c r="O11" s="20" t="str">
        <f t="shared" si="4"/>
        <v/>
      </c>
      <c r="P11" s="17"/>
      <c r="Q11" s="18"/>
      <c r="R11" s="18"/>
      <c r="S11" s="19" t="str">
        <f t="shared" si="7"/>
        <v/>
      </c>
      <c r="T11" s="20" t="str">
        <f t="shared" si="5"/>
        <v/>
      </c>
      <c r="U11" s="21" t="str">
        <f t="shared" si="0"/>
        <v/>
      </c>
      <c r="V11" s="22" t="str">
        <f t="shared" si="1"/>
        <v/>
      </c>
      <c r="W11" s="23" t="str">
        <f t="shared" si="2"/>
        <v/>
      </c>
    </row>
    <row r="12" spans="1:23" x14ac:dyDescent="0.4">
      <c r="A12" s="33" t="str">
        <f t="shared" si="8"/>
        <v/>
      </c>
      <c r="B12" s="34" t="str">
        <f t="shared" si="9"/>
        <v/>
      </c>
      <c r="C12" s="34" t="str">
        <f t="shared" si="10"/>
        <v/>
      </c>
      <c r="D12" s="34" t="str">
        <f t="shared" si="11"/>
        <v/>
      </c>
      <c r="E12" s="6"/>
      <c r="F12" s="17"/>
      <c r="G12" s="18"/>
      <c r="H12" s="18"/>
      <c r="I12" s="19" t="str">
        <f t="shared" si="12"/>
        <v/>
      </c>
      <c r="J12" s="20" t="str">
        <f t="shared" si="3"/>
        <v/>
      </c>
      <c r="K12" s="17"/>
      <c r="L12" s="18"/>
      <c r="M12" s="18"/>
      <c r="N12" s="19" t="str">
        <f t="shared" si="6"/>
        <v/>
      </c>
      <c r="O12" s="20" t="str">
        <f t="shared" si="4"/>
        <v/>
      </c>
      <c r="P12" s="17"/>
      <c r="Q12" s="18"/>
      <c r="R12" s="18"/>
      <c r="S12" s="19" t="str">
        <f t="shared" si="7"/>
        <v/>
      </c>
      <c r="T12" s="20" t="str">
        <f t="shared" si="5"/>
        <v/>
      </c>
      <c r="U12" s="21" t="str">
        <f t="shared" si="0"/>
        <v/>
      </c>
      <c r="V12" s="22" t="str">
        <f t="shared" si="1"/>
        <v/>
      </c>
      <c r="W12" s="23" t="str">
        <f t="shared" si="2"/>
        <v/>
      </c>
    </row>
    <row r="13" spans="1:23" x14ac:dyDescent="0.4">
      <c r="A13" s="33" t="str">
        <f t="shared" si="8"/>
        <v/>
      </c>
      <c r="B13" s="34" t="str">
        <f t="shared" si="9"/>
        <v/>
      </c>
      <c r="C13" s="34" t="str">
        <f t="shared" si="10"/>
        <v/>
      </c>
      <c r="D13" s="34" t="str">
        <f t="shared" si="11"/>
        <v/>
      </c>
      <c r="E13" s="6"/>
      <c r="F13" s="17"/>
      <c r="G13" s="18"/>
      <c r="H13" s="18"/>
      <c r="I13" s="19" t="str">
        <f t="shared" si="12"/>
        <v/>
      </c>
      <c r="J13" s="20" t="str">
        <f t="shared" si="3"/>
        <v/>
      </c>
      <c r="K13" s="17"/>
      <c r="L13" s="18"/>
      <c r="M13" s="18"/>
      <c r="N13" s="19" t="str">
        <f t="shared" si="6"/>
        <v/>
      </c>
      <c r="O13" s="20" t="str">
        <f t="shared" si="4"/>
        <v/>
      </c>
      <c r="P13" s="17"/>
      <c r="Q13" s="18"/>
      <c r="R13" s="18"/>
      <c r="S13" s="19" t="str">
        <f t="shared" si="7"/>
        <v/>
      </c>
      <c r="T13" s="20" t="str">
        <f t="shared" si="5"/>
        <v/>
      </c>
      <c r="U13" s="21" t="str">
        <f t="shared" si="0"/>
        <v/>
      </c>
      <c r="V13" s="22" t="str">
        <f t="shared" si="1"/>
        <v/>
      </c>
      <c r="W13" s="23" t="str">
        <f t="shared" si="2"/>
        <v/>
      </c>
    </row>
    <row r="14" spans="1:23" x14ac:dyDescent="0.4">
      <c r="A14" s="33" t="str">
        <f t="shared" si="8"/>
        <v/>
      </c>
      <c r="B14" s="34" t="str">
        <f t="shared" si="9"/>
        <v/>
      </c>
      <c r="C14" s="34" t="str">
        <f t="shared" si="10"/>
        <v/>
      </c>
      <c r="D14" s="34" t="str">
        <f t="shared" si="11"/>
        <v/>
      </c>
      <c r="E14" s="6"/>
      <c r="F14" s="17"/>
      <c r="G14" s="18"/>
      <c r="H14" s="18"/>
      <c r="I14" s="19" t="str">
        <f t="shared" si="12"/>
        <v/>
      </c>
      <c r="J14" s="20" t="str">
        <f t="shared" si="3"/>
        <v/>
      </c>
      <c r="K14" s="17"/>
      <c r="L14" s="18"/>
      <c r="M14" s="18"/>
      <c r="N14" s="19" t="str">
        <f t="shared" si="6"/>
        <v/>
      </c>
      <c r="O14" s="20" t="str">
        <f t="shared" si="4"/>
        <v/>
      </c>
      <c r="P14" s="17"/>
      <c r="Q14" s="18"/>
      <c r="R14" s="18"/>
      <c r="S14" s="19" t="str">
        <f t="shared" si="7"/>
        <v/>
      </c>
      <c r="T14" s="20" t="str">
        <f t="shared" si="5"/>
        <v/>
      </c>
      <c r="U14" s="21" t="str">
        <f t="shared" si="0"/>
        <v/>
      </c>
      <c r="V14" s="22" t="str">
        <f t="shared" si="1"/>
        <v/>
      </c>
      <c r="W14" s="23" t="str">
        <f t="shared" si="2"/>
        <v/>
      </c>
    </row>
    <row r="15" spans="1:23" x14ac:dyDescent="0.4">
      <c r="A15" s="33" t="str">
        <f t="shared" si="8"/>
        <v/>
      </c>
      <c r="B15" s="34" t="str">
        <f t="shared" si="9"/>
        <v/>
      </c>
      <c r="C15" s="34" t="str">
        <f t="shared" si="10"/>
        <v/>
      </c>
      <c r="D15" s="34" t="str">
        <f t="shared" si="11"/>
        <v/>
      </c>
      <c r="E15" s="6"/>
      <c r="F15" s="17"/>
      <c r="G15" s="18"/>
      <c r="H15" s="18"/>
      <c r="I15" s="19" t="str">
        <f t="shared" si="12"/>
        <v/>
      </c>
      <c r="J15" s="20" t="str">
        <f t="shared" si="3"/>
        <v/>
      </c>
      <c r="K15" s="17"/>
      <c r="L15" s="18"/>
      <c r="M15" s="18"/>
      <c r="N15" s="19" t="str">
        <f t="shared" si="6"/>
        <v/>
      </c>
      <c r="O15" s="20" t="str">
        <f t="shared" si="4"/>
        <v/>
      </c>
      <c r="P15" s="17"/>
      <c r="Q15" s="18"/>
      <c r="R15" s="18"/>
      <c r="S15" s="19" t="str">
        <f t="shared" si="7"/>
        <v/>
      </c>
      <c r="T15" s="20" t="str">
        <f t="shared" si="5"/>
        <v/>
      </c>
      <c r="U15" s="21" t="str">
        <f t="shared" si="0"/>
        <v/>
      </c>
      <c r="V15" s="22" t="str">
        <f t="shared" si="1"/>
        <v/>
      </c>
      <c r="W15" s="23" t="str">
        <f t="shared" si="2"/>
        <v/>
      </c>
    </row>
    <row r="16" spans="1:23" x14ac:dyDescent="0.4">
      <c r="A16" s="33" t="str">
        <f t="shared" si="8"/>
        <v/>
      </c>
      <c r="B16" s="34" t="str">
        <f t="shared" si="9"/>
        <v/>
      </c>
      <c r="C16" s="34" t="str">
        <f t="shared" si="10"/>
        <v/>
      </c>
      <c r="D16" s="34" t="str">
        <f t="shared" si="11"/>
        <v/>
      </c>
      <c r="E16" s="6"/>
      <c r="F16" s="17"/>
      <c r="G16" s="18"/>
      <c r="H16" s="18"/>
      <c r="I16" s="19" t="str">
        <f t="shared" si="12"/>
        <v/>
      </c>
      <c r="J16" s="20" t="str">
        <f t="shared" si="3"/>
        <v/>
      </c>
      <c r="K16" s="17"/>
      <c r="L16" s="18"/>
      <c r="M16" s="18"/>
      <c r="N16" s="19" t="str">
        <f t="shared" si="6"/>
        <v/>
      </c>
      <c r="O16" s="20" t="str">
        <f t="shared" si="4"/>
        <v/>
      </c>
      <c r="P16" s="17"/>
      <c r="Q16" s="18"/>
      <c r="R16" s="18"/>
      <c r="S16" s="19" t="str">
        <f t="shared" si="7"/>
        <v/>
      </c>
      <c r="T16" s="20" t="str">
        <f t="shared" si="5"/>
        <v/>
      </c>
      <c r="U16" s="21" t="str">
        <f t="shared" si="0"/>
        <v/>
      </c>
      <c r="V16" s="22" t="str">
        <f t="shared" si="1"/>
        <v/>
      </c>
      <c r="W16" s="23" t="str">
        <f t="shared" si="2"/>
        <v/>
      </c>
    </row>
    <row r="17" spans="1:23" x14ac:dyDescent="0.4">
      <c r="A17" s="33" t="str">
        <f t="shared" si="8"/>
        <v/>
      </c>
      <c r="B17" s="34" t="str">
        <f t="shared" si="9"/>
        <v/>
      </c>
      <c r="C17" s="34" t="str">
        <f t="shared" si="10"/>
        <v/>
      </c>
      <c r="D17" s="34" t="str">
        <f t="shared" si="11"/>
        <v/>
      </c>
      <c r="E17" s="6"/>
      <c r="F17" s="17"/>
      <c r="G17" s="18"/>
      <c r="H17" s="18"/>
      <c r="I17" s="19" t="str">
        <f t="shared" si="12"/>
        <v/>
      </c>
      <c r="J17" s="20" t="str">
        <f t="shared" si="3"/>
        <v/>
      </c>
      <c r="K17" s="17"/>
      <c r="L17" s="18"/>
      <c r="M17" s="18"/>
      <c r="N17" s="19" t="str">
        <f t="shared" si="6"/>
        <v/>
      </c>
      <c r="O17" s="20" t="str">
        <f t="shared" si="4"/>
        <v/>
      </c>
      <c r="P17" s="17"/>
      <c r="Q17" s="18"/>
      <c r="R17" s="18"/>
      <c r="S17" s="19" t="str">
        <f t="shared" si="7"/>
        <v/>
      </c>
      <c r="T17" s="20" t="str">
        <f t="shared" si="5"/>
        <v/>
      </c>
      <c r="U17" s="21" t="str">
        <f t="shared" si="0"/>
        <v/>
      </c>
      <c r="V17" s="22" t="str">
        <f t="shared" si="1"/>
        <v/>
      </c>
      <c r="W17" s="23" t="str">
        <f t="shared" si="2"/>
        <v/>
      </c>
    </row>
    <row r="18" spans="1:23" x14ac:dyDescent="0.4">
      <c r="A18" s="33" t="str">
        <f t="shared" si="8"/>
        <v/>
      </c>
      <c r="B18" s="34" t="str">
        <f t="shared" si="9"/>
        <v/>
      </c>
      <c r="C18" s="34" t="str">
        <f t="shared" si="10"/>
        <v/>
      </c>
      <c r="D18" s="34" t="str">
        <f t="shared" si="11"/>
        <v/>
      </c>
      <c r="E18" s="6"/>
      <c r="F18" s="17"/>
      <c r="G18" s="18"/>
      <c r="H18" s="18"/>
      <c r="I18" s="19" t="str">
        <f t="shared" si="12"/>
        <v/>
      </c>
      <c r="J18" s="20" t="str">
        <f t="shared" si="3"/>
        <v/>
      </c>
      <c r="K18" s="17"/>
      <c r="L18" s="18"/>
      <c r="M18" s="18"/>
      <c r="N18" s="19" t="str">
        <f t="shared" si="6"/>
        <v/>
      </c>
      <c r="O18" s="20" t="str">
        <f t="shared" si="4"/>
        <v/>
      </c>
      <c r="P18" s="17"/>
      <c r="Q18" s="18"/>
      <c r="R18" s="18"/>
      <c r="S18" s="19" t="str">
        <f t="shared" si="7"/>
        <v/>
      </c>
      <c r="T18" s="20" t="str">
        <f t="shared" si="5"/>
        <v/>
      </c>
      <c r="U18" s="21" t="str">
        <f t="shared" si="0"/>
        <v/>
      </c>
      <c r="V18" s="22" t="str">
        <f t="shared" si="1"/>
        <v/>
      </c>
      <c r="W18" s="23" t="str">
        <f t="shared" si="2"/>
        <v/>
      </c>
    </row>
    <row r="19" spans="1:23" x14ac:dyDescent="0.4">
      <c r="A19" s="33" t="str">
        <f t="shared" si="8"/>
        <v/>
      </c>
      <c r="B19" s="34" t="str">
        <f t="shared" si="9"/>
        <v/>
      </c>
      <c r="C19" s="34" t="str">
        <f t="shared" si="10"/>
        <v/>
      </c>
      <c r="D19" s="34" t="str">
        <f t="shared" si="11"/>
        <v/>
      </c>
      <c r="E19" s="6"/>
      <c r="F19" s="17"/>
      <c r="G19" s="18"/>
      <c r="H19" s="18"/>
      <c r="I19" s="19" t="str">
        <f t="shared" si="12"/>
        <v/>
      </c>
      <c r="J19" s="20" t="str">
        <f t="shared" si="3"/>
        <v/>
      </c>
      <c r="K19" s="17"/>
      <c r="L19" s="18"/>
      <c r="M19" s="18"/>
      <c r="N19" s="19" t="str">
        <f t="shared" si="6"/>
        <v/>
      </c>
      <c r="O19" s="20" t="str">
        <f t="shared" si="4"/>
        <v/>
      </c>
      <c r="P19" s="17"/>
      <c r="Q19" s="18"/>
      <c r="R19" s="18"/>
      <c r="S19" s="19" t="str">
        <f t="shared" si="7"/>
        <v/>
      </c>
      <c r="T19" s="20" t="str">
        <f t="shared" si="5"/>
        <v/>
      </c>
      <c r="U19" s="21" t="str">
        <f t="shared" si="0"/>
        <v/>
      </c>
      <c r="V19" s="22" t="str">
        <f t="shared" si="1"/>
        <v/>
      </c>
      <c r="W19" s="23" t="str">
        <f t="shared" si="2"/>
        <v/>
      </c>
    </row>
    <row r="20" spans="1:23" x14ac:dyDescent="0.4">
      <c r="A20" s="33" t="str">
        <f t="shared" si="8"/>
        <v/>
      </c>
      <c r="B20" s="34" t="str">
        <f t="shared" si="9"/>
        <v/>
      </c>
      <c r="C20" s="34" t="str">
        <f t="shared" si="10"/>
        <v/>
      </c>
      <c r="D20" s="34" t="str">
        <f t="shared" si="11"/>
        <v/>
      </c>
      <c r="E20" s="6"/>
      <c r="F20" s="17"/>
      <c r="G20" s="18"/>
      <c r="H20" s="18"/>
      <c r="I20" s="19" t="str">
        <f t="shared" si="12"/>
        <v/>
      </c>
      <c r="J20" s="20" t="str">
        <f t="shared" si="3"/>
        <v/>
      </c>
      <c r="K20" s="17"/>
      <c r="L20" s="18"/>
      <c r="M20" s="18"/>
      <c r="N20" s="19" t="str">
        <f t="shared" si="6"/>
        <v/>
      </c>
      <c r="O20" s="20" t="str">
        <f t="shared" si="4"/>
        <v/>
      </c>
      <c r="P20" s="17"/>
      <c r="Q20" s="18"/>
      <c r="R20" s="18"/>
      <c r="S20" s="19" t="str">
        <f t="shared" si="7"/>
        <v/>
      </c>
      <c r="T20" s="20" t="str">
        <f t="shared" si="5"/>
        <v/>
      </c>
      <c r="U20" s="21" t="str">
        <f t="shared" si="0"/>
        <v/>
      </c>
      <c r="V20" s="22" t="str">
        <f t="shared" si="1"/>
        <v/>
      </c>
      <c r="W20" s="23" t="str">
        <f t="shared" si="2"/>
        <v/>
      </c>
    </row>
    <row r="21" spans="1:23" x14ac:dyDescent="0.4">
      <c r="A21" s="33" t="str">
        <f t="shared" si="8"/>
        <v/>
      </c>
      <c r="B21" s="34" t="str">
        <f t="shared" si="9"/>
        <v/>
      </c>
      <c r="C21" s="34" t="str">
        <f t="shared" si="10"/>
        <v/>
      </c>
      <c r="D21" s="34" t="str">
        <f t="shared" si="11"/>
        <v/>
      </c>
      <c r="E21" s="6"/>
      <c r="F21" s="17"/>
      <c r="G21" s="18"/>
      <c r="H21" s="18"/>
      <c r="I21" s="19" t="str">
        <f t="shared" si="12"/>
        <v/>
      </c>
      <c r="J21" s="20" t="str">
        <f t="shared" si="3"/>
        <v/>
      </c>
      <c r="K21" s="17"/>
      <c r="L21" s="18"/>
      <c r="M21" s="18"/>
      <c r="N21" s="19" t="str">
        <f t="shared" si="6"/>
        <v/>
      </c>
      <c r="O21" s="20" t="str">
        <f t="shared" si="4"/>
        <v/>
      </c>
      <c r="P21" s="17"/>
      <c r="Q21" s="18"/>
      <c r="R21" s="18"/>
      <c r="S21" s="19" t="str">
        <f t="shared" si="7"/>
        <v/>
      </c>
      <c r="T21" s="20" t="str">
        <f t="shared" si="5"/>
        <v/>
      </c>
      <c r="U21" s="21" t="str">
        <f t="shared" si="0"/>
        <v/>
      </c>
      <c r="V21" s="22" t="str">
        <f t="shared" si="1"/>
        <v/>
      </c>
      <c r="W21" s="23" t="str">
        <f t="shared" si="2"/>
        <v/>
      </c>
    </row>
    <row r="22" spans="1:23" x14ac:dyDescent="0.4">
      <c r="A22" s="33" t="str">
        <f t="shared" si="8"/>
        <v/>
      </c>
      <c r="B22" s="34" t="str">
        <f t="shared" si="9"/>
        <v/>
      </c>
      <c r="C22" s="34" t="str">
        <f t="shared" si="10"/>
        <v/>
      </c>
      <c r="D22" s="34" t="str">
        <f t="shared" si="11"/>
        <v/>
      </c>
      <c r="E22" s="6"/>
      <c r="F22" s="17"/>
      <c r="G22" s="18"/>
      <c r="H22" s="18"/>
      <c r="I22" s="19" t="str">
        <f t="shared" si="12"/>
        <v/>
      </c>
      <c r="J22" s="20" t="str">
        <f t="shared" si="3"/>
        <v/>
      </c>
      <c r="K22" s="17"/>
      <c r="L22" s="18"/>
      <c r="M22" s="18"/>
      <c r="N22" s="19" t="str">
        <f t="shared" si="6"/>
        <v/>
      </c>
      <c r="O22" s="20" t="str">
        <f t="shared" si="4"/>
        <v/>
      </c>
      <c r="P22" s="17"/>
      <c r="Q22" s="18"/>
      <c r="R22" s="18"/>
      <c r="S22" s="19" t="str">
        <f t="shared" si="7"/>
        <v/>
      </c>
      <c r="T22" s="20" t="str">
        <f t="shared" si="5"/>
        <v/>
      </c>
      <c r="U22" s="21" t="str">
        <f t="shared" si="0"/>
        <v/>
      </c>
      <c r="V22" s="22" t="str">
        <f t="shared" si="1"/>
        <v/>
      </c>
      <c r="W22" s="23" t="str">
        <f t="shared" si="2"/>
        <v/>
      </c>
    </row>
    <row r="23" spans="1:23" x14ac:dyDescent="0.4">
      <c r="A23" s="33" t="str">
        <f t="shared" si="8"/>
        <v/>
      </c>
      <c r="B23" s="34" t="str">
        <f t="shared" si="9"/>
        <v/>
      </c>
      <c r="C23" s="34" t="str">
        <f t="shared" si="10"/>
        <v/>
      </c>
      <c r="D23" s="34" t="str">
        <f t="shared" si="11"/>
        <v/>
      </c>
      <c r="E23" s="6"/>
      <c r="F23" s="17"/>
      <c r="G23" s="18"/>
      <c r="H23" s="18"/>
      <c r="I23" s="19" t="str">
        <f t="shared" si="12"/>
        <v/>
      </c>
      <c r="J23" s="20" t="str">
        <f t="shared" si="3"/>
        <v/>
      </c>
      <c r="K23" s="17"/>
      <c r="L23" s="18"/>
      <c r="M23" s="18"/>
      <c r="N23" s="19" t="str">
        <f t="shared" si="6"/>
        <v/>
      </c>
      <c r="O23" s="20" t="str">
        <f t="shared" si="4"/>
        <v/>
      </c>
      <c r="P23" s="17"/>
      <c r="Q23" s="18"/>
      <c r="R23" s="18"/>
      <c r="S23" s="19" t="str">
        <f t="shared" si="7"/>
        <v/>
      </c>
      <c r="T23" s="20" t="str">
        <f t="shared" si="5"/>
        <v/>
      </c>
      <c r="U23" s="21" t="str">
        <f t="shared" si="0"/>
        <v/>
      </c>
      <c r="V23" s="22" t="str">
        <f t="shared" si="1"/>
        <v/>
      </c>
      <c r="W23" s="23" t="str">
        <f t="shared" si="2"/>
        <v/>
      </c>
    </row>
    <row r="24" spans="1:23" x14ac:dyDescent="0.4">
      <c r="A24" s="33" t="str">
        <f t="shared" si="8"/>
        <v/>
      </c>
      <c r="B24" s="34" t="str">
        <f t="shared" si="9"/>
        <v/>
      </c>
      <c r="C24" s="34" t="str">
        <f t="shared" si="10"/>
        <v/>
      </c>
      <c r="D24" s="34" t="str">
        <f t="shared" si="11"/>
        <v/>
      </c>
      <c r="E24" s="6"/>
      <c r="F24" s="17"/>
      <c r="G24" s="18"/>
      <c r="H24" s="18"/>
      <c r="I24" s="19" t="str">
        <f t="shared" si="12"/>
        <v/>
      </c>
      <c r="J24" s="20" t="str">
        <f t="shared" si="3"/>
        <v/>
      </c>
      <c r="K24" s="17"/>
      <c r="L24" s="18"/>
      <c r="M24" s="18"/>
      <c r="N24" s="19" t="str">
        <f t="shared" si="6"/>
        <v/>
      </c>
      <c r="O24" s="20" t="str">
        <f t="shared" si="4"/>
        <v/>
      </c>
      <c r="P24" s="17"/>
      <c r="Q24" s="18"/>
      <c r="R24" s="18"/>
      <c r="S24" s="19" t="str">
        <f t="shared" si="7"/>
        <v/>
      </c>
      <c r="T24" s="20" t="str">
        <f t="shared" si="5"/>
        <v/>
      </c>
      <c r="U24" s="21" t="str">
        <f t="shared" si="0"/>
        <v/>
      </c>
      <c r="V24" s="22" t="str">
        <f t="shared" si="1"/>
        <v/>
      </c>
      <c r="W24" s="23" t="str">
        <f t="shared" si="2"/>
        <v/>
      </c>
    </row>
    <row r="25" spans="1:23" x14ac:dyDescent="0.4">
      <c r="A25" s="33" t="str">
        <f t="shared" si="8"/>
        <v/>
      </c>
      <c r="B25" s="34" t="str">
        <f t="shared" si="9"/>
        <v/>
      </c>
      <c r="C25" s="34" t="str">
        <f t="shared" si="10"/>
        <v/>
      </c>
      <c r="D25" s="34" t="str">
        <f t="shared" si="11"/>
        <v/>
      </c>
      <c r="E25" s="6"/>
      <c r="F25" s="17"/>
      <c r="G25" s="18"/>
      <c r="H25" s="18"/>
      <c r="I25" s="19" t="str">
        <f t="shared" si="12"/>
        <v/>
      </c>
      <c r="J25" s="20" t="str">
        <f t="shared" si="3"/>
        <v/>
      </c>
      <c r="K25" s="17"/>
      <c r="L25" s="18"/>
      <c r="M25" s="18"/>
      <c r="N25" s="19" t="str">
        <f t="shared" si="6"/>
        <v/>
      </c>
      <c r="O25" s="20" t="str">
        <f t="shared" si="4"/>
        <v/>
      </c>
      <c r="P25" s="17"/>
      <c r="Q25" s="18"/>
      <c r="R25" s="18"/>
      <c r="S25" s="19" t="str">
        <f t="shared" si="7"/>
        <v/>
      </c>
      <c r="T25" s="20" t="str">
        <f t="shared" si="5"/>
        <v/>
      </c>
      <c r="U25" s="21" t="str">
        <f t="shared" si="0"/>
        <v/>
      </c>
      <c r="V25" s="22" t="str">
        <f t="shared" si="1"/>
        <v/>
      </c>
      <c r="W25" s="23" t="str">
        <f t="shared" si="2"/>
        <v/>
      </c>
    </row>
    <row r="26" spans="1:23" x14ac:dyDescent="0.4">
      <c r="A26" s="33" t="str">
        <f t="shared" si="8"/>
        <v/>
      </c>
      <c r="B26" s="34" t="str">
        <f t="shared" si="9"/>
        <v/>
      </c>
      <c r="C26" s="34" t="str">
        <f t="shared" si="10"/>
        <v/>
      </c>
      <c r="D26" s="34" t="str">
        <f t="shared" si="11"/>
        <v/>
      </c>
      <c r="E26" s="6"/>
      <c r="F26" s="17"/>
      <c r="G26" s="18"/>
      <c r="H26" s="18"/>
      <c r="I26" s="19" t="str">
        <f t="shared" si="12"/>
        <v/>
      </c>
      <c r="J26" s="20" t="str">
        <f t="shared" si="3"/>
        <v/>
      </c>
      <c r="K26" s="17"/>
      <c r="L26" s="18"/>
      <c r="M26" s="18"/>
      <c r="N26" s="19" t="str">
        <f t="shared" si="6"/>
        <v/>
      </c>
      <c r="O26" s="20" t="str">
        <f t="shared" si="4"/>
        <v/>
      </c>
      <c r="P26" s="17"/>
      <c r="Q26" s="18"/>
      <c r="R26" s="18"/>
      <c r="S26" s="19" t="str">
        <f t="shared" si="7"/>
        <v/>
      </c>
      <c r="T26" s="20" t="str">
        <f t="shared" si="5"/>
        <v/>
      </c>
      <c r="U26" s="21" t="str">
        <f t="shared" si="0"/>
        <v/>
      </c>
      <c r="V26" s="22" t="str">
        <f t="shared" si="1"/>
        <v/>
      </c>
      <c r="W26" s="23" t="str">
        <f t="shared" si="2"/>
        <v/>
      </c>
    </row>
    <row r="27" spans="1:23" x14ac:dyDescent="0.4">
      <c r="A27" s="33" t="str">
        <f t="shared" si="8"/>
        <v/>
      </c>
      <c r="B27" s="34" t="str">
        <f t="shared" si="9"/>
        <v/>
      </c>
      <c r="C27" s="34" t="str">
        <f t="shared" si="10"/>
        <v/>
      </c>
      <c r="D27" s="34" t="str">
        <f t="shared" si="11"/>
        <v/>
      </c>
      <c r="E27" s="6"/>
      <c r="F27" s="17"/>
      <c r="G27" s="18"/>
      <c r="H27" s="18"/>
      <c r="I27" s="19" t="str">
        <f t="shared" si="12"/>
        <v/>
      </c>
      <c r="J27" s="20" t="str">
        <f t="shared" si="3"/>
        <v/>
      </c>
      <c r="K27" s="17"/>
      <c r="L27" s="18"/>
      <c r="M27" s="18"/>
      <c r="N27" s="19" t="str">
        <f t="shared" si="6"/>
        <v/>
      </c>
      <c r="O27" s="20" t="str">
        <f t="shared" si="4"/>
        <v/>
      </c>
      <c r="P27" s="17"/>
      <c r="Q27" s="18"/>
      <c r="R27" s="18"/>
      <c r="S27" s="19" t="str">
        <f t="shared" si="7"/>
        <v/>
      </c>
      <c r="T27" s="20" t="str">
        <f t="shared" si="5"/>
        <v/>
      </c>
      <c r="U27" s="21" t="str">
        <f t="shared" si="0"/>
        <v/>
      </c>
      <c r="V27" s="22" t="str">
        <f t="shared" si="1"/>
        <v/>
      </c>
      <c r="W27" s="23" t="str">
        <f t="shared" si="2"/>
        <v/>
      </c>
    </row>
    <row r="28" spans="1:23" x14ac:dyDescent="0.4">
      <c r="A28" s="33" t="str">
        <f t="shared" si="8"/>
        <v/>
      </c>
      <c r="B28" s="34" t="str">
        <f t="shared" si="9"/>
        <v/>
      </c>
      <c r="C28" s="34" t="str">
        <f t="shared" si="10"/>
        <v/>
      </c>
      <c r="D28" s="34" t="str">
        <f t="shared" si="11"/>
        <v/>
      </c>
      <c r="E28" s="6"/>
      <c r="F28" s="17"/>
      <c r="G28" s="18"/>
      <c r="H28" s="18"/>
      <c r="I28" s="19" t="str">
        <f t="shared" si="12"/>
        <v/>
      </c>
      <c r="J28" s="20" t="str">
        <f t="shared" si="3"/>
        <v/>
      </c>
      <c r="K28" s="17"/>
      <c r="L28" s="18"/>
      <c r="M28" s="18"/>
      <c r="N28" s="19" t="str">
        <f t="shared" si="6"/>
        <v/>
      </c>
      <c r="O28" s="20" t="str">
        <f t="shared" si="4"/>
        <v/>
      </c>
      <c r="P28" s="17"/>
      <c r="Q28" s="18"/>
      <c r="R28" s="18"/>
      <c r="S28" s="19" t="str">
        <f t="shared" si="7"/>
        <v/>
      </c>
      <c r="T28" s="20" t="str">
        <f t="shared" si="5"/>
        <v/>
      </c>
      <c r="U28" s="21" t="str">
        <f t="shared" si="0"/>
        <v/>
      </c>
      <c r="V28" s="22" t="str">
        <f t="shared" si="1"/>
        <v/>
      </c>
      <c r="W28" s="23" t="str">
        <f t="shared" si="2"/>
        <v/>
      </c>
    </row>
    <row r="29" spans="1:23" x14ac:dyDescent="0.4">
      <c r="A29" s="33" t="str">
        <f t="shared" si="8"/>
        <v/>
      </c>
      <c r="B29" s="34" t="str">
        <f t="shared" si="9"/>
        <v/>
      </c>
      <c r="C29" s="34" t="str">
        <f t="shared" si="10"/>
        <v/>
      </c>
      <c r="D29" s="34" t="str">
        <f t="shared" si="11"/>
        <v/>
      </c>
      <c r="E29" s="6"/>
      <c r="F29" s="17"/>
      <c r="G29" s="18"/>
      <c r="H29" s="18"/>
      <c r="I29" s="19" t="str">
        <f t="shared" si="12"/>
        <v/>
      </c>
      <c r="J29" s="20" t="str">
        <f t="shared" si="3"/>
        <v/>
      </c>
      <c r="K29" s="17"/>
      <c r="L29" s="18"/>
      <c r="M29" s="18"/>
      <c r="N29" s="19" t="str">
        <f t="shared" si="6"/>
        <v/>
      </c>
      <c r="O29" s="20" t="str">
        <f t="shared" si="4"/>
        <v/>
      </c>
      <c r="P29" s="17"/>
      <c r="Q29" s="18"/>
      <c r="R29" s="18"/>
      <c r="S29" s="19" t="str">
        <f t="shared" si="7"/>
        <v/>
      </c>
      <c r="T29" s="20" t="str">
        <f t="shared" si="5"/>
        <v/>
      </c>
      <c r="U29" s="21" t="str">
        <f t="shared" si="0"/>
        <v/>
      </c>
      <c r="V29" s="22" t="str">
        <f t="shared" si="1"/>
        <v/>
      </c>
      <c r="W29" s="23" t="str">
        <f t="shared" si="2"/>
        <v/>
      </c>
    </row>
    <row r="30" spans="1:23" x14ac:dyDescent="0.4">
      <c r="A30" s="35" t="str">
        <f t="shared" si="8"/>
        <v/>
      </c>
      <c r="B30" s="36" t="str">
        <f t="shared" si="9"/>
        <v/>
      </c>
      <c r="C30" s="36" t="str">
        <f t="shared" si="10"/>
        <v/>
      </c>
      <c r="D30" s="36" t="str">
        <f t="shared" si="11"/>
        <v/>
      </c>
      <c r="E30" s="7"/>
      <c r="F30" s="24"/>
      <c r="G30" s="25"/>
      <c r="H30" s="25"/>
      <c r="I30" s="26" t="str">
        <f t="shared" si="12"/>
        <v/>
      </c>
      <c r="J30" s="27" t="str">
        <f t="shared" si="3"/>
        <v/>
      </c>
      <c r="K30" s="24"/>
      <c r="L30" s="25"/>
      <c r="M30" s="25"/>
      <c r="N30" s="26" t="str">
        <f t="shared" si="6"/>
        <v/>
      </c>
      <c r="O30" s="27" t="str">
        <f t="shared" si="4"/>
        <v/>
      </c>
      <c r="P30" s="24"/>
      <c r="Q30" s="25"/>
      <c r="R30" s="25"/>
      <c r="S30" s="26" t="str">
        <f t="shared" si="7"/>
        <v/>
      </c>
      <c r="T30" s="27" t="str">
        <f t="shared" si="5"/>
        <v/>
      </c>
      <c r="U30" s="28" t="str">
        <f t="shared" si="0"/>
        <v/>
      </c>
      <c r="V30" s="29" t="str">
        <f t="shared" si="1"/>
        <v/>
      </c>
      <c r="W30" s="30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C7F6D434-AEBA-4586-9056-4DE95264C1EF}">
      <formula1>"ロン,ツモ,放銃,ツモ支払,流局,チョンボ"</formula1>
    </dataValidation>
    <dataValidation type="list" allowBlank="1" showErrorMessage="1" sqref="E4:E30" xr:uid="{F4347202-0AA3-4B8D-B8F8-F0BD0B48BFC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97121-29FC-4AD9-9AF0-6A9F9E3C1B68}">
  <sheetPr codeName="Sheet11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16</v>
      </c>
      <c r="G1" s="41"/>
      <c r="H1" s="41"/>
      <c r="I1" s="42"/>
      <c r="J1" s="43"/>
      <c r="K1" s="40" t="s">
        <v>27</v>
      </c>
      <c r="L1" s="41"/>
      <c r="M1" s="41"/>
      <c r="N1" s="42"/>
      <c r="O1" s="43"/>
      <c r="P1" s="40" t="s">
        <v>20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38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3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38" t="s">
        <v>10</v>
      </c>
      <c r="T2" s="9" t="s">
        <v>5</v>
      </c>
      <c r="U2" s="2" t="str">
        <f>F1</f>
        <v>だいち</v>
      </c>
      <c r="V2" s="3" t="str">
        <f>K1</f>
        <v>りくと</v>
      </c>
      <c r="W2" s="39" t="str">
        <f>P1</f>
        <v>いっしー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 t="shared" ref="U3:U30" si="0">IF($J3="","",ROUND(($J3-35000)/1000,0))</f>
        <v>0</v>
      </c>
      <c r="V3" s="15">
        <f t="shared" ref="V3:V30" si="1">IF($O3="","",ROUND(($O3-35000)/1000,0))</f>
        <v>0</v>
      </c>
      <c r="W3" s="16">
        <f t="shared" ref="W3:W30" si="2"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19</v>
      </c>
      <c r="F4" s="17" t="s">
        <v>23</v>
      </c>
      <c r="G4" s="18">
        <v>-8000</v>
      </c>
      <c r="H4" s="18"/>
      <c r="I4" s="19">
        <f>IF(OR(F4="ロン",F4="ツモ"),$C4*1000,IF(F4="放銃",$C4*-1000,IF(F4="ツモ支払",$C4*-500,"")))</f>
        <v>0</v>
      </c>
      <c r="J4" s="20">
        <f t="shared" ref="J4:J30" si="3">IF(COUNTA($F4,$K4,$P4)&gt;0,J3+SUM(G4:I4),"")</f>
        <v>27000</v>
      </c>
      <c r="K4" s="17" t="s">
        <v>22</v>
      </c>
      <c r="L4" s="18">
        <v>8000</v>
      </c>
      <c r="M4" s="18"/>
      <c r="N4" s="19">
        <f>IF(OR(K4="ロン",K4="ツモ"),$C4*1000,IF(K4="放銃",$C4*-1000,IF(K4="ツモ支払",$C4*-500,"")))</f>
        <v>0</v>
      </c>
      <c r="O4" s="20">
        <f t="shared" ref="O4:O30" si="4">IF(COUNTA($F4,$K4,$P4)&gt;0,O3+SUM(L4:N4),"")</f>
        <v>43000</v>
      </c>
      <c r="P4" s="17"/>
      <c r="Q4" s="18"/>
      <c r="R4" s="18"/>
      <c r="S4" s="19" t="str">
        <f>IF(OR(P4="ロン",P4="ツモ"),$C4*1000,IF(P4="放銃",$C4*-1000,IF(P4="ツモ支払",$C4*-500,"")))</f>
        <v/>
      </c>
      <c r="T4" s="20">
        <f t="shared" ref="T4:T30" si="5">IF(COUNTA($F4,$K4,$P4)&gt;0,T3+SUM(Q4:S4),"")</f>
        <v>35000</v>
      </c>
      <c r="U4" s="21">
        <f t="shared" si="0"/>
        <v>-8</v>
      </c>
      <c r="V4" s="22">
        <f t="shared" si="1"/>
        <v>8</v>
      </c>
      <c r="W4" s="23">
        <f t="shared" si="2"/>
        <v>0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2</v>
      </c>
      <c r="C5" s="34">
        <f>IF($E5="","",IF($E4=$E5,C4+1,0))</f>
        <v>0</v>
      </c>
      <c r="D5" s="34">
        <f>IF($E5="","",IF(OR(F4="流局",K4="流局",P4="流局",F4="チョンボ",K4="チョンボ",P4="チョンボ"),D4+($H4+$M4+$R4)/-1000,0))</f>
        <v>0</v>
      </c>
      <c r="E5" s="6" t="s">
        <v>15</v>
      </c>
      <c r="F5" s="17" t="s">
        <v>22</v>
      </c>
      <c r="G5" s="18">
        <v>2900</v>
      </c>
      <c r="H5" s="18"/>
      <c r="I5" s="19">
        <f>IF(OR(F5="ロン",F5="ツモ"),$C5*1000,IF(F5="放銃",$C5*-1000,IF(F5="ツモ支払",$C5*-500,"")))</f>
        <v>0</v>
      </c>
      <c r="J5" s="20">
        <f t="shared" si="3"/>
        <v>29900</v>
      </c>
      <c r="K5" s="17"/>
      <c r="L5" s="18"/>
      <c r="M5" s="18"/>
      <c r="N5" s="19" t="str">
        <f t="shared" ref="N5:N30" si="6">IF(OR(K5="ロン",K5="ツモ"),$C5*1000,IF(K5="放銃",$C5*-1000,IF(K5="ツモ支払",$C5*-500,"")))</f>
        <v/>
      </c>
      <c r="O5" s="20">
        <f t="shared" si="4"/>
        <v>43000</v>
      </c>
      <c r="P5" s="17" t="s">
        <v>23</v>
      </c>
      <c r="Q5" s="18">
        <v>-2900</v>
      </c>
      <c r="R5" s="18"/>
      <c r="S5" s="19">
        <f t="shared" ref="S5:S30" si="7">IF(OR(P5="ロン",P5="ツモ"),$C5*1000,IF(P5="放銃",$C5*-1000,IF(P5="ツモ支払",$C5*-500,"")))</f>
        <v>0</v>
      </c>
      <c r="T5" s="20">
        <f t="shared" si="5"/>
        <v>32100</v>
      </c>
      <c r="U5" s="21">
        <f t="shared" si="0"/>
        <v>-5</v>
      </c>
      <c r="V5" s="22">
        <f t="shared" si="1"/>
        <v>8</v>
      </c>
      <c r="W5" s="23">
        <f t="shared" si="2"/>
        <v>-3</v>
      </c>
    </row>
    <row r="6" spans="1:23" x14ac:dyDescent="0.4">
      <c r="A6" s="33" t="str">
        <f t="shared" ref="A6:A30" si="8">IF($E6="","",IF(AND(B5=3,B6=1),IF(A5="東","南",IF(A5="南","西",IF(A5="西","北",IF(A5="北","東","")))),A5))</f>
        <v>東</v>
      </c>
      <c r="B6" s="34">
        <f t="shared" ref="B6:B30" si="9">IF($E6="","",IF($E5=$E6,B5,IF(B5=3,1,B5+1)))</f>
        <v>2</v>
      </c>
      <c r="C6" s="34">
        <f t="shared" ref="C6:C30" si="10">IF($E6="","",IF($E5=$E6,C5+1,0))</f>
        <v>1</v>
      </c>
      <c r="D6" s="34">
        <f t="shared" ref="D6:D30" si="11">IF($E6="","",IF(OR(F5="流局",K5="流局",P5="流局",F5="チョンボ",K5="チョンボ",P5="チョンボ"),D5+($H5+$M5+$R5)/-1000,0))</f>
        <v>0</v>
      </c>
      <c r="E6" s="6" t="s">
        <v>15</v>
      </c>
      <c r="F6" s="17" t="s">
        <v>23</v>
      </c>
      <c r="G6" s="18">
        <v>-8000</v>
      </c>
      <c r="H6" s="18"/>
      <c r="I6" s="19">
        <f t="shared" ref="I6:I30" si="12">IF(OR(F6="ロン",F6="ツモ"),$C6*1000,IF(F6="放銃",$C6*-1000,IF(F6="ツモ支払",$C6*-500,"")))</f>
        <v>-1000</v>
      </c>
      <c r="J6" s="20">
        <f t="shared" si="3"/>
        <v>20900</v>
      </c>
      <c r="K6" s="17"/>
      <c r="L6" s="18"/>
      <c r="M6" s="18"/>
      <c r="N6" s="19" t="str">
        <f t="shared" si="6"/>
        <v/>
      </c>
      <c r="O6" s="20">
        <f t="shared" si="4"/>
        <v>43000</v>
      </c>
      <c r="P6" s="17" t="s">
        <v>22</v>
      </c>
      <c r="Q6" s="18">
        <v>8000</v>
      </c>
      <c r="R6" s="18"/>
      <c r="S6" s="19">
        <f t="shared" si="7"/>
        <v>1000</v>
      </c>
      <c r="T6" s="20">
        <f t="shared" si="5"/>
        <v>41100</v>
      </c>
      <c r="U6" s="21">
        <f t="shared" si="0"/>
        <v>-14</v>
      </c>
      <c r="V6" s="22">
        <f t="shared" si="1"/>
        <v>8</v>
      </c>
      <c r="W6" s="23">
        <f t="shared" si="2"/>
        <v>6</v>
      </c>
    </row>
    <row r="7" spans="1:23" x14ac:dyDescent="0.4">
      <c r="A7" s="33" t="str">
        <f t="shared" si="8"/>
        <v>東</v>
      </c>
      <c r="B7" s="34">
        <f t="shared" si="9"/>
        <v>3</v>
      </c>
      <c r="C7" s="34">
        <f t="shared" si="10"/>
        <v>0</v>
      </c>
      <c r="D7" s="34">
        <f t="shared" si="11"/>
        <v>0</v>
      </c>
      <c r="E7" s="6" t="s">
        <v>26</v>
      </c>
      <c r="F7" s="17" t="s">
        <v>22</v>
      </c>
      <c r="G7" s="18">
        <v>8000</v>
      </c>
      <c r="H7" s="18">
        <v>1000</v>
      </c>
      <c r="I7" s="19">
        <f t="shared" si="12"/>
        <v>0</v>
      </c>
      <c r="J7" s="20">
        <f t="shared" si="3"/>
        <v>29900</v>
      </c>
      <c r="K7" s="17"/>
      <c r="L7" s="18"/>
      <c r="M7" s="18"/>
      <c r="N7" s="19" t="str">
        <f t="shared" si="6"/>
        <v/>
      </c>
      <c r="O7" s="20">
        <f t="shared" si="4"/>
        <v>43000</v>
      </c>
      <c r="P7" s="17" t="s">
        <v>23</v>
      </c>
      <c r="Q7" s="18">
        <v>-8000</v>
      </c>
      <c r="R7" s="18">
        <v>-1000</v>
      </c>
      <c r="S7" s="19">
        <f t="shared" si="7"/>
        <v>0</v>
      </c>
      <c r="T7" s="20">
        <f t="shared" si="5"/>
        <v>32100</v>
      </c>
      <c r="U7" s="21">
        <f t="shared" si="0"/>
        <v>-5</v>
      </c>
      <c r="V7" s="22">
        <f t="shared" si="1"/>
        <v>8</v>
      </c>
      <c r="W7" s="23">
        <f t="shared" si="2"/>
        <v>-3</v>
      </c>
    </row>
    <row r="8" spans="1:23" x14ac:dyDescent="0.4">
      <c r="A8" s="33" t="str">
        <f t="shared" si="8"/>
        <v>南</v>
      </c>
      <c r="B8" s="34">
        <f t="shared" si="9"/>
        <v>1</v>
      </c>
      <c r="C8" s="34">
        <f t="shared" si="10"/>
        <v>0</v>
      </c>
      <c r="D8" s="34">
        <f t="shared" si="11"/>
        <v>0</v>
      </c>
      <c r="E8" s="6" t="s">
        <v>19</v>
      </c>
      <c r="F8" s="17" t="s">
        <v>23</v>
      </c>
      <c r="G8" s="18">
        <v>-8000</v>
      </c>
      <c r="H8" s="18"/>
      <c r="I8" s="19">
        <f t="shared" si="12"/>
        <v>0</v>
      </c>
      <c r="J8" s="20">
        <f t="shared" si="3"/>
        <v>21900</v>
      </c>
      <c r="K8" s="17" t="s">
        <v>22</v>
      </c>
      <c r="L8" s="18">
        <v>8000</v>
      </c>
      <c r="M8" s="18"/>
      <c r="N8" s="19">
        <f t="shared" si="6"/>
        <v>0</v>
      </c>
      <c r="O8" s="20">
        <f t="shared" si="4"/>
        <v>51000</v>
      </c>
      <c r="P8" s="17"/>
      <c r="Q8" s="18"/>
      <c r="R8" s="18"/>
      <c r="S8" s="19" t="str">
        <f t="shared" si="7"/>
        <v/>
      </c>
      <c r="T8" s="20">
        <f t="shared" si="5"/>
        <v>32100</v>
      </c>
      <c r="U8" s="21">
        <f t="shared" si="0"/>
        <v>-13</v>
      </c>
      <c r="V8" s="22">
        <f t="shared" si="1"/>
        <v>16</v>
      </c>
      <c r="W8" s="23">
        <f t="shared" si="2"/>
        <v>-3</v>
      </c>
    </row>
    <row r="9" spans="1:23" x14ac:dyDescent="0.4">
      <c r="A9" s="33" t="str">
        <f t="shared" si="8"/>
        <v>南</v>
      </c>
      <c r="B9" s="34">
        <f t="shared" si="9"/>
        <v>2</v>
      </c>
      <c r="C9" s="34">
        <f t="shared" si="10"/>
        <v>0</v>
      </c>
      <c r="D9" s="34">
        <f t="shared" si="11"/>
        <v>0</v>
      </c>
      <c r="E9" s="6" t="s">
        <v>15</v>
      </c>
      <c r="F9" s="17" t="s">
        <v>23</v>
      </c>
      <c r="G9" s="18">
        <v>-1000</v>
      </c>
      <c r="H9" s="18"/>
      <c r="I9" s="19">
        <f t="shared" si="12"/>
        <v>0</v>
      </c>
      <c r="J9" s="20">
        <f t="shared" si="3"/>
        <v>20900</v>
      </c>
      <c r="K9" s="17"/>
      <c r="L9" s="18"/>
      <c r="M9" s="18"/>
      <c r="N9" s="19" t="str">
        <f t="shared" si="6"/>
        <v/>
      </c>
      <c r="O9" s="20">
        <f t="shared" si="4"/>
        <v>51000</v>
      </c>
      <c r="P9" s="17" t="s">
        <v>22</v>
      </c>
      <c r="Q9" s="18">
        <v>1000</v>
      </c>
      <c r="R9" s="18"/>
      <c r="S9" s="19">
        <f t="shared" si="7"/>
        <v>0</v>
      </c>
      <c r="T9" s="20">
        <f t="shared" si="5"/>
        <v>33100</v>
      </c>
      <c r="U9" s="21">
        <f t="shared" si="0"/>
        <v>-14</v>
      </c>
      <c r="V9" s="22">
        <f t="shared" si="1"/>
        <v>16</v>
      </c>
      <c r="W9" s="23">
        <f t="shared" si="2"/>
        <v>-2</v>
      </c>
    </row>
    <row r="10" spans="1:23" x14ac:dyDescent="0.4">
      <c r="A10" s="33" t="str">
        <f t="shared" si="8"/>
        <v>南</v>
      </c>
      <c r="B10" s="34">
        <f t="shared" si="9"/>
        <v>3</v>
      </c>
      <c r="C10" s="34">
        <f t="shared" si="10"/>
        <v>0</v>
      </c>
      <c r="D10" s="34">
        <f t="shared" si="11"/>
        <v>0</v>
      </c>
      <c r="E10" s="6" t="s">
        <v>26</v>
      </c>
      <c r="F10" s="17" t="s">
        <v>24</v>
      </c>
      <c r="G10" s="18">
        <v>8000</v>
      </c>
      <c r="H10" s="18"/>
      <c r="I10" s="19">
        <f t="shared" si="12"/>
        <v>0</v>
      </c>
      <c r="J10" s="20">
        <f t="shared" si="3"/>
        <v>28900</v>
      </c>
      <c r="K10" s="17" t="s">
        <v>25</v>
      </c>
      <c r="L10" s="18">
        <v>-5000</v>
      </c>
      <c r="M10" s="18"/>
      <c r="N10" s="19">
        <f t="shared" si="6"/>
        <v>0</v>
      </c>
      <c r="O10" s="20">
        <f t="shared" si="4"/>
        <v>46000</v>
      </c>
      <c r="P10" s="17" t="s">
        <v>25</v>
      </c>
      <c r="Q10" s="18">
        <v>-3000</v>
      </c>
      <c r="R10" s="18"/>
      <c r="S10" s="19">
        <f t="shared" si="7"/>
        <v>0</v>
      </c>
      <c r="T10" s="20">
        <f t="shared" si="5"/>
        <v>30100</v>
      </c>
      <c r="U10" s="21">
        <f t="shared" si="0"/>
        <v>-6</v>
      </c>
      <c r="V10" s="22">
        <f t="shared" si="1"/>
        <v>11</v>
      </c>
      <c r="W10" s="23">
        <f t="shared" si="2"/>
        <v>-5</v>
      </c>
    </row>
    <row r="11" spans="1:23" x14ac:dyDescent="0.4">
      <c r="A11" s="33" t="str">
        <f t="shared" si="8"/>
        <v/>
      </c>
      <c r="B11" s="34" t="str">
        <f t="shared" si="9"/>
        <v/>
      </c>
      <c r="C11" s="34" t="str">
        <f t="shared" si="10"/>
        <v/>
      </c>
      <c r="D11" s="34" t="str">
        <f t="shared" si="11"/>
        <v/>
      </c>
      <c r="E11" s="6"/>
      <c r="F11" s="17"/>
      <c r="G11" s="18"/>
      <c r="H11" s="18"/>
      <c r="I11" s="19" t="str">
        <f t="shared" si="12"/>
        <v/>
      </c>
      <c r="J11" s="20" t="str">
        <f t="shared" si="3"/>
        <v/>
      </c>
      <c r="K11" s="17"/>
      <c r="L11" s="18"/>
      <c r="M11" s="18"/>
      <c r="N11" s="19" t="str">
        <f t="shared" si="6"/>
        <v/>
      </c>
      <c r="O11" s="20" t="str">
        <f t="shared" si="4"/>
        <v/>
      </c>
      <c r="P11" s="17"/>
      <c r="Q11" s="18"/>
      <c r="R11" s="18"/>
      <c r="S11" s="19" t="str">
        <f t="shared" si="7"/>
        <v/>
      </c>
      <c r="T11" s="20" t="str">
        <f t="shared" si="5"/>
        <v/>
      </c>
      <c r="U11" s="21" t="str">
        <f t="shared" si="0"/>
        <v/>
      </c>
      <c r="V11" s="22" t="str">
        <f t="shared" si="1"/>
        <v/>
      </c>
      <c r="W11" s="23" t="str">
        <f t="shared" si="2"/>
        <v/>
      </c>
    </row>
    <row r="12" spans="1:23" x14ac:dyDescent="0.4">
      <c r="A12" s="33" t="str">
        <f t="shared" si="8"/>
        <v/>
      </c>
      <c r="B12" s="34" t="str">
        <f t="shared" si="9"/>
        <v/>
      </c>
      <c r="C12" s="34" t="str">
        <f t="shared" si="10"/>
        <v/>
      </c>
      <c r="D12" s="34" t="str">
        <f t="shared" si="11"/>
        <v/>
      </c>
      <c r="E12" s="6"/>
      <c r="F12" s="17"/>
      <c r="G12" s="18"/>
      <c r="H12" s="18"/>
      <c r="I12" s="19" t="str">
        <f t="shared" si="12"/>
        <v/>
      </c>
      <c r="J12" s="20" t="str">
        <f t="shared" si="3"/>
        <v/>
      </c>
      <c r="K12" s="17"/>
      <c r="L12" s="18"/>
      <c r="M12" s="18"/>
      <c r="N12" s="19" t="str">
        <f t="shared" si="6"/>
        <v/>
      </c>
      <c r="O12" s="20" t="str">
        <f t="shared" si="4"/>
        <v/>
      </c>
      <c r="P12" s="17"/>
      <c r="Q12" s="18"/>
      <c r="R12" s="18"/>
      <c r="S12" s="19" t="str">
        <f t="shared" si="7"/>
        <v/>
      </c>
      <c r="T12" s="20" t="str">
        <f t="shared" si="5"/>
        <v/>
      </c>
      <c r="U12" s="21" t="str">
        <f t="shared" si="0"/>
        <v/>
      </c>
      <c r="V12" s="22" t="str">
        <f t="shared" si="1"/>
        <v/>
      </c>
      <c r="W12" s="23" t="str">
        <f t="shared" si="2"/>
        <v/>
      </c>
    </row>
    <row r="13" spans="1:23" x14ac:dyDescent="0.4">
      <c r="A13" s="33" t="str">
        <f t="shared" si="8"/>
        <v/>
      </c>
      <c r="B13" s="34" t="str">
        <f t="shared" si="9"/>
        <v/>
      </c>
      <c r="C13" s="34" t="str">
        <f t="shared" si="10"/>
        <v/>
      </c>
      <c r="D13" s="34" t="str">
        <f t="shared" si="11"/>
        <v/>
      </c>
      <c r="E13" s="6"/>
      <c r="F13" s="17"/>
      <c r="G13" s="18"/>
      <c r="H13" s="18"/>
      <c r="I13" s="19" t="str">
        <f t="shared" si="12"/>
        <v/>
      </c>
      <c r="J13" s="20" t="str">
        <f t="shared" si="3"/>
        <v/>
      </c>
      <c r="K13" s="17"/>
      <c r="L13" s="18"/>
      <c r="M13" s="18"/>
      <c r="N13" s="19" t="str">
        <f t="shared" si="6"/>
        <v/>
      </c>
      <c r="O13" s="20" t="str">
        <f t="shared" si="4"/>
        <v/>
      </c>
      <c r="P13" s="17"/>
      <c r="Q13" s="18"/>
      <c r="R13" s="18"/>
      <c r="S13" s="19" t="str">
        <f t="shared" si="7"/>
        <v/>
      </c>
      <c r="T13" s="20" t="str">
        <f t="shared" si="5"/>
        <v/>
      </c>
      <c r="U13" s="21" t="str">
        <f t="shared" si="0"/>
        <v/>
      </c>
      <c r="V13" s="22" t="str">
        <f t="shared" si="1"/>
        <v/>
      </c>
      <c r="W13" s="23" t="str">
        <f t="shared" si="2"/>
        <v/>
      </c>
    </row>
    <row r="14" spans="1:23" x14ac:dyDescent="0.4">
      <c r="A14" s="33" t="str">
        <f t="shared" si="8"/>
        <v/>
      </c>
      <c r="B14" s="34" t="str">
        <f t="shared" si="9"/>
        <v/>
      </c>
      <c r="C14" s="34" t="str">
        <f t="shared" si="10"/>
        <v/>
      </c>
      <c r="D14" s="34" t="str">
        <f t="shared" si="11"/>
        <v/>
      </c>
      <c r="E14" s="6"/>
      <c r="F14" s="17"/>
      <c r="G14" s="18"/>
      <c r="H14" s="18"/>
      <c r="I14" s="19" t="str">
        <f t="shared" si="12"/>
        <v/>
      </c>
      <c r="J14" s="20" t="str">
        <f t="shared" si="3"/>
        <v/>
      </c>
      <c r="K14" s="17"/>
      <c r="L14" s="18"/>
      <c r="M14" s="18"/>
      <c r="N14" s="19" t="str">
        <f t="shared" si="6"/>
        <v/>
      </c>
      <c r="O14" s="20" t="str">
        <f t="shared" si="4"/>
        <v/>
      </c>
      <c r="P14" s="17"/>
      <c r="Q14" s="18"/>
      <c r="R14" s="18"/>
      <c r="S14" s="19" t="str">
        <f t="shared" si="7"/>
        <v/>
      </c>
      <c r="T14" s="20" t="str">
        <f t="shared" si="5"/>
        <v/>
      </c>
      <c r="U14" s="21" t="str">
        <f t="shared" si="0"/>
        <v/>
      </c>
      <c r="V14" s="22" t="str">
        <f t="shared" si="1"/>
        <v/>
      </c>
      <c r="W14" s="23" t="str">
        <f t="shared" si="2"/>
        <v/>
      </c>
    </row>
    <row r="15" spans="1:23" x14ac:dyDescent="0.4">
      <c r="A15" s="33" t="str">
        <f t="shared" si="8"/>
        <v/>
      </c>
      <c r="B15" s="34" t="str">
        <f t="shared" si="9"/>
        <v/>
      </c>
      <c r="C15" s="34" t="str">
        <f t="shared" si="10"/>
        <v/>
      </c>
      <c r="D15" s="34" t="str">
        <f t="shared" si="11"/>
        <v/>
      </c>
      <c r="E15" s="6"/>
      <c r="F15" s="17"/>
      <c r="G15" s="18"/>
      <c r="H15" s="18"/>
      <c r="I15" s="19" t="str">
        <f t="shared" si="12"/>
        <v/>
      </c>
      <c r="J15" s="20" t="str">
        <f t="shared" si="3"/>
        <v/>
      </c>
      <c r="K15" s="17"/>
      <c r="L15" s="18"/>
      <c r="M15" s="18"/>
      <c r="N15" s="19" t="str">
        <f t="shared" si="6"/>
        <v/>
      </c>
      <c r="O15" s="20" t="str">
        <f t="shared" si="4"/>
        <v/>
      </c>
      <c r="P15" s="17"/>
      <c r="Q15" s="18"/>
      <c r="R15" s="18"/>
      <c r="S15" s="19" t="str">
        <f t="shared" si="7"/>
        <v/>
      </c>
      <c r="T15" s="20" t="str">
        <f t="shared" si="5"/>
        <v/>
      </c>
      <c r="U15" s="21" t="str">
        <f t="shared" si="0"/>
        <v/>
      </c>
      <c r="V15" s="22" t="str">
        <f t="shared" si="1"/>
        <v/>
      </c>
      <c r="W15" s="23" t="str">
        <f t="shared" si="2"/>
        <v/>
      </c>
    </row>
    <row r="16" spans="1:23" x14ac:dyDescent="0.4">
      <c r="A16" s="33" t="str">
        <f t="shared" si="8"/>
        <v/>
      </c>
      <c r="B16" s="34" t="str">
        <f t="shared" si="9"/>
        <v/>
      </c>
      <c r="C16" s="34" t="str">
        <f t="shared" si="10"/>
        <v/>
      </c>
      <c r="D16" s="34" t="str">
        <f t="shared" si="11"/>
        <v/>
      </c>
      <c r="E16" s="6"/>
      <c r="F16" s="17"/>
      <c r="G16" s="18"/>
      <c r="H16" s="18"/>
      <c r="I16" s="19" t="str">
        <f t="shared" si="12"/>
        <v/>
      </c>
      <c r="J16" s="20" t="str">
        <f t="shared" si="3"/>
        <v/>
      </c>
      <c r="K16" s="17"/>
      <c r="L16" s="18"/>
      <c r="M16" s="18"/>
      <c r="N16" s="19" t="str">
        <f t="shared" si="6"/>
        <v/>
      </c>
      <c r="O16" s="20" t="str">
        <f t="shared" si="4"/>
        <v/>
      </c>
      <c r="P16" s="17"/>
      <c r="Q16" s="18"/>
      <c r="R16" s="18"/>
      <c r="S16" s="19" t="str">
        <f t="shared" si="7"/>
        <v/>
      </c>
      <c r="T16" s="20" t="str">
        <f t="shared" si="5"/>
        <v/>
      </c>
      <c r="U16" s="21" t="str">
        <f t="shared" si="0"/>
        <v/>
      </c>
      <c r="V16" s="22" t="str">
        <f t="shared" si="1"/>
        <v/>
      </c>
      <c r="W16" s="23" t="str">
        <f t="shared" si="2"/>
        <v/>
      </c>
    </row>
    <row r="17" spans="1:23" x14ac:dyDescent="0.4">
      <c r="A17" s="33" t="str">
        <f t="shared" si="8"/>
        <v/>
      </c>
      <c r="B17" s="34" t="str">
        <f t="shared" si="9"/>
        <v/>
      </c>
      <c r="C17" s="34" t="str">
        <f t="shared" si="10"/>
        <v/>
      </c>
      <c r="D17" s="34" t="str">
        <f t="shared" si="11"/>
        <v/>
      </c>
      <c r="E17" s="6"/>
      <c r="F17" s="17"/>
      <c r="G17" s="18"/>
      <c r="H17" s="18"/>
      <c r="I17" s="19" t="str">
        <f t="shared" si="12"/>
        <v/>
      </c>
      <c r="J17" s="20" t="str">
        <f t="shared" si="3"/>
        <v/>
      </c>
      <c r="K17" s="17"/>
      <c r="L17" s="18"/>
      <c r="M17" s="18"/>
      <c r="N17" s="19" t="str">
        <f t="shared" si="6"/>
        <v/>
      </c>
      <c r="O17" s="20" t="str">
        <f t="shared" si="4"/>
        <v/>
      </c>
      <c r="P17" s="17"/>
      <c r="Q17" s="18"/>
      <c r="R17" s="18"/>
      <c r="S17" s="19" t="str">
        <f t="shared" si="7"/>
        <v/>
      </c>
      <c r="T17" s="20" t="str">
        <f t="shared" si="5"/>
        <v/>
      </c>
      <c r="U17" s="21" t="str">
        <f t="shared" si="0"/>
        <v/>
      </c>
      <c r="V17" s="22" t="str">
        <f t="shared" si="1"/>
        <v/>
      </c>
      <c r="W17" s="23" t="str">
        <f t="shared" si="2"/>
        <v/>
      </c>
    </row>
    <row r="18" spans="1:23" x14ac:dyDescent="0.4">
      <c r="A18" s="33" t="str">
        <f t="shared" si="8"/>
        <v/>
      </c>
      <c r="B18" s="34" t="str">
        <f t="shared" si="9"/>
        <v/>
      </c>
      <c r="C18" s="34" t="str">
        <f t="shared" si="10"/>
        <v/>
      </c>
      <c r="D18" s="34" t="str">
        <f t="shared" si="11"/>
        <v/>
      </c>
      <c r="E18" s="6"/>
      <c r="F18" s="17"/>
      <c r="G18" s="18"/>
      <c r="H18" s="18"/>
      <c r="I18" s="19" t="str">
        <f t="shared" si="12"/>
        <v/>
      </c>
      <c r="J18" s="20" t="str">
        <f t="shared" si="3"/>
        <v/>
      </c>
      <c r="K18" s="17"/>
      <c r="L18" s="18"/>
      <c r="M18" s="18"/>
      <c r="N18" s="19" t="str">
        <f t="shared" si="6"/>
        <v/>
      </c>
      <c r="O18" s="20" t="str">
        <f t="shared" si="4"/>
        <v/>
      </c>
      <c r="P18" s="17"/>
      <c r="Q18" s="18"/>
      <c r="R18" s="18"/>
      <c r="S18" s="19" t="str">
        <f t="shared" si="7"/>
        <v/>
      </c>
      <c r="T18" s="20" t="str">
        <f t="shared" si="5"/>
        <v/>
      </c>
      <c r="U18" s="21" t="str">
        <f t="shared" si="0"/>
        <v/>
      </c>
      <c r="V18" s="22" t="str">
        <f t="shared" si="1"/>
        <v/>
      </c>
      <c r="W18" s="23" t="str">
        <f t="shared" si="2"/>
        <v/>
      </c>
    </row>
    <row r="19" spans="1:23" x14ac:dyDescent="0.4">
      <c r="A19" s="33" t="str">
        <f t="shared" si="8"/>
        <v/>
      </c>
      <c r="B19" s="34" t="str">
        <f t="shared" si="9"/>
        <v/>
      </c>
      <c r="C19" s="34" t="str">
        <f t="shared" si="10"/>
        <v/>
      </c>
      <c r="D19" s="34" t="str">
        <f t="shared" si="11"/>
        <v/>
      </c>
      <c r="E19" s="6"/>
      <c r="F19" s="17"/>
      <c r="G19" s="18"/>
      <c r="H19" s="18"/>
      <c r="I19" s="19" t="str">
        <f t="shared" si="12"/>
        <v/>
      </c>
      <c r="J19" s="20" t="str">
        <f t="shared" si="3"/>
        <v/>
      </c>
      <c r="K19" s="17"/>
      <c r="L19" s="18"/>
      <c r="M19" s="18"/>
      <c r="N19" s="19" t="str">
        <f t="shared" si="6"/>
        <v/>
      </c>
      <c r="O19" s="20" t="str">
        <f t="shared" si="4"/>
        <v/>
      </c>
      <c r="P19" s="17"/>
      <c r="Q19" s="18"/>
      <c r="R19" s="18"/>
      <c r="S19" s="19" t="str">
        <f t="shared" si="7"/>
        <v/>
      </c>
      <c r="T19" s="20" t="str">
        <f t="shared" si="5"/>
        <v/>
      </c>
      <c r="U19" s="21" t="str">
        <f t="shared" si="0"/>
        <v/>
      </c>
      <c r="V19" s="22" t="str">
        <f t="shared" si="1"/>
        <v/>
      </c>
      <c r="W19" s="23" t="str">
        <f t="shared" si="2"/>
        <v/>
      </c>
    </row>
    <row r="20" spans="1:23" x14ac:dyDescent="0.4">
      <c r="A20" s="33" t="str">
        <f t="shared" si="8"/>
        <v/>
      </c>
      <c r="B20" s="34" t="str">
        <f t="shared" si="9"/>
        <v/>
      </c>
      <c r="C20" s="34" t="str">
        <f t="shared" si="10"/>
        <v/>
      </c>
      <c r="D20" s="34" t="str">
        <f t="shared" si="11"/>
        <v/>
      </c>
      <c r="E20" s="6"/>
      <c r="F20" s="17"/>
      <c r="G20" s="18"/>
      <c r="H20" s="18"/>
      <c r="I20" s="19" t="str">
        <f t="shared" si="12"/>
        <v/>
      </c>
      <c r="J20" s="20" t="str">
        <f t="shared" si="3"/>
        <v/>
      </c>
      <c r="K20" s="17"/>
      <c r="L20" s="18"/>
      <c r="M20" s="18"/>
      <c r="N20" s="19" t="str">
        <f t="shared" si="6"/>
        <v/>
      </c>
      <c r="O20" s="20" t="str">
        <f t="shared" si="4"/>
        <v/>
      </c>
      <c r="P20" s="17"/>
      <c r="Q20" s="18"/>
      <c r="R20" s="18"/>
      <c r="S20" s="19" t="str">
        <f t="shared" si="7"/>
        <v/>
      </c>
      <c r="T20" s="20" t="str">
        <f t="shared" si="5"/>
        <v/>
      </c>
      <c r="U20" s="21" t="str">
        <f t="shared" si="0"/>
        <v/>
      </c>
      <c r="V20" s="22" t="str">
        <f t="shared" si="1"/>
        <v/>
      </c>
      <c r="W20" s="23" t="str">
        <f t="shared" si="2"/>
        <v/>
      </c>
    </row>
    <row r="21" spans="1:23" x14ac:dyDescent="0.4">
      <c r="A21" s="33" t="str">
        <f t="shared" si="8"/>
        <v/>
      </c>
      <c r="B21" s="34" t="str">
        <f t="shared" si="9"/>
        <v/>
      </c>
      <c r="C21" s="34" t="str">
        <f t="shared" si="10"/>
        <v/>
      </c>
      <c r="D21" s="34" t="str">
        <f t="shared" si="11"/>
        <v/>
      </c>
      <c r="E21" s="6"/>
      <c r="F21" s="17"/>
      <c r="G21" s="18"/>
      <c r="H21" s="18"/>
      <c r="I21" s="19" t="str">
        <f t="shared" si="12"/>
        <v/>
      </c>
      <c r="J21" s="20" t="str">
        <f t="shared" si="3"/>
        <v/>
      </c>
      <c r="K21" s="17"/>
      <c r="L21" s="18"/>
      <c r="M21" s="18"/>
      <c r="N21" s="19" t="str">
        <f t="shared" si="6"/>
        <v/>
      </c>
      <c r="O21" s="20" t="str">
        <f t="shared" si="4"/>
        <v/>
      </c>
      <c r="P21" s="17"/>
      <c r="Q21" s="18"/>
      <c r="R21" s="18"/>
      <c r="S21" s="19" t="str">
        <f t="shared" si="7"/>
        <v/>
      </c>
      <c r="T21" s="20" t="str">
        <f t="shared" si="5"/>
        <v/>
      </c>
      <c r="U21" s="21" t="str">
        <f t="shared" si="0"/>
        <v/>
      </c>
      <c r="V21" s="22" t="str">
        <f t="shared" si="1"/>
        <v/>
      </c>
      <c r="W21" s="23" t="str">
        <f t="shared" si="2"/>
        <v/>
      </c>
    </row>
    <row r="22" spans="1:23" x14ac:dyDescent="0.4">
      <c r="A22" s="33" t="str">
        <f t="shared" si="8"/>
        <v/>
      </c>
      <c r="B22" s="34" t="str">
        <f t="shared" si="9"/>
        <v/>
      </c>
      <c r="C22" s="34" t="str">
        <f t="shared" si="10"/>
        <v/>
      </c>
      <c r="D22" s="34" t="str">
        <f t="shared" si="11"/>
        <v/>
      </c>
      <c r="E22" s="6"/>
      <c r="F22" s="17"/>
      <c r="G22" s="18"/>
      <c r="H22" s="18"/>
      <c r="I22" s="19" t="str">
        <f t="shared" si="12"/>
        <v/>
      </c>
      <c r="J22" s="20" t="str">
        <f t="shared" si="3"/>
        <v/>
      </c>
      <c r="K22" s="17"/>
      <c r="L22" s="18"/>
      <c r="M22" s="18"/>
      <c r="N22" s="19" t="str">
        <f t="shared" si="6"/>
        <v/>
      </c>
      <c r="O22" s="20" t="str">
        <f t="shared" si="4"/>
        <v/>
      </c>
      <c r="P22" s="17"/>
      <c r="Q22" s="18"/>
      <c r="R22" s="18"/>
      <c r="S22" s="19" t="str">
        <f t="shared" si="7"/>
        <v/>
      </c>
      <c r="T22" s="20" t="str">
        <f t="shared" si="5"/>
        <v/>
      </c>
      <c r="U22" s="21" t="str">
        <f t="shared" si="0"/>
        <v/>
      </c>
      <c r="V22" s="22" t="str">
        <f t="shared" si="1"/>
        <v/>
      </c>
      <c r="W22" s="23" t="str">
        <f t="shared" si="2"/>
        <v/>
      </c>
    </row>
    <row r="23" spans="1:23" x14ac:dyDescent="0.4">
      <c r="A23" s="33" t="str">
        <f t="shared" si="8"/>
        <v/>
      </c>
      <c r="B23" s="34" t="str">
        <f t="shared" si="9"/>
        <v/>
      </c>
      <c r="C23" s="34" t="str">
        <f t="shared" si="10"/>
        <v/>
      </c>
      <c r="D23" s="34" t="str">
        <f t="shared" si="11"/>
        <v/>
      </c>
      <c r="E23" s="6"/>
      <c r="F23" s="17"/>
      <c r="G23" s="18"/>
      <c r="H23" s="18"/>
      <c r="I23" s="19" t="str">
        <f t="shared" si="12"/>
        <v/>
      </c>
      <c r="J23" s="20" t="str">
        <f t="shared" si="3"/>
        <v/>
      </c>
      <c r="K23" s="17"/>
      <c r="L23" s="18"/>
      <c r="M23" s="18"/>
      <c r="N23" s="19" t="str">
        <f t="shared" si="6"/>
        <v/>
      </c>
      <c r="O23" s="20" t="str">
        <f t="shared" si="4"/>
        <v/>
      </c>
      <c r="P23" s="17"/>
      <c r="Q23" s="18"/>
      <c r="R23" s="18"/>
      <c r="S23" s="19" t="str">
        <f t="shared" si="7"/>
        <v/>
      </c>
      <c r="T23" s="20" t="str">
        <f t="shared" si="5"/>
        <v/>
      </c>
      <c r="U23" s="21" t="str">
        <f t="shared" si="0"/>
        <v/>
      </c>
      <c r="V23" s="22" t="str">
        <f t="shared" si="1"/>
        <v/>
      </c>
      <c r="W23" s="23" t="str">
        <f t="shared" si="2"/>
        <v/>
      </c>
    </row>
    <row r="24" spans="1:23" x14ac:dyDescent="0.4">
      <c r="A24" s="33" t="str">
        <f t="shared" si="8"/>
        <v/>
      </c>
      <c r="B24" s="34" t="str">
        <f t="shared" si="9"/>
        <v/>
      </c>
      <c r="C24" s="34" t="str">
        <f t="shared" si="10"/>
        <v/>
      </c>
      <c r="D24" s="34" t="str">
        <f t="shared" si="11"/>
        <v/>
      </c>
      <c r="E24" s="6"/>
      <c r="F24" s="17"/>
      <c r="G24" s="18"/>
      <c r="H24" s="18"/>
      <c r="I24" s="19" t="str">
        <f t="shared" si="12"/>
        <v/>
      </c>
      <c r="J24" s="20" t="str">
        <f t="shared" si="3"/>
        <v/>
      </c>
      <c r="K24" s="17"/>
      <c r="L24" s="18"/>
      <c r="M24" s="18"/>
      <c r="N24" s="19" t="str">
        <f t="shared" si="6"/>
        <v/>
      </c>
      <c r="O24" s="20" t="str">
        <f t="shared" si="4"/>
        <v/>
      </c>
      <c r="P24" s="17"/>
      <c r="Q24" s="18"/>
      <c r="R24" s="18"/>
      <c r="S24" s="19" t="str">
        <f t="shared" si="7"/>
        <v/>
      </c>
      <c r="T24" s="20" t="str">
        <f t="shared" si="5"/>
        <v/>
      </c>
      <c r="U24" s="21" t="str">
        <f t="shared" si="0"/>
        <v/>
      </c>
      <c r="V24" s="22" t="str">
        <f t="shared" si="1"/>
        <v/>
      </c>
      <c r="W24" s="23" t="str">
        <f t="shared" si="2"/>
        <v/>
      </c>
    </row>
    <row r="25" spans="1:23" x14ac:dyDescent="0.4">
      <c r="A25" s="33" t="str">
        <f t="shared" si="8"/>
        <v/>
      </c>
      <c r="B25" s="34" t="str">
        <f t="shared" si="9"/>
        <v/>
      </c>
      <c r="C25" s="34" t="str">
        <f t="shared" si="10"/>
        <v/>
      </c>
      <c r="D25" s="34" t="str">
        <f t="shared" si="11"/>
        <v/>
      </c>
      <c r="E25" s="6"/>
      <c r="F25" s="17"/>
      <c r="G25" s="18"/>
      <c r="H25" s="18"/>
      <c r="I25" s="19" t="str">
        <f t="shared" si="12"/>
        <v/>
      </c>
      <c r="J25" s="20" t="str">
        <f t="shared" si="3"/>
        <v/>
      </c>
      <c r="K25" s="17"/>
      <c r="L25" s="18"/>
      <c r="M25" s="18"/>
      <c r="N25" s="19" t="str">
        <f t="shared" si="6"/>
        <v/>
      </c>
      <c r="O25" s="20" t="str">
        <f t="shared" si="4"/>
        <v/>
      </c>
      <c r="P25" s="17"/>
      <c r="Q25" s="18"/>
      <c r="R25" s="18"/>
      <c r="S25" s="19" t="str">
        <f t="shared" si="7"/>
        <v/>
      </c>
      <c r="T25" s="20" t="str">
        <f t="shared" si="5"/>
        <v/>
      </c>
      <c r="U25" s="21" t="str">
        <f t="shared" si="0"/>
        <v/>
      </c>
      <c r="V25" s="22" t="str">
        <f t="shared" si="1"/>
        <v/>
      </c>
      <c r="W25" s="23" t="str">
        <f t="shared" si="2"/>
        <v/>
      </c>
    </row>
    <row r="26" spans="1:23" x14ac:dyDescent="0.4">
      <c r="A26" s="33" t="str">
        <f t="shared" si="8"/>
        <v/>
      </c>
      <c r="B26" s="34" t="str">
        <f t="shared" si="9"/>
        <v/>
      </c>
      <c r="C26" s="34" t="str">
        <f t="shared" si="10"/>
        <v/>
      </c>
      <c r="D26" s="34" t="str">
        <f t="shared" si="11"/>
        <v/>
      </c>
      <c r="E26" s="6"/>
      <c r="F26" s="17"/>
      <c r="G26" s="18"/>
      <c r="H26" s="18"/>
      <c r="I26" s="19" t="str">
        <f t="shared" si="12"/>
        <v/>
      </c>
      <c r="J26" s="20" t="str">
        <f t="shared" si="3"/>
        <v/>
      </c>
      <c r="K26" s="17"/>
      <c r="L26" s="18"/>
      <c r="M26" s="18"/>
      <c r="N26" s="19" t="str">
        <f t="shared" si="6"/>
        <v/>
      </c>
      <c r="O26" s="20" t="str">
        <f t="shared" si="4"/>
        <v/>
      </c>
      <c r="P26" s="17"/>
      <c r="Q26" s="18"/>
      <c r="R26" s="18"/>
      <c r="S26" s="19" t="str">
        <f t="shared" si="7"/>
        <v/>
      </c>
      <c r="T26" s="20" t="str">
        <f t="shared" si="5"/>
        <v/>
      </c>
      <c r="U26" s="21" t="str">
        <f t="shared" si="0"/>
        <v/>
      </c>
      <c r="V26" s="22" t="str">
        <f t="shared" si="1"/>
        <v/>
      </c>
      <c r="W26" s="23" t="str">
        <f t="shared" si="2"/>
        <v/>
      </c>
    </row>
    <row r="27" spans="1:23" x14ac:dyDescent="0.4">
      <c r="A27" s="33" t="str">
        <f t="shared" si="8"/>
        <v/>
      </c>
      <c r="B27" s="34" t="str">
        <f t="shared" si="9"/>
        <v/>
      </c>
      <c r="C27" s="34" t="str">
        <f t="shared" si="10"/>
        <v/>
      </c>
      <c r="D27" s="34" t="str">
        <f t="shared" si="11"/>
        <v/>
      </c>
      <c r="E27" s="6"/>
      <c r="F27" s="17"/>
      <c r="G27" s="18"/>
      <c r="H27" s="18"/>
      <c r="I27" s="19" t="str">
        <f t="shared" si="12"/>
        <v/>
      </c>
      <c r="J27" s="20" t="str">
        <f t="shared" si="3"/>
        <v/>
      </c>
      <c r="K27" s="17"/>
      <c r="L27" s="18"/>
      <c r="M27" s="18"/>
      <c r="N27" s="19" t="str">
        <f t="shared" si="6"/>
        <v/>
      </c>
      <c r="O27" s="20" t="str">
        <f t="shared" si="4"/>
        <v/>
      </c>
      <c r="P27" s="17"/>
      <c r="Q27" s="18"/>
      <c r="R27" s="18"/>
      <c r="S27" s="19" t="str">
        <f t="shared" si="7"/>
        <v/>
      </c>
      <c r="T27" s="20" t="str">
        <f t="shared" si="5"/>
        <v/>
      </c>
      <c r="U27" s="21" t="str">
        <f t="shared" si="0"/>
        <v/>
      </c>
      <c r="V27" s="22" t="str">
        <f t="shared" si="1"/>
        <v/>
      </c>
      <c r="W27" s="23" t="str">
        <f t="shared" si="2"/>
        <v/>
      </c>
    </row>
    <row r="28" spans="1:23" x14ac:dyDescent="0.4">
      <c r="A28" s="33" t="str">
        <f t="shared" si="8"/>
        <v/>
      </c>
      <c r="B28" s="34" t="str">
        <f t="shared" si="9"/>
        <v/>
      </c>
      <c r="C28" s="34" t="str">
        <f t="shared" si="10"/>
        <v/>
      </c>
      <c r="D28" s="34" t="str">
        <f t="shared" si="11"/>
        <v/>
      </c>
      <c r="E28" s="6"/>
      <c r="F28" s="17"/>
      <c r="G28" s="18"/>
      <c r="H28" s="18"/>
      <c r="I28" s="19" t="str">
        <f t="shared" si="12"/>
        <v/>
      </c>
      <c r="J28" s="20" t="str">
        <f t="shared" si="3"/>
        <v/>
      </c>
      <c r="K28" s="17"/>
      <c r="L28" s="18"/>
      <c r="M28" s="18"/>
      <c r="N28" s="19" t="str">
        <f t="shared" si="6"/>
        <v/>
      </c>
      <c r="O28" s="20" t="str">
        <f t="shared" si="4"/>
        <v/>
      </c>
      <c r="P28" s="17"/>
      <c r="Q28" s="18"/>
      <c r="R28" s="18"/>
      <c r="S28" s="19" t="str">
        <f t="shared" si="7"/>
        <v/>
      </c>
      <c r="T28" s="20" t="str">
        <f t="shared" si="5"/>
        <v/>
      </c>
      <c r="U28" s="21" t="str">
        <f t="shared" si="0"/>
        <v/>
      </c>
      <c r="V28" s="22" t="str">
        <f t="shared" si="1"/>
        <v/>
      </c>
      <c r="W28" s="23" t="str">
        <f t="shared" si="2"/>
        <v/>
      </c>
    </row>
    <row r="29" spans="1:23" x14ac:dyDescent="0.4">
      <c r="A29" s="33" t="str">
        <f t="shared" si="8"/>
        <v/>
      </c>
      <c r="B29" s="34" t="str">
        <f t="shared" si="9"/>
        <v/>
      </c>
      <c r="C29" s="34" t="str">
        <f t="shared" si="10"/>
        <v/>
      </c>
      <c r="D29" s="34" t="str">
        <f t="shared" si="11"/>
        <v/>
      </c>
      <c r="E29" s="6"/>
      <c r="F29" s="17"/>
      <c r="G29" s="18"/>
      <c r="H29" s="18"/>
      <c r="I29" s="19" t="str">
        <f t="shared" si="12"/>
        <v/>
      </c>
      <c r="J29" s="20" t="str">
        <f t="shared" si="3"/>
        <v/>
      </c>
      <c r="K29" s="17"/>
      <c r="L29" s="18"/>
      <c r="M29" s="18"/>
      <c r="N29" s="19" t="str">
        <f t="shared" si="6"/>
        <v/>
      </c>
      <c r="O29" s="20" t="str">
        <f t="shared" si="4"/>
        <v/>
      </c>
      <c r="P29" s="17"/>
      <c r="Q29" s="18"/>
      <c r="R29" s="18"/>
      <c r="S29" s="19" t="str">
        <f t="shared" si="7"/>
        <v/>
      </c>
      <c r="T29" s="20" t="str">
        <f t="shared" si="5"/>
        <v/>
      </c>
      <c r="U29" s="21" t="str">
        <f t="shared" si="0"/>
        <v/>
      </c>
      <c r="V29" s="22" t="str">
        <f t="shared" si="1"/>
        <v/>
      </c>
      <c r="W29" s="23" t="str">
        <f t="shared" si="2"/>
        <v/>
      </c>
    </row>
    <row r="30" spans="1:23" x14ac:dyDescent="0.4">
      <c r="A30" s="35" t="str">
        <f t="shared" si="8"/>
        <v/>
      </c>
      <c r="B30" s="36" t="str">
        <f t="shared" si="9"/>
        <v/>
      </c>
      <c r="C30" s="36" t="str">
        <f t="shared" si="10"/>
        <v/>
      </c>
      <c r="D30" s="36" t="str">
        <f t="shared" si="11"/>
        <v/>
      </c>
      <c r="E30" s="7"/>
      <c r="F30" s="24"/>
      <c r="G30" s="25"/>
      <c r="H30" s="25"/>
      <c r="I30" s="26" t="str">
        <f t="shared" si="12"/>
        <v/>
      </c>
      <c r="J30" s="27" t="str">
        <f t="shared" si="3"/>
        <v/>
      </c>
      <c r="K30" s="24"/>
      <c r="L30" s="25"/>
      <c r="M30" s="25"/>
      <c r="N30" s="26" t="str">
        <f t="shared" si="6"/>
        <v/>
      </c>
      <c r="O30" s="27" t="str">
        <f t="shared" si="4"/>
        <v/>
      </c>
      <c r="P30" s="24"/>
      <c r="Q30" s="25"/>
      <c r="R30" s="25"/>
      <c r="S30" s="26" t="str">
        <f t="shared" si="7"/>
        <v/>
      </c>
      <c r="T30" s="27" t="str">
        <f t="shared" si="5"/>
        <v/>
      </c>
      <c r="U30" s="28" t="str">
        <f t="shared" si="0"/>
        <v/>
      </c>
      <c r="V30" s="29" t="str">
        <f t="shared" si="1"/>
        <v/>
      </c>
      <c r="W30" s="30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A481B43D-5D4E-42D6-BB24-CEA5AC9022D5}">
      <formula1>$U$2:$W$2</formula1>
    </dataValidation>
    <dataValidation type="list" showInputMessage="1" showErrorMessage="1" sqref="K4:K30 P4:P30 F4:F30" xr:uid="{9460C998-7583-480B-ACB8-6AD2D56C91A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A609C-F1FE-402E-AD73-65402A729828}">
  <sheetPr codeName="Sheet1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16</v>
      </c>
      <c r="G1" s="41"/>
      <c r="H1" s="41"/>
      <c r="I1" s="42"/>
      <c r="J1" s="43"/>
      <c r="K1" s="40" t="s">
        <v>27</v>
      </c>
      <c r="L1" s="41"/>
      <c r="M1" s="41"/>
      <c r="N1" s="42"/>
      <c r="O1" s="43"/>
      <c r="P1" s="40" t="s">
        <v>20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38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3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38" t="s">
        <v>10</v>
      </c>
      <c r="T2" s="9" t="s">
        <v>5</v>
      </c>
      <c r="U2" s="2" t="str">
        <f>F1</f>
        <v>だいち</v>
      </c>
      <c r="V2" s="3" t="str">
        <f>K1</f>
        <v>りくと</v>
      </c>
      <c r="W2" s="39" t="str">
        <f>P1</f>
        <v>いっしー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 t="shared" ref="U3:U30" si="0">IF($J3="","",ROUND(($J3-35000)/1000,0))</f>
        <v>0</v>
      </c>
      <c r="V3" s="15">
        <f t="shared" ref="V3:V30" si="1">IF($O3="","",ROUND(($O3-35000)/1000,0))</f>
        <v>0</v>
      </c>
      <c r="W3" s="16">
        <f t="shared" ref="W3:W30" si="2"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19</v>
      </c>
      <c r="F4" s="17" t="s">
        <v>22</v>
      </c>
      <c r="G4" s="18">
        <v>12000</v>
      </c>
      <c r="H4" s="18"/>
      <c r="I4" s="19">
        <f>IF(OR(F4="ロン",F4="ツモ"),$C4*1000,IF(F4="放銃",$C4*-1000,IF(F4="ツモ支払",$C4*-500,"")))</f>
        <v>0</v>
      </c>
      <c r="J4" s="20">
        <f t="shared" ref="J4:J30" si="3">IF(COUNTA($F4,$K4,$P4)&gt;0,J3+SUM(G4:I4),"")</f>
        <v>47000</v>
      </c>
      <c r="K4" s="17"/>
      <c r="L4" s="18"/>
      <c r="M4" s="18"/>
      <c r="N4" s="19" t="str">
        <f>IF(OR(K4="ロン",K4="ツモ"),$C4*1000,IF(K4="放銃",$C4*-1000,IF(K4="ツモ支払",$C4*-500,"")))</f>
        <v/>
      </c>
      <c r="O4" s="20">
        <f t="shared" ref="O4:O30" si="4">IF(COUNTA($F4,$K4,$P4)&gt;0,O3+SUM(L4:N4),"")</f>
        <v>35000</v>
      </c>
      <c r="P4" s="17" t="s">
        <v>23</v>
      </c>
      <c r="Q4" s="18">
        <v>-12000</v>
      </c>
      <c r="R4" s="18"/>
      <c r="S4" s="19">
        <f>IF(OR(P4="ロン",P4="ツモ"),$C4*1000,IF(P4="放銃",$C4*-1000,IF(P4="ツモ支払",$C4*-500,"")))</f>
        <v>0</v>
      </c>
      <c r="T4" s="20">
        <f t="shared" ref="T4:T30" si="5">IF(COUNTA($F4,$K4,$P4)&gt;0,T3+SUM(Q4:S4),"")</f>
        <v>23000</v>
      </c>
      <c r="U4" s="21">
        <f t="shared" si="0"/>
        <v>12</v>
      </c>
      <c r="V4" s="22">
        <f t="shared" si="1"/>
        <v>0</v>
      </c>
      <c r="W4" s="23">
        <f t="shared" si="2"/>
        <v>-12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2</v>
      </c>
      <c r="C5" s="34">
        <f>IF($E5="","",IF($E4=$E5,C4+1,0))</f>
        <v>0</v>
      </c>
      <c r="D5" s="34">
        <f>IF($E5="","",IF(OR(F4="流局",K4="流局",P4="流局",F4="チョンボ",K4="チョンボ",P4="チョンボ"),D4+($H4+$M4+$R4)/-1000,0))</f>
        <v>0</v>
      </c>
      <c r="E5" s="6" t="s">
        <v>15</v>
      </c>
      <c r="F5" s="17" t="s">
        <v>23</v>
      </c>
      <c r="G5" s="18">
        <v>-12000</v>
      </c>
      <c r="H5" s="18"/>
      <c r="I5" s="19">
        <f>IF(OR(F5="ロン",F5="ツモ"),$C5*1000,IF(F5="放銃",$C5*-1000,IF(F5="ツモ支払",$C5*-500,"")))</f>
        <v>0</v>
      </c>
      <c r="J5" s="20">
        <f t="shared" si="3"/>
        <v>35000</v>
      </c>
      <c r="K5" s="17" t="s">
        <v>22</v>
      </c>
      <c r="L5" s="18">
        <v>12000</v>
      </c>
      <c r="M5" s="18"/>
      <c r="N5" s="19">
        <f t="shared" ref="N5:N30" si="6">IF(OR(K5="ロン",K5="ツモ"),$C5*1000,IF(K5="放銃",$C5*-1000,IF(K5="ツモ支払",$C5*-500,"")))</f>
        <v>0</v>
      </c>
      <c r="O5" s="20">
        <f t="shared" si="4"/>
        <v>47000</v>
      </c>
      <c r="P5" s="17"/>
      <c r="Q5" s="18"/>
      <c r="R5" s="18"/>
      <c r="S5" s="19" t="str">
        <f t="shared" ref="S5:S30" si="7">IF(OR(P5="ロン",P5="ツモ"),$C5*1000,IF(P5="放銃",$C5*-1000,IF(P5="ツモ支払",$C5*-500,"")))</f>
        <v/>
      </c>
      <c r="T5" s="20">
        <f t="shared" si="5"/>
        <v>23000</v>
      </c>
      <c r="U5" s="21">
        <f t="shared" si="0"/>
        <v>0</v>
      </c>
      <c r="V5" s="22">
        <f t="shared" si="1"/>
        <v>12</v>
      </c>
      <c r="W5" s="23">
        <f t="shared" si="2"/>
        <v>-12</v>
      </c>
    </row>
    <row r="6" spans="1:23" x14ac:dyDescent="0.4">
      <c r="A6" s="33" t="str">
        <f t="shared" ref="A6:A30" si="8">IF($E6="","",IF(AND(B5=3,B6=1),IF(A5="東","南",IF(A5="南","西",IF(A5="西","北",IF(A5="北","東","")))),A5))</f>
        <v>東</v>
      </c>
      <c r="B6" s="34">
        <f t="shared" ref="B6:B30" si="9">IF($E6="","",IF($E5=$E6,B5,IF(B5=3,1,B5+1)))</f>
        <v>3</v>
      </c>
      <c r="C6" s="34">
        <f t="shared" ref="C6:C30" si="10">IF($E6="","",IF($E5=$E6,C5+1,0))</f>
        <v>0</v>
      </c>
      <c r="D6" s="34">
        <f t="shared" ref="D6:D30" si="11">IF($E6="","",IF(OR(F5="流局",K5="流局",P5="流局",F5="チョンボ",K5="チョンボ",P5="チョンボ"),D5+($H5+$M5+$R5)/-1000,0))</f>
        <v>0</v>
      </c>
      <c r="E6" s="6" t="s">
        <v>26</v>
      </c>
      <c r="F6" s="17" t="s">
        <v>25</v>
      </c>
      <c r="G6" s="18">
        <v>-1500</v>
      </c>
      <c r="H6" s="18"/>
      <c r="I6" s="19">
        <f>IF(OR(F6="ロン",F6="ツモ"),$C6*1000,IF(F6="放銃",$C6*-1000,IF(F6="ツモ支払",$C6*-500,"")))</f>
        <v>0</v>
      </c>
      <c r="J6" s="20">
        <f t="shared" si="3"/>
        <v>33500</v>
      </c>
      <c r="K6" s="17" t="s">
        <v>25</v>
      </c>
      <c r="L6" s="18">
        <v>-2500</v>
      </c>
      <c r="M6" s="18"/>
      <c r="N6" s="19">
        <f t="shared" si="6"/>
        <v>0</v>
      </c>
      <c r="O6" s="20">
        <f t="shared" si="4"/>
        <v>44500</v>
      </c>
      <c r="P6" s="17" t="s">
        <v>24</v>
      </c>
      <c r="Q6" s="18">
        <v>4000</v>
      </c>
      <c r="R6" s="18"/>
      <c r="S6" s="19">
        <f t="shared" si="7"/>
        <v>0</v>
      </c>
      <c r="T6" s="20">
        <f t="shared" si="5"/>
        <v>27000</v>
      </c>
      <c r="U6" s="21">
        <f t="shared" si="0"/>
        <v>-2</v>
      </c>
      <c r="V6" s="22">
        <f t="shared" si="1"/>
        <v>10</v>
      </c>
      <c r="W6" s="23">
        <f t="shared" si="2"/>
        <v>-8</v>
      </c>
    </row>
    <row r="7" spans="1:23" x14ac:dyDescent="0.4">
      <c r="A7" s="33" t="str">
        <f t="shared" si="8"/>
        <v>南</v>
      </c>
      <c r="B7" s="34">
        <f t="shared" si="9"/>
        <v>1</v>
      </c>
      <c r="C7" s="34">
        <f t="shared" si="10"/>
        <v>0</v>
      </c>
      <c r="D7" s="34">
        <f t="shared" si="11"/>
        <v>0</v>
      </c>
      <c r="E7" s="6" t="s">
        <v>19</v>
      </c>
      <c r="F7" s="17" t="s">
        <v>21</v>
      </c>
      <c r="G7" s="18">
        <v>-1500</v>
      </c>
      <c r="H7" s="18"/>
      <c r="I7" s="19" t="str">
        <f t="shared" ref="I7:I30" si="12">IF(OR(F7="ロン",F7="ツモ"),$C7*1000,IF(F7="放銃",$C7*-1000,IF(F7="ツモ支払",$C7*-500,"")))</f>
        <v/>
      </c>
      <c r="J7" s="20">
        <f t="shared" si="3"/>
        <v>32000</v>
      </c>
      <c r="K7" s="17" t="s">
        <v>21</v>
      </c>
      <c r="L7" s="18">
        <v>-1500</v>
      </c>
      <c r="M7" s="18"/>
      <c r="N7" s="19" t="str">
        <f t="shared" si="6"/>
        <v/>
      </c>
      <c r="O7" s="20">
        <f t="shared" si="4"/>
        <v>43000</v>
      </c>
      <c r="P7" s="17" t="s">
        <v>21</v>
      </c>
      <c r="Q7" s="18">
        <v>3000</v>
      </c>
      <c r="R7" s="18"/>
      <c r="S7" s="19" t="str">
        <f t="shared" si="7"/>
        <v/>
      </c>
      <c r="T7" s="20">
        <f t="shared" si="5"/>
        <v>30000</v>
      </c>
      <c r="U7" s="21">
        <f t="shared" si="0"/>
        <v>-3</v>
      </c>
      <c r="V7" s="22">
        <f t="shared" si="1"/>
        <v>8</v>
      </c>
      <c r="W7" s="23">
        <f t="shared" si="2"/>
        <v>-5</v>
      </c>
    </row>
    <row r="8" spans="1:23" x14ac:dyDescent="0.4">
      <c r="A8" s="33" t="str">
        <f t="shared" si="8"/>
        <v>南</v>
      </c>
      <c r="B8" s="34">
        <f t="shared" si="9"/>
        <v>1</v>
      </c>
      <c r="C8" s="34">
        <f t="shared" si="10"/>
        <v>1</v>
      </c>
      <c r="D8" s="34">
        <f t="shared" si="11"/>
        <v>0</v>
      </c>
      <c r="E8" s="6" t="s">
        <v>19</v>
      </c>
      <c r="F8" s="17" t="s">
        <v>21</v>
      </c>
      <c r="G8" s="18"/>
      <c r="H8" s="18"/>
      <c r="I8" s="19" t="str">
        <f t="shared" si="12"/>
        <v/>
      </c>
      <c r="J8" s="20">
        <f t="shared" si="3"/>
        <v>32000</v>
      </c>
      <c r="K8" s="17" t="s">
        <v>21</v>
      </c>
      <c r="L8" s="18"/>
      <c r="M8" s="18">
        <v>-1000</v>
      </c>
      <c r="N8" s="19" t="str">
        <f t="shared" si="6"/>
        <v/>
      </c>
      <c r="O8" s="20">
        <f t="shared" si="4"/>
        <v>42000</v>
      </c>
      <c r="P8" s="17" t="s">
        <v>21</v>
      </c>
      <c r="Q8" s="18"/>
      <c r="R8" s="18"/>
      <c r="S8" s="19" t="str">
        <f t="shared" si="7"/>
        <v/>
      </c>
      <c r="T8" s="20">
        <f t="shared" si="5"/>
        <v>30000</v>
      </c>
      <c r="U8" s="21">
        <f t="shared" si="0"/>
        <v>-3</v>
      </c>
      <c r="V8" s="22">
        <f t="shared" si="1"/>
        <v>7</v>
      </c>
      <c r="W8" s="23">
        <f t="shared" si="2"/>
        <v>-5</v>
      </c>
    </row>
    <row r="9" spans="1:23" x14ac:dyDescent="0.4">
      <c r="A9" s="33" t="str">
        <f t="shared" si="8"/>
        <v>南</v>
      </c>
      <c r="B9" s="34">
        <f t="shared" si="9"/>
        <v>1</v>
      </c>
      <c r="C9" s="34">
        <f t="shared" si="10"/>
        <v>2</v>
      </c>
      <c r="D9" s="34">
        <f t="shared" si="11"/>
        <v>1</v>
      </c>
      <c r="E9" s="6" t="s">
        <v>19</v>
      </c>
      <c r="F9" s="17" t="s">
        <v>23</v>
      </c>
      <c r="G9" s="18">
        <v>-12000</v>
      </c>
      <c r="H9" s="18"/>
      <c r="I9" s="19">
        <f t="shared" si="12"/>
        <v>-2000</v>
      </c>
      <c r="J9" s="20">
        <f t="shared" si="3"/>
        <v>18000</v>
      </c>
      <c r="K9" s="17" t="s">
        <v>22</v>
      </c>
      <c r="L9" s="18">
        <v>12000</v>
      </c>
      <c r="M9" s="18">
        <v>1000</v>
      </c>
      <c r="N9" s="19">
        <f t="shared" si="6"/>
        <v>2000</v>
      </c>
      <c r="O9" s="20">
        <f t="shared" si="4"/>
        <v>57000</v>
      </c>
      <c r="P9" s="17"/>
      <c r="Q9" s="18"/>
      <c r="R9" s="18"/>
      <c r="S9" s="19" t="str">
        <f t="shared" si="7"/>
        <v/>
      </c>
      <c r="T9" s="20">
        <f t="shared" si="5"/>
        <v>30000</v>
      </c>
      <c r="U9" s="21">
        <f t="shared" si="0"/>
        <v>-17</v>
      </c>
      <c r="V9" s="22">
        <f t="shared" si="1"/>
        <v>22</v>
      </c>
      <c r="W9" s="23">
        <f t="shared" si="2"/>
        <v>-5</v>
      </c>
    </row>
    <row r="10" spans="1:23" x14ac:dyDescent="0.4">
      <c r="A10" s="33" t="str">
        <f t="shared" si="8"/>
        <v>南</v>
      </c>
      <c r="B10" s="34">
        <f t="shared" si="9"/>
        <v>2</v>
      </c>
      <c r="C10" s="34">
        <f t="shared" si="10"/>
        <v>0</v>
      </c>
      <c r="D10" s="34">
        <f t="shared" si="11"/>
        <v>0</v>
      </c>
      <c r="E10" s="6" t="s">
        <v>15</v>
      </c>
      <c r="F10" s="17" t="s">
        <v>23</v>
      </c>
      <c r="G10" s="18">
        <v>-16000</v>
      </c>
      <c r="H10" s="18"/>
      <c r="I10" s="19">
        <f t="shared" si="12"/>
        <v>0</v>
      </c>
      <c r="J10" s="20">
        <f t="shared" si="3"/>
        <v>2000</v>
      </c>
      <c r="K10" s="17" t="s">
        <v>22</v>
      </c>
      <c r="L10" s="18">
        <v>16000</v>
      </c>
      <c r="M10" s="18"/>
      <c r="N10" s="19">
        <f t="shared" si="6"/>
        <v>0</v>
      </c>
      <c r="O10" s="20">
        <f t="shared" si="4"/>
        <v>73000</v>
      </c>
      <c r="P10" s="17"/>
      <c r="Q10" s="18"/>
      <c r="R10" s="18"/>
      <c r="S10" s="19" t="str">
        <f t="shared" si="7"/>
        <v/>
      </c>
      <c r="T10" s="20">
        <f t="shared" si="5"/>
        <v>30000</v>
      </c>
      <c r="U10" s="21">
        <f t="shared" si="0"/>
        <v>-33</v>
      </c>
      <c r="V10" s="22">
        <f t="shared" si="1"/>
        <v>38</v>
      </c>
      <c r="W10" s="23">
        <f t="shared" si="2"/>
        <v>-5</v>
      </c>
    </row>
    <row r="11" spans="1:23" x14ac:dyDescent="0.4">
      <c r="A11" s="33" t="str">
        <f t="shared" si="8"/>
        <v>南</v>
      </c>
      <c r="B11" s="34">
        <f t="shared" si="9"/>
        <v>3</v>
      </c>
      <c r="C11" s="34">
        <f t="shared" si="10"/>
        <v>0</v>
      </c>
      <c r="D11" s="34">
        <f t="shared" si="11"/>
        <v>0</v>
      </c>
      <c r="E11" s="6" t="s">
        <v>26</v>
      </c>
      <c r="F11" s="17" t="s">
        <v>25</v>
      </c>
      <c r="G11" s="18">
        <v>-3000</v>
      </c>
      <c r="H11" s="18"/>
      <c r="I11" s="19">
        <f t="shared" si="12"/>
        <v>0</v>
      </c>
      <c r="J11" s="20">
        <f t="shared" si="3"/>
        <v>-1000</v>
      </c>
      <c r="K11" s="17" t="s">
        <v>25</v>
      </c>
      <c r="L11" s="18">
        <v>-5000</v>
      </c>
      <c r="M11" s="18"/>
      <c r="N11" s="19">
        <f t="shared" si="6"/>
        <v>0</v>
      </c>
      <c r="O11" s="20">
        <f t="shared" si="4"/>
        <v>68000</v>
      </c>
      <c r="P11" s="17" t="s">
        <v>24</v>
      </c>
      <c r="Q11" s="18">
        <v>8000</v>
      </c>
      <c r="R11" s="18"/>
      <c r="S11" s="19">
        <f t="shared" si="7"/>
        <v>0</v>
      </c>
      <c r="T11" s="20">
        <f t="shared" si="5"/>
        <v>38000</v>
      </c>
      <c r="U11" s="21">
        <f t="shared" si="0"/>
        <v>-36</v>
      </c>
      <c r="V11" s="22">
        <f t="shared" si="1"/>
        <v>33</v>
      </c>
      <c r="W11" s="23">
        <f t="shared" si="2"/>
        <v>3</v>
      </c>
    </row>
    <row r="12" spans="1:23" x14ac:dyDescent="0.4">
      <c r="A12" s="33" t="str">
        <f t="shared" si="8"/>
        <v/>
      </c>
      <c r="B12" s="34" t="str">
        <f t="shared" si="9"/>
        <v/>
      </c>
      <c r="C12" s="34" t="str">
        <f t="shared" si="10"/>
        <v/>
      </c>
      <c r="D12" s="34" t="str">
        <f t="shared" si="11"/>
        <v/>
      </c>
      <c r="E12" s="6"/>
      <c r="F12" s="17"/>
      <c r="G12" s="18"/>
      <c r="H12" s="18"/>
      <c r="I12" s="19" t="str">
        <f t="shared" si="12"/>
        <v/>
      </c>
      <c r="J12" s="20" t="str">
        <f t="shared" si="3"/>
        <v/>
      </c>
      <c r="K12" s="17"/>
      <c r="L12" s="18"/>
      <c r="M12" s="18"/>
      <c r="N12" s="19" t="str">
        <f t="shared" si="6"/>
        <v/>
      </c>
      <c r="O12" s="20" t="str">
        <f t="shared" si="4"/>
        <v/>
      </c>
      <c r="P12" s="17"/>
      <c r="Q12" s="18"/>
      <c r="R12" s="18"/>
      <c r="S12" s="19" t="str">
        <f t="shared" si="7"/>
        <v/>
      </c>
      <c r="T12" s="20" t="str">
        <f t="shared" si="5"/>
        <v/>
      </c>
      <c r="U12" s="21" t="str">
        <f t="shared" si="0"/>
        <v/>
      </c>
      <c r="V12" s="22" t="str">
        <f t="shared" si="1"/>
        <v/>
      </c>
      <c r="W12" s="23" t="str">
        <f t="shared" si="2"/>
        <v/>
      </c>
    </row>
    <row r="13" spans="1:23" x14ac:dyDescent="0.4">
      <c r="A13" s="33" t="str">
        <f t="shared" si="8"/>
        <v/>
      </c>
      <c r="B13" s="34" t="str">
        <f t="shared" si="9"/>
        <v/>
      </c>
      <c r="C13" s="34" t="str">
        <f t="shared" si="10"/>
        <v/>
      </c>
      <c r="D13" s="34" t="str">
        <f t="shared" si="11"/>
        <v/>
      </c>
      <c r="E13" s="6"/>
      <c r="F13" s="17"/>
      <c r="G13" s="18"/>
      <c r="H13" s="18"/>
      <c r="I13" s="19" t="str">
        <f t="shared" si="12"/>
        <v/>
      </c>
      <c r="J13" s="20" t="str">
        <f t="shared" si="3"/>
        <v/>
      </c>
      <c r="K13" s="17"/>
      <c r="L13" s="18"/>
      <c r="M13" s="18"/>
      <c r="N13" s="19" t="str">
        <f t="shared" si="6"/>
        <v/>
      </c>
      <c r="O13" s="20" t="str">
        <f t="shared" si="4"/>
        <v/>
      </c>
      <c r="P13" s="17"/>
      <c r="Q13" s="18"/>
      <c r="R13" s="18"/>
      <c r="S13" s="19" t="str">
        <f t="shared" si="7"/>
        <v/>
      </c>
      <c r="T13" s="20" t="str">
        <f t="shared" si="5"/>
        <v/>
      </c>
      <c r="U13" s="21" t="str">
        <f t="shared" si="0"/>
        <v/>
      </c>
      <c r="V13" s="22" t="str">
        <f t="shared" si="1"/>
        <v/>
      </c>
      <c r="W13" s="23" t="str">
        <f t="shared" si="2"/>
        <v/>
      </c>
    </row>
    <row r="14" spans="1:23" x14ac:dyDescent="0.4">
      <c r="A14" s="33" t="str">
        <f t="shared" si="8"/>
        <v/>
      </c>
      <c r="B14" s="34" t="str">
        <f t="shared" si="9"/>
        <v/>
      </c>
      <c r="C14" s="34" t="str">
        <f t="shared" si="10"/>
        <v/>
      </c>
      <c r="D14" s="34" t="str">
        <f t="shared" si="11"/>
        <v/>
      </c>
      <c r="E14" s="6"/>
      <c r="F14" s="17"/>
      <c r="G14" s="18"/>
      <c r="H14" s="18"/>
      <c r="I14" s="19" t="str">
        <f t="shared" si="12"/>
        <v/>
      </c>
      <c r="J14" s="20" t="str">
        <f t="shared" si="3"/>
        <v/>
      </c>
      <c r="K14" s="17"/>
      <c r="L14" s="18"/>
      <c r="M14" s="18"/>
      <c r="N14" s="19" t="str">
        <f t="shared" si="6"/>
        <v/>
      </c>
      <c r="O14" s="20" t="str">
        <f t="shared" si="4"/>
        <v/>
      </c>
      <c r="P14" s="17"/>
      <c r="Q14" s="18"/>
      <c r="R14" s="18"/>
      <c r="S14" s="19" t="str">
        <f t="shared" si="7"/>
        <v/>
      </c>
      <c r="T14" s="20" t="str">
        <f t="shared" si="5"/>
        <v/>
      </c>
      <c r="U14" s="21" t="str">
        <f t="shared" si="0"/>
        <v/>
      </c>
      <c r="V14" s="22" t="str">
        <f t="shared" si="1"/>
        <v/>
      </c>
      <c r="W14" s="23" t="str">
        <f t="shared" si="2"/>
        <v/>
      </c>
    </row>
    <row r="15" spans="1:23" x14ac:dyDescent="0.4">
      <c r="A15" s="33" t="str">
        <f t="shared" si="8"/>
        <v/>
      </c>
      <c r="B15" s="34" t="str">
        <f t="shared" si="9"/>
        <v/>
      </c>
      <c r="C15" s="34" t="str">
        <f t="shared" si="10"/>
        <v/>
      </c>
      <c r="D15" s="34" t="str">
        <f t="shared" si="11"/>
        <v/>
      </c>
      <c r="E15" s="6"/>
      <c r="F15" s="17"/>
      <c r="G15" s="18"/>
      <c r="H15" s="18"/>
      <c r="I15" s="19" t="str">
        <f t="shared" si="12"/>
        <v/>
      </c>
      <c r="J15" s="20" t="str">
        <f t="shared" si="3"/>
        <v/>
      </c>
      <c r="K15" s="17"/>
      <c r="L15" s="18"/>
      <c r="M15" s="18"/>
      <c r="N15" s="19" t="str">
        <f t="shared" si="6"/>
        <v/>
      </c>
      <c r="O15" s="20" t="str">
        <f t="shared" si="4"/>
        <v/>
      </c>
      <c r="P15" s="17"/>
      <c r="Q15" s="18"/>
      <c r="R15" s="18"/>
      <c r="S15" s="19" t="str">
        <f t="shared" si="7"/>
        <v/>
      </c>
      <c r="T15" s="20" t="str">
        <f t="shared" si="5"/>
        <v/>
      </c>
      <c r="U15" s="21" t="str">
        <f t="shared" si="0"/>
        <v/>
      </c>
      <c r="V15" s="22" t="str">
        <f t="shared" si="1"/>
        <v/>
      </c>
      <c r="W15" s="23" t="str">
        <f t="shared" si="2"/>
        <v/>
      </c>
    </row>
    <row r="16" spans="1:23" x14ac:dyDescent="0.4">
      <c r="A16" s="33" t="str">
        <f t="shared" si="8"/>
        <v/>
      </c>
      <c r="B16" s="34" t="str">
        <f t="shared" si="9"/>
        <v/>
      </c>
      <c r="C16" s="34" t="str">
        <f t="shared" si="10"/>
        <v/>
      </c>
      <c r="D16" s="34" t="str">
        <f t="shared" si="11"/>
        <v/>
      </c>
      <c r="E16" s="6"/>
      <c r="F16" s="17"/>
      <c r="G16" s="18"/>
      <c r="H16" s="18"/>
      <c r="I16" s="19" t="str">
        <f t="shared" si="12"/>
        <v/>
      </c>
      <c r="J16" s="20" t="str">
        <f t="shared" si="3"/>
        <v/>
      </c>
      <c r="K16" s="17"/>
      <c r="L16" s="18"/>
      <c r="M16" s="18"/>
      <c r="N16" s="19" t="str">
        <f t="shared" si="6"/>
        <v/>
      </c>
      <c r="O16" s="20" t="str">
        <f t="shared" si="4"/>
        <v/>
      </c>
      <c r="P16" s="17"/>
      <c r="Q16" s="18"/>
      <c r="R16" s="18"/>
      <c r="S16" s="19" t="str">
        <f t="shared" si="7"/>
        <v/>
      </c>
      <c r="T16" s="20" t="str">
        <f t="shared" si="5"/>
        <v/>
      </c>
      <c r="U16" s="21" t="str">
        <f t="shared" si="0"/>
        <v/>
      </c>
      <c r="V16" s="22" t="str">
        <f t="shared" si="1"/>
        <v/>
      </c>
      <c r="W16" s="23" t="str">
        <f t="shared" si="2"/>
        <v/>
      </c>
    </row>
    <row r="17" spans="1:23" x14ac:dyDescent="0.4">
      <c r="A17" s="33" t="str">
        <f t="shared" si="8"/>
        <v/>
      </c>
      <c r="B17" s="34" t="str">
        <f t="shared" si="9"/>
        <v/>
      </c>
      <c r="C17" s="34" t="str">
        <f t="shared" si="10"/>
        <v/>
      </c>
      <c r="D17" s="34" t="str">
        <f t="shared" si="11"/>
        <v/>
      </c>
      <c r="E17" s="6"/>
      <c r="F17" s="17"/>
      <c r="G17" s="18"/>
      <c r="H17" s="18"/>
      <c r="I17" s="19" t="str">
        <f t="shared" si="12"/>
        <v/>
      </c>
      <c r="J17" s="20" t="str">
        <f t="shared" si="3"/>
        <v/>
      </c>
      <c r="K17" s="17"/>
      <c r="L17" s="18"/>
      <c r="M17" s="18"/>
      <c r="N17" s="19" t="str">
        <f t="shared" si="6"/>
        <v/>
      </c>
      <c r="O17" s="20" t="str">
        <f t="shared" si="4"/>
        <v/>
      </c>
      <c r="P17" s="17"/>
      <c r="Q17" s="18"/>
      <c r="R17" s="18"/>
      <c r="S17" s="19" t="str">
        <f t="shared" si="7"/>
        <v/>
      </c>
      <c r="T17" s="20" t="str">
        <f t="shared" si="5"/>
        <v/>
      </c>
      <c r="U17" s="21" t="str">
        <f t="shared" si="0"/>
        <v/>
      </c>
      <c r="V17" s="22" t="str">
        <f t="shared" si="1"/>
        <v/>
      </c>
      <c r="W17" s="23" t="str">
        <f t="shared" si="2"/>
        <v/>
      </c>
    </row>
    <row r="18" spans="1:23" x14ac:dyDescent="0.4">
      <c r="A18" s="33" t="str">
        <f t="shared" si="8"/>
        <v/>
      </c>
      <c r="B18" s="34" t="str">
        <f t="shared" si="9"/>
        <v/>
      </c>
      <c r="C18" s="34" t="str">
        <f t="shared" si="10"/>
        <v/>
      </c>
      <c r="D18" s="34" t="str">
        <f t="shared" si="11"/>
        <v/>
      </c>
      <c r="E18" s="6"/>
      <c r="F18" s="17"/>
      <c r="G18" s="18"/>
      <c r="H18" s="18"/>
      <c r="I18" s="19" t="str">
        <f t="shared" si="12"/>
        <v/>
      </c>
      <c r="J18" s="20" t="str">
        <f t="shared" si="3"/>
        <v/>
      </c>
      <c r="K18" s="17"/>
      <c r="L18" s="18"/>
      <c r="M18" s="18"/>
      <c r="N18" s="19" t="str">
        <f t="shared" si="6"/>
        <v/>
      </c>
      <c r="O18" s="20" t="str">
        <f t="shared" si="4"/>
        <v/>
      </c>
      <c r="P18" s="17"/>
      <c r="Q18" s="18"/>
      <c r="R18" s="18"/>
      <c r="S18" s="19" t="str">
        <f t="shared" si="7"/>
        <v/>
      </c>
      <c r="T18" s="20" t="str">
        <f t="shared" si="5"/>
        <v/>
      </c>
      <c r="U18" s="21" t="str">
        <f t="shared" si="0"/>
        <v/>
      </c>
      <c r="V18" s="22" t="str">
        <f t="shared" si="1"/>
        <v/>
      </c>
      <c r="W18" s="23" t="str">
        <f t="shared" si="2"/>
        <v/>
      </c>
    </row>
    <row r="19" spans="1:23" x14ac:dyDescent="0.4">
      <c r="A19" s="33" t="str">
        <f t="shared" si="8"/>
        <v/>
      </c>
      <c r="B19" s="34" t="str">
        <f t="shared" si="9"/>
        <v/>
      </c>
      <c r="C19" s="34" t="str">
        <f t="shared" si="10"/>
        <v/>
      </c>
      <c r="D19" s="34" t="str">
        <f t="shared" si="11"/>
        <v/>
      </c>
      <c r="E19" s="6"/>
      <c r="F19" s="17"/>
      <c r="G19" s="18"/>
      <c r="H19" s="18"/>
      <c r="I19" s="19" t="str">
        <f t="shared" si="12"/>
        <v/>
      </c>
      <c r="J19" s="20" t="str">
        <f t="shared" si="3"/>
        <v/>
      </c>
      <c r="K19" s="17"/>
      <c r="L19" s="18"/>
      <c r="M19" s="18"/>
      <c r="N19" s="19" t="str">
        <f t="shared" si="6"/>
        <v/>
      </c>
      <c r="O19" s="20" t="str">
        <f t="shared" si="4"/>
        <v/>
      </c>
      <c r="P19" s="17"/>
      <c r="Q19" s="18"/>
      <c r="R19" s="18"/>
      <c r="S19" s="19" t="str">
        <f t="shared" si="7"/>
        <v/>
      </c>
      <c r="T19" s="20" t="str">
        <f t="shared" si="5"/>
        <v/>
      </c>
      <c r="U19" s="21" t="str">
        <f t="shared" si="0"/>
        <v/>
      </c>
      <c r="V19" s="22" t="str">
        <f t="shared" si="1"/>
        <v/>
      </c>
      <c r="W19" s="23" t="str">
        <f t="shared" si="2"/>
        <v/>
      </c>
    </row>
    <row r="20" spans="1:23" x14ac:dyDescent="0.4">
      <c r="A20" s="33" t="str">
        <f t="shared" si="8"/>
        <v/>
      </c>
      <c r="B20" s="34" t="str">
        <f t="shared" si="9"/>
        <v/>
      </c>
      <c r="C20" s="34" t="str">
        <f t="shared" si="10"/>
        <v/>
      </c>
      <c r="D20" s="34" t="str">
        <f t="shared" si="11"/>
        <v/>
      </c>
      <c r="E20" s="6"/>
      <c r="F20" s="17"/>
      <c r="G20" s="18"/>
      <c r="H20" s="18"/>
      <c r="I20" s="19" t="str">
        <f t="shared" si="12"/>
        <v/>
      </c>
      <c r="J20" s="20" t="str">
        <f t="shared" si="3"/>
        <v/>
      </c>
      <c r="K20" s="17"/>
      <c r="L20" s="18"/>
      <c r="M20" s="18"/>
      <c r="N20" s="19" t="str">
        <f t="shared" si="6"/>
        <v/>
      </c>
      <c r="O20" s="20" t="str">
        <f t="shared" si="4"/>
        <v/>
      </c>
      <c r="P20" s="17"/>
      <c r="Q20" s="18"/>
      <c r="R20" s="18"/>
      <c r="S20" s="19" t="str">
        <f t="shared" si="7"/>
        <v/>
      </c>
      <c r="T20" s="20" t="str">
        <f t="shared" si="5"/>
        <v/>
      </c>
      <c r="U20" s="21" t="str">
        <f t="shared" si="0"/>
        <v/>
      </c>
      <c r="V20" s="22" t="str">
        <f t="shared" si="1"/>
        <v/>
      </c>
      <c r="W20" s="23" t="str">
        <f t="shared" si="2"/>
        <v/>
      </c>
    </row>
    <row r="21" spans="1:23" x14ac:dyDescent="0.4">
      <c r="A21" s="33" t="str">
        <f t="shared" si="8"/>
        <v/>
      </c>
      <c r="B21" s="34" t="str">
        <f t="shared" si="9"/>
        <v/>
      </c>
      <c r="C21" s="34" t="str">
        <f t="shared" si="10"/>
        <v/>
      </c>
      <c r="D21" s="34" t="str">
        <f t="shared" si="11"/>
        <v/>
      </c>
      <c r="E21" s="6"/>
      <c r="F21" s="17"/>
      <c r="G21" s="18"/>
      <c r="H21" s="18"/>
      <c r="I21" s="19" t="str">
        <f t="shared" si="12"/>
        <v/>
      </c>
      <c r="J21" s="20" t="str">
        <f t="shared" si="3"/>
        <v/>
      </c>
      <c r="K21" s="17"/>
      <c r="L21" s="18"/>
      <c r="M21" s="18"/>
      <c r="N21" s="19" t="str">
        <f t="shared" si="6"/>
        <v/>
      </c>
      <c r="O21" s="20" t="str">
        <f t="shared" si="4"/>
        <v/>
      </c>
      <c r="P21" s="17"/>
      <c r="Q21" s="18"/>
      <c r="R21" s="18"/>
      <c r="S21" s="19" t="str">
        <f t="shared" si="7"/>
        <v/>
      </c>
      <c r="T21" s="20" t="str">
        <f t="shared" si="5"/>
        <v/>
      </c>
      <c r="U21" s="21" t="str">
        <f t="shared" si="0"/>
        <v/>
      </c>
      <c r="V21" s="22" t="str">
        <f t="shared" si="1"/>
        <v/>
      </c>
      <c r="W21" s="23" t="str">
        <f t="shared" si="2"/>
        <v/>
      </c>
    </row>
    <row r="22" spans="1:23" x14ac:dyDescent="0.4">
      <c r="A22" s="33" t="str">
        <f t="shared" si="8"/>
        <v/>
      </c>
      <c r="B22" s="34" t="str">
        <f t="shared" si="9"/>
        <v/>
      </c>
      <c r="C22" s="34" t="str">
        <f t="shared" si="10"/>
        <v/>
      </c>
      <c r="D22" s="34" t="str">
        <f t="shared" si="11"/>
        <v/>
      </c>
      <c r="E22" s="6"/>
      <c r="F22" s="17"/>
      <c r="G22" s="18"/>
      <c r="H22" s="18"/>
      <c r="I22" s="19" t="str">
        <f t="shared" si="12"/>
        <v/>
      </c>
      <c r="J22" s="20" t="str">
        <f t="shared" si="3"/>
        <v/>
      </c>
      <c r="K22" s="17"/>
      <c r="L22" s="18"/>
      <c r="M22" s="18"/>
      <c r="N22" s="19" t="str">
        <f t="shared" si="6"/>
        <v/>
      </c>
      <c r="O22" s="20" t="str">
        <f t="shared" si="4"/>
        <v/>
      </c>
      <c r="P22" s="17"/>
      <c r="Q22" s="18"/>
      <c r="R22" s="18"/>
      <c r="S22" s="19" t="str">
        <f t="shared" si="7"/>
        <v/>
      </c>
      <c r="T22" s="20" t="str">
        <f t="shared" si="5"/>
        <v/>
      </c>
      <c r="U22" s="21" t="str">
        <f t="shared" si="0"/>
        <v/>
      </c>
      <c r="V22" s="22" t="str">
        <f t="shared" si="1"/>
        <v/>
      </c>
      <c r="W22" s="23" t="str">
        <f t="shared" si="2"/>
        <v/>
      </c>
    </row>
    <row r="23" spans="1:23" x14ac:dyDescent="0.4">
      <c r="A23" s="33" t="str">
        <f t="shared" si="8"/>
        <v/>
      </c>
      <c r="B23" s="34" t="str">
        <f t="shared" si="9"/>
        <v/>
      </c>
      <c r="C23" s="34" t="str">
        <f t="shared" si="10"/>
        <v/>
      </c>
      <c r="D23" s="34" t="str">
        <f t="shared" si="11"/>
        <v/>
      </c>
      <c r="E23" s="6"/>
      <c r="F23" s="17"/>
      <c r="G23" s="18"/>
      <c r="H23" s="18"/>
      <c r="I23" s="19" t="str">
        <f t="shared" si="12"/>
        <v/>
      </c>
      <c r="J23" s="20" t="str">
        <f t="shared" si="3"/>
        <v/>
      </c>
      <c r="K23" s="17"/>
      <c r="L23" s="18"/>
      <c r="M23" s="18"/>
      <c r="N23" s="19" t="str">
        <f t="shared" si="6"/>
        <v/>
      </c>
      <c r="O23" s="20" t="str">
        <f t="shared" si="4"/>
        <v/>
      </c>
      <c r="P23" s="17"/>
      <c r="Q23" s="18"/>
      <c r="R23" s="18"/>
      <c r="S23" s="19" t="str">
        <f t="shared" si="7"/>
        <v/>
      </c>
      <c r="T23" s="20" t="str">
        <f t="shared" si="5"/>
        <v/>
      </c>
      <c r="U23" s="21" t="str">
        <f t="shared" si="0"/>
        <v/>
      </c>
      <c r="V23" s="22" t="str">
        <f t="shared" si="1"/>
        <v/>
      </c>
      <c r="W23" s="23" t="str">
        <f t="shared" si="2"/>
        <v/>
      </c>
    </row>
    <row r="24" spans="1:23" x14ac:dyDescent="0.4">
      <c r="A24" s="33" t="str">
        <f t="shared" si="8"/>
        <v/>
      </c>
      <c r="B24" s="34" t="str">
        <f t="shared" si="9"/>
        <v/>
      </c>
      <c r="C24" s="34" t="str">
        <f t="shared" si="10"/>
        <v/>
      </c>
      <c r="D24" s="34" t="str">
        <f t="shared" si="11"/>
        <v/>
      </c>
      <c r="E24" s="6"/>
      <c r="F24" s="17"/>
      <c r="G24" s="18"/>
      <c r="H24" s="18"/>
      <c r="I24" s="19" t="str">
        <f t="shared" si="12"/>
        <v/>
      </c>
      <c r="J24" s="20" t="str">
        <f t="shared" si="3"/>
        <v/>
      </c>
      <c r="K24" s="17"/>
      <c r="L24" s="18"/>
      <c r="M24" s="18"/>
      <c r="N24" s="19" t="str">
        <f t="shared" si="6"/>
        <v/>
      </c>
      <c r="O24" s="20" t="str">
        <f t="shared" si="4"/>
        <v/>
      </c>
      <c r="P24" s="17"/>
      <c r="Q24" s="18"/>
      <c r="R24" s="18"/>
      <c r="S24" s="19" t="str">
        <f t="shared" si="7"/>
        <v/>
      </c>
      <c r="T24" s="20" t="str">
        <f t="shared" si="5"/>
        <v/>
      </c>
      <c r="U24" s="21" t="str">
        <f t="shared" si="0"/>
        <v/>
      </c>
      <c r="V24" s="22" t="str">
        <f t="shared" si="1"/>
        <v/>
      </c>
      <c r="W24" s="23" t="str">
        <f t="shared" si="2"/>
        <v/>
      </c>
    </row>
    <row r="25" spans="1:23" x14ac:dyDescent="0.4">
      <c r="A25" s="33" t="str">
        <f t="shared" si="8"/>
        <v/>
      </c>
      <c r="B25" s="34" t="str">
        <f t="shared" si="9"/>
        <v/>
      </c>
      <c r="C25" s="34" t="str">
        <f t="shared" si="10"/>
        <v/>
      </c>
      <c r="D25" s="34" t="str">
        <f t="shared" si="11"/>
        <v/>
      </c>
      <c r="E25" s="6"/>
      <c r="F25" s="17"/>
      <c r="G25" s="18"/>
      <c r="H25" s="18"/>
      <c r="I25" s="19" t="str">
        <f t="shared" si="12"/>
        <v/>
      </c>
      <c r="J25" s="20" t="str">
        <f t="shared" si="3"/>
        <v/>
      </c>
      <c r="K25" s="17"/>
      <c r="L25" s="18"/>
      <c r="M25" s="18"/>
      <c r="N25" s="19" t="str">
        <f t="shared" si="6"/>
        <v/>
      </c>
      <c r="O25" s="20" t="str">
        <f t="shared" si="4"/>
        <v/>
      </c>
      <c r="P25" s="17"/>
      <c r="Q25" s="18"/>
      <c r="R25" s="18"/>
      <c r="S25" s="19" t="str">
        <f t="shared" si="7"/>
        <v/>
      </c>
      <c r="T25" s="20" t="str">
        <f t="shared" si="5"/>
        <v/>
      </c>
      <c r="U25" s="21" t="str">
        <f t="shared" si="0"/>
        <v/>
      </c>
      <c r="V25" s="22" t="str">
        <f t="shared" si="1"/>
        <v/>
      </c>
      <c r="W25" s="23" t="str">
        <f t="shared" si="2"/>
        <v/>
      </c>
    </row>
    <row r="26" spans="1:23" x14ac:dyDescent="0.4">
      <c r="A26" s="33" t="str">
        <f t="shared" si="8"/>
        <v/>
      </c>
      <c r="B26" s="34" t="str">
        <f t="shared" si="9"/>
        <v/>
      </c>
      <c r="C26" s="34" t="str">
        <f t="shared" si="10"/>
        <v/>
      </c>
      <c r="D26" s="34" t="str">
        <f t="shared" si="11"/>
        <v/>
      </c>
      <c r="E26" s="6"/>
      <c r="F26" s="17"/>
      <c r="G26" s="18"/>
      <c r="H26" s="18"/>
      <c r="I26" s="19" t="str">
        <f t="shared" si="12"/>
        <v/>
      </c>
      <c r="J26" s="20" t="str">
        <f t="shared" si="3"/>
        <v/>
      </c>
      <c r="K26" s="17"/>
      <c r="L26" s="18"/>
      <c r="M26" s="18"/>
      <c r="N26" s="19" t="str">
        <f t="shared" si="6"/>
        <v/>
      </c>
      <c r="O26" s="20" t="str">
        <f t="shared" si="4"/>
        <v/>
      </c>
      <c r="P26" s="17"/>
      <c r="Q26" s="18"/>
      <c r="R26" s="18"/>
      <c r="S26" s="19" t="str">
        <f t="shared" si="7"/>
        <v/>
      </c>
      <c r="T26" s="20" t="str">
        <f t="shared" si="5"/>
        <v/>
      </c>
      <c r="U26" s="21" t="str">
        <f t="shared" si="0"/>
        <v/>
      </c>
      <c r="V26" s="22" t="str">
        <f t="shared" si="1"/>
        <v/>
      </c>
      <c r="W26" s="23" t="str">
        <f t="shared" si="2"/>
        <v/>
      </c>
    </row>
    <row r="27" spans="1:23" x14ac:dyDescent="0.4">
      <c r="A27" s="33" t="str">
        <f t="shared" si="8"/>
        <v/>
      </c>
      <c r="B27" s="34" t="str">
        <f t="shared" si="9"/>
        <v/>
      </c>
      <c r="C27" s="34" t="str">
        <f t="shared" si="10"/>
        <v/>
      </c>
      <c r="D27" s="34" t="str">
        <f t="shared" si="11"/>
        <v/>
      </c>
      <c r="E27" s="6"/>
      <c r="F27" s="17"/>
      <c r="G27" s="18"/>
      <c r="H27" s="18"/>
      <c r="I27" s="19" t="str">
        <f t="shared" si="12"/>
        <v/>
      </c>
      <c r="J27" s="20" t="str">
        <f t="shared" si="3"/>
        <v/>
      </c>
      <c r="K27" s="17"/>
      <c r="L27" s="18"/>
      <c r="M27" s="18"/>
      <c r="N27" s="19" t="str">
        <f t="shared" si="6"/>
        <v/>
      </c>
      <c r="O27" s="20" t="str">
        <f t="shared" si="4"/>
        <v/>
      </c>
      <c r="P27" s="17"/>
      <c r="Q27" s="18"/>
      <c r="R27" s="18"/>
      <c r="S27" s="19" t="str">
        <f t="shared" si="7"/>
        <v/>
      </c>
      <c r="T27" s="20" t="str">
        <f t="shared" si="5"/>
        <v/>
      </c>
      <c r="U27" s="21" t="str">
        <f t="shared" si="0"/>
        <v/>
      </c>
      <c r="V27" s="22" t="str">
        <f t="shared" si="1"/>
        <v/>
      </c>
      <c r="W27" s="23" t="str">
        <f t="shared" si="2"/>
        <v/>
      </c>
    </row>
    <row r="28" spans="1:23" x14ac:dyDescent="0.4">
      <c r="A28" s="33" t="str">
        <f t="shared" si="8"/>
        <v/>
      </c>
      <c r="B28" s="34" t="str">
        <f t="shared" si="9"/>
        <v/>
      </c>
      <c r="C28" s="34" t="str">
        <f t="shared" si="10"/>
        <v/>
      </c>
      <c r="D28" s="34" t="str">
        <f t="shared" si="11"/>
        <v/>
      </c>
      <c r="E28" s="6"/>
      <c r="F28" s="17"/>
      <c r="G28" s="18"/>
      <c r="H28" s="18"/>
      <c r="I28" s="19" t="str">
        <f t="shared" si="12"/>
        <v/>
      </c>
      <c r="J28" s="20" t="str">
        <f t="shared" si="3"/>
        <v/>
      </c>
      <c r="K28" s="17"/>
      <c r="L28" s="18"/>
      <c r="M28" s="18"/>
      <c r="N28" s="19" t="str">
        <f t="shared" si="6"/>
        <v/>
      </c>
      <c r="O28" s="20" t="str">
        <f t="shared" si="4"/>
        <v/>
      </c>
      <c r="P28" s="17"/>
      <c r="Q28" s="18"/>
      <c r="R28" s="18"/>
      <c r="S28" s="19" t="str">
        <f t="shared" si="7"/>
        <v/>
      </c>
      <c r="T28" s="20" t="str">
        <f t="shared" si="5"/>
        <v/>
      </c>
      <c r="U28" s="21" t="str">
        <f t="shared" si="0"/>
        <v/>
      </c>
      <c r="V28" s="22" t="str">
        <f t="shared" si="1"/>
        <v/>
      </c>
      <c r="W28" s="23" t="str">
        <f t="shared" si="2"/>
        <v/>
      </c>
    </row>
    <row r="29" spans="1:23" x14ac:dyDescent="0.4">
      <c r="A29" s="33" t="str">
        <f t="shared" si="8"/>
        <v/>
      </c>
      <c r="B29" s="34" t="str">
        <f t="shared" si="9"/>
        <v/>
      </c>
      <c r="C29" s="34" t="str">
        <f t="shared" si="10"/>
        <v/>
      </c>
      <c r="D29" s="34" t="str">
        <f t="shared" si="11"/>
        <v/>
      </c>
      <c r="E29" s="6"/>
      <c r="F29" s="17"/>
      <c r="G29" s="18"/>
      <c r="H29" s="18"/>
      <c r="I29" s="19" t="str">
        <f t="shared" si="12"/>
        <v/>
      </c>
      <c r="J29" s="20" t="str">
        <f t="shared" si="3"/>
        <v/>
      </c>
      <c r="K29" s="17"/>
      <c r="L29" s="18"/>
      <c r="M29" s="18"/>
      <c r="N29" s="19" t="str">
        <f t="shared" si="6"/>
        <v/>
      </c>
      <c r="O29" s="20" t="str">
        <f t="shared" si="4"/>
        <v/>
      </c>
      <c r="P29" s="17"/>
      <c r="Q29" s="18"/>
      <c r="R29" s="18"/>
      <c r="S29" s="19" t="str">
        <f t="shared" si="7"/>
        <v/>
      </c>
      <c r="T29" s="20" t="str">
        <f t="shared" si="5"/>
        <v/>
      </c>
      <c r="U29" s="21" t="str">
        <f t="shared" si="0"/>
        <v/>
      </c>
      <c r="V29" s="22" t="str">
        <f t="shared" si="1"/>
        <v/>
      </c>
      <c r="W29" s="23" t="str">
        <f t="shared" si="2"/>
        <v/>
      </c>
    </row>
    <row r="30" spans="1:23" x14ac:dyDescent="0.4">
      <c r="A30" s="35" t="str">
        <f t="shared" si="8"/>
        <v/>
      </c>
      <c r="B30" s="36" t="str">
        <f t="shared" si="9"/>
        <v/>
      </c>
      <c r="C30" s="36" t="str">
        <f t="shared" si="10"/>
        <v/>
      </c>
      <c r="D30" s="36" t="str">
        <f t="shared" si="11"/>
        <v/>
      </c>
      <c r="E30" s="7"/>
      <c r="F30" s="24"/>
      <c r="G30" s="25"/>
      <c r="H30" s="25"/>
      <c r="I30" s="26" t="str">
        <f t="shared" si="12"/>
        <v/>
      </c>
      <c r="J30" s="27" t="str">
        <f t="shared" si="3"/>
        <v/>
      </c>
      <c r="K30" s="24"/>
      <c r="L30" s="25"/>
      <c r="M30" s="25"/>
      <c r="N30" s="26" t="str">
        <f t="shared" si="6"/>
        <v/>
      </c>
      <c r="O30" s="27" t="str">
        <f t="shared" si="4"/>
        <v/>
      </c>
      <c r="P30" s="24"/>
      <c r="Q30" s="25"/>
      <c r="R30" s="25"/>
      <c r="S30" s="26" t="str">
        <f t="shared" si="7"/>
        <v/>
      </c>
      <c r="T30" s="27" t="str">
        <f t="shared" si="5"/>
        <v/>
      </c>
      <c r="U30" s="28" t="str">
        <f t="shared" si="0"/>
        <v/>
      </c>
      <c r="V30" s="29" t="str">
        <f t="shared" si="1"/>
        <v/>
      </c>
      <c r="W30" s="30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7EF16AFF-D220-4B02-8E80-B340990B7679}">
      <formula1>"ロン,ツモ,放銃,ツモ支払,流局,チョンボ"</formula1>
    </dataValidation>
    <dataValidation type="list" allowBlank="1" showErrorMessage="1" sqref="E4:E30" xr:uid="{06F6493A-3BC8-4D49-ABC6-32046E6AE87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U14"/>
  <sheetViews>
    <sheetView workbookViewId="0"/>
  </sheetViews>
  <sheetFormatPr defaultRowHeight="18.75" x14ac:dyDescent="0.4"/>
  <cols>
    <col min="1" max="1" width="9" style="37"/>
  </cols>
  <sheetData>
    <row r="1" spans="1:21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H1" s="37">
        <v>7</v>
      </c>
      <c r="I1" s="37">
        <v>8</v>
      </c>
      <c r="J1" s="37">
        <v>9</v>
      </c>
      <c r="K1" s="37">
        <v>10</v>
      </c>
      <c r="L1" s="37">
        <v>11</v>
      </c>
      <c r="M1" s="37">
        <v>12</v>
      </c>
      <c r="N1" s="37">
        <v>13</v>
      </c>
      <c r="O1" s="37">
        <v>14</v>
      </c>
      <c r="P1" s="37">
        <v>15</v>
      </c>
      <c r="Q1" s="37">
        <v>16</v>
      </c>
      <c r="R1" s="37">
        <v>17</v>
      </c>
      <c r="S1" s="37">
        <v>18</v>
      </c>
      <c r="T1" s="37">
        <v>19</v>
      </c>
      <c r="U1" s="37">
        <v>20</v>
      </c>
    </row>
    <row r="2" spans="1:21" x14ac:dyDescent="0.4">
      <c r="A2" s="37">
        <v>20</v>
      </c>
      <c r="D2">
        <v>3900</v>
      </c>
      <c r="E2">
        <v>7700</v>
      </c>
      <c r="F2">
        <v>12000</v>
      </c>
      <c r="G2">
        <v>18000</v>
      </c>
      <c r="H2">
        <v>18000</v>
      </c>
      <c r="I2">
        <v>24000</v>
      </c>
      <c r="J2">
        <v>24000</v>
      </c>
      <c r="K2">
        <v>24000</v>
      </c>
      <c r="L2">
        <v>36000</v>
      </c>
      <c r="M2">
        <v>36000</v>
      </c>
      <c r="N2">
        <v>48000</v>
      </c>
      <c r="O2">
        <v>48000</v>
      </c>
      <c r="P2">
        <v>48000</v>
      </c>
      <c r="Q2">
        <v>48000</v>
      </c>
      <c r="R2">
        <v>48000</v>
      </c>
      <c r="S2">
        <v>48000</v>
      </c>
      <c r="T2">
        <v>48000</v>
      </c>
      <c r="U2">
        <v>48000</v>
      </c>
    </row>
    <row r="3" spans="1:21" x14ac:dyDescent="0.4">
      <c r="A3" s="37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18000</v>
      </c>
      <c r="I3">
        <v>24000</v>
      </c>
      <c r="J3">
        <v>24000</v>
      </c>
      <c r="K3">
        <v>24000</v>
      </c>
      <c r="L3">
        <v>36000</v>
      </c>
      <c r="M3">
        <v>36000</v>
      </c>
      <c r="N3">
        <v>48000</v>
      </c>
      <c r="O3">
        <v>48000</v>
      </c>
      <c r="P3">
        <v>48000</v>
      </c>
      <c r="Q3">
        <v>48000</v>
      </c>
      <c r="R3">
        <v>48000</v>
      </c>
      <c r="S3">
        <v>48000</v>
      </c>
      <c r="T3">
        <v>48000</v>
      </c>
      <c r="U3">
        <v>48000</v>
      </c>
    </row>
    <row r="4" spans="1:21" x14ac:dyDescent="0.4">
      <c r="A4" s="37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18000</v>
      </c>
      <c r="I4">
        <v>24000</v>
      </c>
      <c r="J4">
        <v>24000</v>
      </c>
      <c r="K4">
        <v>24000</v>
      </c>
      <c r="L4">
        <v>36000</v>
      </c>
      <c r="M4">
        <v>36000</v>
      </c>
      <c r="N4">
        <v>48000</v>
      </c>
      <c r="O4">
        <v>48000</v>
      </c>
      <c r="P4">
        <v>48000</v>
      </c>
      <c r="Q4">
        <v>48000</v>
      </c>
      <c r="R4">
        <v>48000</v>
      </c>
      <c r="S4">
        <v>48000</v>
      </c>
      <c r="T4">
        <v>48000</v>
      </c>
      <c r="U4">
        <v>48000</v>
      </c>
    </row>
    <row r="5" spans="1:21" x14ac:dyDescent="0.4">
      <c r="A5" s="37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18000</v>
      </c>
      <c r="I5">
        <v>24000</v>
      </c>
      <c r="J5">
        <v>24000</v>
      </c>
      <c r="K5">
        <v>24000</v>
      </c>
      <c r="L5">
        <v>36000</v>
      </c>
      <c r="M5">
        <v>36000</v>
      </c>
      <c r="N5">
        <v>48000</v>
      </c>
      <c r="O5">
        <v>48000</v>
      </c>
      <c r="P5">
        <v>48000</v>
      </c>
      <c r="Q5">
        <v>48000</v>
      </c>
      <c r="R5">
        <v>48000</v>
      </c>
      <c r="S5">
        <v>48000</v>
      </c>
      <c r="T5">
        <v>48000</v>
      </c>
      <c r="U5">
        <v>48000</v>
      </c>
    </row>
    <row r="6" spans="1:21" x14ac:dyDescent="0.4">
      <c r="A6" s="37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18000</v>
      </c>
      <c r="I6">
        <v>24000</v>
      </c>
      <c r="J6">
        <v>24000</v>
      </c>
      <c r="K6">
        <v>24000</v>
      </c>
      <c r="L6">
        <v>36000</v>
      </c>
      <c r="M6">
        <v>36000</v>
      </c>
      <c r="N6">
        <v>48000</v>
      </c>
      <c r="O6">
        <v>48000</v>
      </c>
      <c r="P6">
        <v>48000</v>
      </c>
      <c r="Q6">
        <v>48000</v>
      </c>
      <c r="R6">
        <v>48000</v>
      </c>
      <c r="S6">
        <v>48000</v>
      </c>
      <c r="T6">
        <v>48000</v>
      </c>
      <c r="U6">
        <v>48000</v>
      </c>
    </row>
    <row r="7" spans="1:21" x14ac:dyDescent="0.4">
      <c r="A7" s="37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18000</v>
      </c>
      <c r="I7">
        <v>24000</v>
      </c>
      <c r="J7">
        <v>24000</v>
      </c>
      <c r="K7">
        <v>24000</v>
      </c>
      <c r="L7">
        <v>36000</v>
      </c>
      <c r="M7">
        <v>36000</v>
      </c>
      <c r="N7">
        <v>48000</v>
      </c>
      <c r="O7">
        <v>48000</v>
      </c>
      <c r="P7">
        <v>48000</v>
      </c>
      <c r="Q7">
        <v>48000</v>
      </c>
      <c r="R7">
        <v>48000</v>
      </c>
      <c r="S7">
        <v>48000</v>
      </c>
      <c r="T7">
        <v>48000</v>
      </c>
      <c r="U7">
        <v>48000</v>
      </c>
    </row>
    <row r="8" spans="1:21" x14ac:dyDescent="0.4">
      <c r="A8" s="37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18000</v>
      </c>
      <c r="I8">
        <v>24000</v>
      </c>
      <c r="J8">
        <v>24000</v>
      </c>
      <c r="K8">
        <v>24000</v>
      </c>
      <c r="L8">
        <v>36000</v>
      </c>
      <c r="M8">
        <v>36000</v>
      </c>
      <c r="N8">
        <v>48000</v>
      </c>
      <c r="O8">
        <v>48000</v>
      </c>
      <c r="P8">
        <v>48000</v>
      </c>
      <c r="Q8">
        <v>48000</v>
      </c>
      <c r="R8">
        <v>48000</v>
      </c>
      <c r="S8">
        <v>48000</v>
      </c>
      <c r="T8">
        <v>48000</v>
      </c>
      <c r="U8">
        <v>48000</v>
      </c>
    </row>
    <row r="9" spans="1:21" x14ac:dyDescent="0.4">
      <c r="A9" s="37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18000</v>
      </c>
      <c r="I9">
        <v>24000</v>
      </c>
      <c r="J9">
        <v>24000</v>
      </c>
      <c r="K9">
        <v>24000</v>
      </c>
      <c r="L9">
        <v>36000</v>
      </c>
      <c r="M9">
        <v>36000</v>
      </c>
      <c r="N9">
        <v>48000</v>
      </c>
      <c r="O9">
        <v>48000</v>
      </c>
      <c r="P9">
        <v>48000</v>
      </c>
      <c r="Q9">
        <v>48000</v>
      </c>
      <c r="R9">
        <v>48000</v>
      </c>
      <c r="S9">
        <v>48000</v>
      </c>
      <c r="T9">
        <v>48000</v>
      </c>
      <c r="U9">
        <v>48000</v>
      </c>
    </row>
    <row r="10" spans="1:21" x14ac:dyDescent="0.4">
      <c r="A10" s="37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18000</v>
      </c>
      <c r="I10">
        <v>24000</v>
      </c>
      <c r="J10">
        <v>24000</v>
      </c>
      <c r="K10">
        <v>24000</v>
      </c>
      <c r="L10">
        <v>36000</v>
      </c>
      <c r="M10">
        <v>36000</v>
      </c>
      <c r="N10">
        <v>48000</v>
      </c>
      <c r="O10">
        <v>48000</v>
      </c>
      <c r="P10">
        <v>48000</v>
      </c>
      <c r="Q10">
        <v>48000</v>
      </c>
      <c r="R10">
        <v>48000</v>
      </c>
      <c r="S10">
        <v>48000</v>
      </c>
      <c r="T10">
        <v>48000</v>
      </c>
      <c r="U10">
        <v>48000</v>
      </c>
    </row>
    <row r="11" spans="1:21" x14ac:dyDescent="0.4">
      <c r="A11" s="37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18000</v>
      </c>
      <c r="I11">
        <v>24000</v>
      </c>
      <c r="J11">
        <v>24000</v>
      </c>
      <c r="K11">
        <v>24000</v>
      </c>
      <c r="L11">
        <v>36000</v>
      </c>
      <c r="M11">
        <v>36000</v>
      </c>
      <c r="N11">
        <v>48000</v>
      </c>
      <c r="O11">
        <v>48000</v>
      </c>
      <c r="P11">
        <v>48000</v>
      </c>
      <c r="Q11">
        <v>48000</v>
      </c>
      <c r="R11">
        <v>48000</v>
      </c>
      <c r="S11">
        <v>48000</v>
      </c>
      <c r="T11">
        <v>48000</v>
      </c>
      <c r="U11">
        <v>48000</v>
      </c>
    </row>
    <row r="12" spans="1:21" x14ac:dyDescent="0.4">
      <c r="A12" s="37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18000</v>
      </c>
      <c r="I12">
        <v>24000</v>
      </c>
      <c r="J12">
        <v>24000</v>
      </c>
      <c r="K12">
        <v>24000</v>
      </c>
      <c r="L12">
        <v>36000</v>
      </c>
      <c r="M12">
        <v>36000</v>
      </c>
      <c r="N12">
        <v>48000</v>
      </c>
      <c r="O12">
        <v>48000</v>
      </c>
      <c r="P12">
        <v>48000</v>
      </c>
      <c r="Q12">
        <v>48000</v>
      </c>
      <c r="R12">
        <v>48000</v>
      </c>
      <c r="S12">
        <v>48000</v>
      </c>
      <c r="T12">
        <v>48000</v>
      </c>
      <c r="U12">
        <v>48000</v>
      </c>
    </row>
    <row r="14" spans="1:21" x14ac:dyDescent="0.4"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U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21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H1" s="37">
        <v>7</v>
      </c>
      <c r="I1" s="37">
        <v>8</v>
      </c>
      <c r="J1" s="37">
        <v>9</v>
      </c>
      <c r="K1" s="37">
        <v>10</v>
      </c>
      <c r="L1" s="37">
        <v>11</v>
      </c>
      <c r="M1" s="37">
        <v>12</v>
      </c>
      <c r="N1" s="37">
        <v>13</v>
      </c>
      <c r="O1" s="37">
        <v>14</v>
      </c>
      <c r="P1" s="37">
        <v>15</v>
      </c>
      <c r="Q1" s="37">
        <v>16</v>
      </c>
      <c r="R1" s="37">
        <v>17</v>
      </c>
      <c r="S1" s="37">
        <v>18</v>
      </c>
      <c r="T1" s="37">
        <v>19</v>
      </c>
      <c r="U1" s="37">
        <v>20</v>
      </c>
    </row>
    <row r="2" spans="1:21" x14ac:dyDescent="0.4">
      <c r="A2" s="37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18000</v>
      </c>
      <c r="I2">
        <f>IF('点数表(子→親)'!I2="","",'点数表(子→親)'!I2*2)</f>
        <v>24000</v>
      </c>
      <c r="J2">
        <f>IF('点数表(子→親)'!J2="","",'点数表(子→親)'!J2*2)</f>
        <v>24000</v>
      </c>
      <c r="K2">
        <f>IF('点数表(子→親)'!K2="","",'点数表(子→親)'!K2*2)</f>
        <v>24000</v>
      </c>
      <c r="L2">
        <f>IF('点数表(子→親)'!L2="","",'点数表(子→親)'!L2*2)</f>
        <v>36000</v>
      </c>
      <c r="M2">
        <f>IF('点数表(子→親)'!M2="","",'点数表(子→親)'!M2*2)</f>
        <v>36000</v>
      </c>
      <c r="N2">
        <f>IF('点数表(子→親)'!N2="","",'点数表(子→親)'!N2*2)</f>
        <v>48000</v>
      </c>
      <c r="O2">
        <f>IF('点数表(子→親)'!O2="","",'点数表(子→親)'!O2*2)</f>
        <v>48000</v>
      </c>
      <c r="P2">
        <f>IF('点数表(子→親)'!P2="","",'点数表(子→親)'!P2*2)</f>
        <v>48000</v>
      </c>
      <c r="Q2">
        <f>IF('点数表(子→親)'!Q2="","",'点数表(子→親)'!Q2*2)</f>
        <v>48000</v>
      </c>
      <c r="R2">
        <f>IF('点数表(子→親)'!R2="","",'点数表(子→親)'!R2*2)</f>
        <v>48000</v>
      </c>
      <c r="S2">
        <f>IF('点数表(子→親)'!S2="","",'点数表(子→親)'!S2*2)</f>
        <v>48000</v>
      </c>
      <c r="T2">
        <f>IF('点数表(子→親)'!T2="","",'点数表(子→親)'!T2*2)</f>
        <v>48000</v>
      </c>
      <c r="U2">
        <f>IF('点数表(子→親)'!U2="","",'点数表(子→親)'!U2*2)</f>
        <v>48000</v>
      </c>
    </row>
    <row r="3" spans="1:21" x14ac:dyDescent="0.4">
      <c r="A3" s="37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18000</v>
      </c>
      <c r="I3">
        <f>IF('点数表(子→親)'!I3="","",'点数表(子→親)'!I3*2)</f>
        <v>24000</v>
      </c>
      <c r="J3">
        <f>IF('点数表(子→親)'!J3="","",'点数表(子→親)'!J3*2)</f>
        <v>24000</v>
      </c>
      <c r="K3">
        <f>IF('点数表(子→親)'!K3="","",'点数表(子→親)'!K3*2)</f>
        <v>24000</v>
      </c>
      <c r="L3">
        <f>IF('点数表(子→親)'!L3="","",'点数表(子→親)'!L3*2)</f>
        <v>36000</v>
      </c>
      <c r="M3">
        <f>IF('点数表(子→親)'!M3="","",'点数表(子→親)'!M3*2)</f>
        <v>36000</v>
      </c>
      <c r="N3">
        <f>IF('点数表(子→親)'!N3="","",'点数表(子→親)'!N3*2)</f>
        <v>48000</v>
      </c>
      <c r="O3">
        <f>IF('点数表(子→親)'!O3="","",'点数表(子→親)'!O3*2)</f>
        <v>48000</v>
      </c>
      <c r="P3">
        <f>IF('点数表(子→親)'!P3="","",'点数表(子→親)'!P3*2)</f>
        <v>48000</v>
      </c>
      <c r="Q3">
        <f>IF('点数表(子→親)'!Q3="","",'点数表(子→親)'!Q3*2)</f>
        <v>48000</v>
      </c>
      <c r="R3">
        <f>IF('点数表(子→親)'!R3="","",'点数表(子→親)'!R3*2)</f>
        <v>48000</v>
      </c>
      <c r="S3">
        <f>IF('点数表(子→親)'!S3="","",'点数表(子→親)'!S3*2)</f>
        <v>48000</v>
      </c>
      <c r="T3">
        <f>IF('点数表(子→親)'!T3="","",'点数表(子→親)'!T3*2)</f>
        <v>48000</v>
      </c>
      <c r="U3">
        <f>IF('点数表(子→親)'!U3="","",'点数表(子→親)'!U3*2)</f>
        <v>48000</v>
      </c>
    </row>
    <row r="4" spans="1:21" x14ac:dyDescent="0.4">
      <c r="A4" s="37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18000</v>
      </c>
      <c r="I4">
        <f>IF('点数表(子→親)'!I4="","",'点数表(子→親)'!I4*2)</f>
        <v>24000</v>
      </c>
      <c r="J4">
        <f>IF('点数表(子→親)'!J4="","",'点数表(子→親)'!J4*2)</f>
        <v>24000</v>
      </c>
      <c r="K4">
        <f>IF('点数表(子→親)'!K4="","",'点数表(子→親)'!K4*2)</f>
        <v>24000</v>
      </c>
      <c r="L4">
        <f>IF('点数表(子→親)'!L4="","",'点数表(子→親)'!L4*2)</f>
        <v>36000</v>
      </c>
      <c r="M4">
        <f>IF('点数表(子→親)'!M4="","",'点数表(子→親)'!M4*2)</f>
        <v>36000</v>
      </c>
      <c r="N4">
        <f>IF('点数表(子→親)'!N4="","",'点数表(子→親)'!N4*2)</f>
        <v>48000</v>
      </c>
      <c r="O4">
        <f>IF('点数表(子→親)'!O4="","",'点数表(子→親)'!O4*2)</f>
        <v>48000</v>
      </c>
      <c r="P4">
        <f>IF('点数表(子→親)'!P4="","",'点数表(子→親)'!P4*2)</f>
        <v>48000</v>
      </c>
      <c r="Q4">
        <f>IF('点数表(子→親)'!Q4="","",'点数表(子→親)'!Q4*2)</f>
        <v>48000</v>
      </c>
      <c r="R4">
        <f>IF('点数表(子→親)'!R4="","",'点数表(子→親)'!R4*2)</f>
        <v>48000</v>
      </c>
      <c r="S4">
        <f>IF('点数表(子→親)'!S4="","",'点数表(子→親)'!S4*2)</f>
        <v>48000</v>
      </c>
      <c r="T4">
        <f>IF('点数表(子→親)'!T4="","",'点数表(子→親)'!T4*2)</f>
        <v>48000</v>
      </c>
      <c r="U4">
        <f>IF('点数表(子→親)'!U4="","",'点数表(子→親)'!U4*2)</f>
        <v>48000</v>
      </c>
    </row>
    <row r="5" spans="1:21" x14ac:dyDescent="0.4">
      <c r="A5" s="37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18000</v>
      </c>
      <c r="I5">
        <f>IF('点数表(子→親)'!I5="","",'点数表(子→親)'!I5*2)</f>
        <v>24000</v>
      </c>
      <c r="J5">
        <f>IF('点数表(子→親)'!J5="","",'点数表(子→親)'!J5*2)</f>
        <v>24000</v>
      </c>
      <c r="K5">
        <f>IF('点数表(子→親)'!K5="","",'点数表(子→親)'!K5*2)</f>
        <v>24000</v>
      </c>
      <c r="L5">
        <f>IF('点数表(子→親)'!L5="","",'点数表(子→親)'!L5*2)</f>
        <v>36000</v>
      </c>
      <c r="M5">
        <f>IF('点数表(子→親)'!M5="","",'点数表(子→親)'!M5*2)</f>
        <v>36000</v>
      </c>
      <c r="N5">
        <f>IF('点数表(子→親)'!N5="","",'点数表(子→親)'!N5*2)</f>
        <v>48000</v>
      </c>
      <c r="O5">
        <f>IF('点数表(子→親)'!O5="","",'点数表(子→親)'!O5*2)</f>
        <v>48000</v>
      </c>
      <c r="P5">
        <f>IF('点数表(子→親)'!P5="","",'点数表(子→親)'!P5*2)</f>
        <v>48000</v>
      </c>
      <c r="Q5">
        <f>IF('点数表(子→親)'!Q5="","",'点数表(子→親)'!Q5*2)</f>
        <v>48000</v>
      </c>
      <c r="R5">
        <f>IF('点数表(子→親)'!R5="","",'点数表(子→親)'!R5*2)</f>
        <v>48000</v>
      </c>
      <c r="S5">
        <f>IF('点数表(子→親)'!S5="","",'点数表(子→親)'!S5*2)</f>
        <v>48000</v>
      </c>
      <c r="T5">
        <f>IF('点数表(子→親)'!T5="","",'点数表(子→親)'!T5*2)</f>
        <v>48000</v>
      </c>
      <c r="U5">
        <f>IF('点数表(子→親)'!U5="","",'点数表(子→親)'!U5*2)</f>
        <v>48000</v>
      </c>
    </row>
    <row r="6" spans="1:21" x14ac:dyDescent="0.4">
      <c r="A6" s="37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18000</v>
      </c>
      <c r="I6">
        <f>IF('点数表(子→親)'!I6="","",'点数表(子→親)'!I6*2)</f>
        <v>24000</v>
      </c>
      <c r="J6">
        <f>IF('点数表(子→親)'!J6="","",'点数表(子→親)'!J6*2)</f>
        <v>24000</v>
      </c>
      <c r="K6">
        <f>IF('点数表(子→親)'!K6="","",'点数表(子→親)'!K6*2)</f>
        <v>24000</v>
      </c>
      <c r="L6">
        <f>IF('点数表(子→親)'!L6="","",'点数表(子→親)'!L6*2)</f>
        <v>36000</v>
      </c>
      <c r="M6">
        <f>IF('点数表(子→親)'!M6="","",'点数表(子→親)'!M6*2)</f>
        <v>36000</v>
      </c>
      <c r="N6">
        <f>IF('点数表(子→親)'!N6="","",'点数表(子→親)'!N6*2)</f>
        <v>48000</v>
      </c>
      <c r="O6">
        <f>IF('点数表(子→親)'!O6="","",'点数表(子→親)'!O6*2)</f>
        <v>48000</v>
      </c>
      <c r="P6">
        <f>IF('点数表(子→親)'!P6="","",'点数表(子→親)'!P6*2)</f>
        <v>48000</v>
      </c>
      <c r="Q6">
        <f>IF('点数表(子→親)'!Q6="","",'点数表(子→親)'!Q6*2)</f>
        <v>48000</v>
      </c>
      <c r="R6">
        <f>IF('点数表(子→親)'!R6="","",'点数表(子→親)'!R6*2)</f>
        <v>48000</v>
      </c>
      <c r="S6">
        <f>IF('点数表(子→親)'!S6="","",'点数表(子→親)'!S6*2)</f>
        <v>48000</v>
      </c>
      <c r="T6">
        <f>IF('点数表(子→親)'!T6="","",'点数表(子→親)'!T6*2)</f>
        <v>48000</v>
      </c>
      <c r="U6">
        <f>IF('点数表(子→親)'!U6="","",'点数表(子→親)'!U6*2)</f>
        <v>48000</v>
      </c>
    </row>
    <row r="7" spans="1:21" x14ac:dyDescent="0.4">
      <c r="A7" s="37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18000</v>
      </c>
      <c r="I7">
        <f>IF('点数表(子→親)'!I7="","",'点数表(子→親)'!I7*2)</f>
        <v>24000</v>
      </c>
      <c r="J7">
        <f>IF('点数表(子→親)'!J7="","",'点数表(子→親)'!J7*2)</f>
        <v>24000</v>
      </c>
      <c r="K7">
        <f>IF('点数表(子→親)'!K7="","",'点数表(子→親)'!K7*2)</f>
        <v>24000</v>
      </c>
      <c r="L7">
        <f>IF('点数表(子→親)'!L7="","",'点数表(子→親)'!L7*2)</f>
        <v>36000</v>
      </c>
      <c r="M7">
        <f>IF('点数表(子→親)'!M7="","",'点数表(子→親)'!M7*2)</f>
        <v>36000</v>
      </c>
      <c r="N7">
        <f>IF('点数表(子→親)'!N7="","",'点数表(子→親)'!N7*2)</f>
        <v>48000</v>
      </c>
      <c r="O7">
        <f>IF('点数表(子→親)'!O7="","",'点数表(子→親)'!O7*2)</f>
        <v>48000</v>
      </c>
      <c r="P7">
        <f>IF('点数表(子→親)'!P7="","",'点数表(子→親)'!P7*2)</f>
        <v>48000</v>
      </c>
      <c r="Q7">
        <f>IF('点数表(子→親)'!Q7="","",'点数表(子→親)'!Q7*2)</f>
        <v>48000</v>
      </c>
      <c r="R7">
        <f>IF('点数表(子→親)'!R7="","",'点数表(子→親)'!R7*2)</f>
        <v>48000</v>
      </c>
      <c r="S7">
        <f>IF('点数表(子→親)'!S7="","",'点数表(子→親)'!S7*2)</f>
        <v>48000</v>
      </c>
      <c r="T7">
        <f>IF('点数表(子→親)'!T7="","",'点数表(子→親)'!T7*2)</f>
        <v>48000</v>
      </c>
      <c r="U7">
        <f>IF('点数表(子→親)'!U7="","",'点数表(子→親)'!U7*2)</f>
        <v>48000</v>
      </c>
    </row>
    <row r="8" spans="1:21" x14ac:dyDescent="0.4">
      <c r="A8" s="37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18000</v>
      </c>
      <c r="I8">
        <f>IF('点数表(子→親)'!I8="","",'点数表(子→親)'!I8*2)</f>
        <v>24000</v>
      </c>
      <c r="J8">
        <f>IF('点数表(子→親)'!J8="","",'点数表(子→親)'!J8*2)</f>
        <v>24000</v>
      </c>
      <c r="K8">
        <f>IF('点数表(子→親)'!K8="","",'点数表(子→親)'!K8*2)</f>
        <v>24000</v>
      </c>
      <c r="L8">
        <f>IF('点数表(子→親)'!L8="","",'点数表(子→親)'!L8*2)</f>
        <v>36000</v>
      </c>
      <c r="M8">
        <f>IF('点数表(子→親)'!M8="","",'点数表(子→親)'!M8*2)</f>
        <v>36000</v>
      </c>
      <c r="N8">
        <f>IF('点数表(子→親)'!N8="","",'点数表(子→親)'!N8*2)</f>
        <v>48000</v>
      </c>
      <c r="O8">
        <f>IF('点数表(子→親)'!O8="","",'点数表(子→親)'!O8*2)</f>
        <v>48000</v>
      </c>
      <c r="P8">
        <f>IF('点数表(子→親)'!P8="","",'点数表(子→親)'!P8*2)</f>
        <v>48000</v>
      </c>
      <c r="Q8">
        <f>IF('点数表(子→親)'!Q8="","",'点数表(子→親)'!Q8*2)</f>
        <v>48000</v>
      </c>
      <c r="R8">
        <f>IF('点数表(子→親)'!R8="","",'点数表(子→親)'!R8*2)</f>
        <v>48000</v>
      </c>
      <c r="S8">
        <f>IF('点数表(子→親)'!S8="","",'点数表(子→親)'!S8*2)</f>
        <v>48000</v>
      </c>
      <c r="T8">
        <f>IF('点数表(子→親)'!T8="","",'点数表(子→親)'!T8*2)</f>
        <v>48000</v>
      </c>
      <c r="U8">
        <f>IF('点数表(子→親)'!U8="","",'点数表(子→親)'!U8*2)</f>
        <v>48000</v>
      </c>
    </row>
    <row r="9" spans="1:21" x14ac:dyDescent="0.4">
      <c r="A9" s="37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18000</v>
      </c>
      <c r="I9">
        <f>IF('点数表(子→親)'!I9="","",'点数表(子→親)'!I9*2)</f>
        <v>24000</v>
      </c>
      <c r="J9">
        <f>IF('点数表(子→親)'!J9="","",'点数表(子→親)'!J9*2)</f>
        <v>24000</v>
      </c>
      <c r="K9">
        <f>IF('点数表(子→親)'!K9="","",'点数表(子→親)'!K9*2)</f>
        <v>24000</v>
      </c>
      <c r="L9">
        <f>IF('点数表(子→親)'!L9="","",'点数表(子→親)'!L9*2)</f>
        <v>36000</v>
      </c>
      <c r="M9">
        <f>IF('点数表(子→親)'!M9="","",'点数表(子→親)'!M9*2)</f>
        <v>36000</v>
      </c>
      <c r="N9">
        <f>IF('点数表(子→親)'!N9="","",'点数表(子→親)'!N9*2)</f>
        <v>48000</v>
      </c>
      <c r="O9">
        <f>IF('点数表(子→親)'!O9="","",'点数表(子→親)'!O9*2)</f>
        <v>48000</v>
      </c>
      <c r="P9">
        <f>IF('点数表(子→親)'!P9="","",'点数表(子→親)'!P9*2)</f>
        <v>48000</v>
      </c>
      <c r="Q9">
        <f>IF('点数表(子→親)'!Q9="","",'点数表(子→親)'!Q9*2)</f>
        <v>48000</v>
      </c>
      <c r="R9">
        <f>IF('点数表(子→親)'!R9="","",'点数表(子→親)'!R9*2)</f>
        <v>48000</v>
      </c>
      <c r="S9">
        <f>IF('点数表(子→親)'!S9="","",'点数表(子→親)'!S9*2)</f>
        <v>48000</v>
      </c>
      <c r="T9">
        <f>IF('点数表(子→親)'!T9="","",'点数表(子→親)'!T9*2)</f>
        <v>48000</v>
      </c>
      <c r="U9">
        <f>IF('点数表(子→親)'!U9="","",'点数表(子→親)'!U9*2)</f>
        <v>48000</v>
      </c>
    </row>
    <row r="10" spans="1:21" x14ac:dyDescent="0.4">
      <c r="A10" s="37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18000</v>
      </c>
      <c r="I10">
        <f>IF('点数表(子→親)'!I10="","",'点数表(子→親)'!I10*2)</f>
        <v>24000</v>
      </c>
      <c r="J10">
        <f>IF('点数表(子→親)'!J10="","",'点数表(子→親)'!J10*2)</f>
        <v>24000</v>
      </c>
      <c r="K10">
        <f>IF('点数表(子→親)'!K10="","",'点数表(子→親)'!K10*2)</f>
        <v>24000</v>
      </c>
      <c r="L10">
        <f>IF('点数表(子→親)'!L10="","",'点数表(子→親)'!L10*2)</f>
        <v>36000</v>
      </c>
      <c r="M10">
        <f>IF('点数表(子→親)'!M10="","",'点数表(子→親)'!M10*2)</f>
        <v>36000</v>
      </c>
      <c r="N10">
        <f>IF('点数表(子→親)'!N10="","",'点数表(子→親)'!N10*2)</f>
        <v>48000</v>
      </c>
      <c r="O10">
        <f>IF('点数表(子→親)'!O10="","",'点数表(子→親)'!O10*2)</f>
        <v>48000</v>
      </c>
      <c r="P10">
        <f>IF('点数表(子→親)'!P10="","",'点数表(子→親)'!P10*2)</f>
        <v>48000</v>
      </c>
      <c r="Q10">
        <f>IF('点数表(子→親)'!Q10="","",'点数表(子→親)'!Q10*2)</f>
        <v>48000</v>
      </c>
      <c r="R10">
        <f>IF('点数表(子→親)'!R10="","",'点数表(子→親)'!R10*2)</f>
        <v>48000</v>
      </c>
      <c r="S10">
        <f>IF('点数表(子→親)'!S10="","",'点数表(子→親)'!S10*2)</f>
        <v>48000</v>
      </c>
      <c r="T10">
        <f>IF('点数表(子→親)'!T10="","",'点数表(子→親)'!T10*2)</f>
        <v>48000</v>
      </c>
      <c r="U10">
        <f>IF('点数表(子→親)'!U10="","",'点数表(子→親)'!U10*2)</f>
        <v>48000</v>
      </c>
    </row>
    <row r="11" spans="1:21" x14ac:dyDescent="0.4">
      <c r="A11" s="37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18000</v>
      </c>
      <c r="I11">
        <f>IF('点数表(子→親)'!I11="","",'点数表(子→親)'!I11*2)</f>
        <v>24000</v>
      </c>
      <c r="J11">
        <f>IF('点数表(子→親)'!J11="","",'点数表(子→親)'!J11*2)</f>
        <v>24000</v>
      </c>
      <c r="K11">
        <f>IF('点数表(子→親)'!K11="","",'点数表(子→親)'!K11*2)</f>
        <v>24000</v>
      </c>
      <c r="L11">
        <f>IF('点数表(子→親)'!L11="","",'点数表(子→親)'!L11*2)</f>
        <v>36000</v>
      </c>
      <c r="M11">
        <f>IF('点数表(子→親)'!M11="","",'点数表(子→親)'!M11*2)</f>
        <v>36000</v>
      </c>
      <c r="N11">
        <f>IF('点数表(子→親)'!N11="","",'点数表(子→親)'!N11*2)</f>
        <v>48000</v>
      </c>
      <c r="O11">
        <f>IF('点数表(子→親)'!O11="","",'点数表(子→親)'!O11*2)</f>
        <v>48000</v>
      </c>
      <c r="P11">
        <f>IF('点数表(子→親)'!P11="","",'点数表(子→親)'!P11*2)</f>
        <v>48000</v>
      </c>
      <c r="Q11">
        <f>IF('点数表(子→親)'!Q11="","",'点数表(子→親)'!Q11*2)</f>
        <v>48000</v>
      </c>
      <c r="R11">
        <f>IF('点数表(子→親)'!R11="","",'点数表(子→親)'!R11*2)</f>
        <v>48000</v>
      </c>
      <c r="S11">
        <f>IF('点数表(子→親)'!S11="","",'点数表(子→親)'!S11*2)</f>
        <v>48000</v>
      </c>
      <c r="T11">
        <f>IF('点数表(子→親)'!T11="","",'点数表(子→親)'!T11*2)</f>
        <v>48000</v>
      </c>
      <c r="U11">
        <f>IF('点数表(子→親)'!U11="","",'点数表(子→親)'!U11*2)</f>
        <v>48000</v>
      </c>
    </row>
    <row r="12" spans="1:21" x14ac:dyDescent="0.4">
      <c r="A12" s="37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18000</v>
      </c>
      <c r="I12">
        <f>IF('点数表(子→親)'!I12="","",'点数表(子→親)'!I12*2)</f>
        <v>24000</v>
      </c>
      <c r="J12">
        <f>IF('点数表(子→親)'!J12="","",'点数表(子→親)'!J12*2)</f>
        <v>24000</v>
      </c>
      <c r="K12">
        <f>IF('点数表(子→親)'!K12="","",'点数表(子→親)'!K12*2)</f>
        <v>24000</v>
      </c>
      <c r="L12">
        <f>IF('点数表(子→親)'!L12="","",'点数表(子→親)'!L12*2)</f>
        <v>36000</v>
      </c>
      <c r="M12">
        <f>IF('点数表(子→親)'!M12="","",'点数表(子→親)'!M12*2)</f>
        <v>36000</v>
      </c>
      <c r="N12">
        <f>IF('点数表(子→親)'!N12="","",'点数表(子→親)'!N12*2)</f>
        <v>48000</v>
      </c>
      <c r="O12">
        <f>IF('点数表(子→親)'!O12="","",'点数表(子→親)'!O12*2)</f>
        <v>48000</v>
      </c>
      <c r="P12">
        <f>IF('点数表(子→親)'!P12="","",'点数表(子→親)'!P12*2)</f>
        <v>48000</v>
      </c>
      <c r="Q12">
        <f>IF('点数表(子→親)'!Q12="","",'点数表(子→親)'!Q12*2)</f>
        <v>48000</v>
      </c>
      <c r="R12">
        <f>IF('点数表(子→親)'!R12="","",'点数表(子→親)'!R12*2)</f>
        <v>48000</v>
      </c>
      <c r="S12">
        <f>IF('点数表(子→親)'!S12="","",'点数表(子→親)'!S12*2)</f>
        <v>48000</v>
      </c>
      <c r="T12">
        <f>IF('点数表(子→親)'!T12="","",'点数表(子→親)'!T12*2)</f>
        <v>48000</v>
      </c>
      <c r="U12">
        <f>IF('点数表(子→親)'!U12="","",'点数表(子→親)'!U12*2)</f>
        <v>48000</v>
      </c>
    </row>
    <row r="14" spans="1:21" x14ac:dyDescent="0.4"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U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2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H1" s="37">
        <v>7</v>
      </c>
      <c r="I1" s="37">
        <v>8</v>
      </c>
      <c r="J1" s="37">
        <v>9</v>
      </c>
      <c r="K1" s="37">
        <v>10</v>
      </c>
      <c r="L1" s="37">
        <v>11</v>
      </c>
      <c r="M1" s="37">
        <v>12</v>
      </c>
      <c r="N1" s="37">
        <v>13</v>
      </c>
      <c r="O1" s="37">
        <v>14</v>
      </c>
      <c r="P1" s="37">
        <v>15</v>
      </c>
      <c r="Q1" s="37">
        <v>16</v>
      </c>
      <c r="R1" s="37">
        <v>17</v>
      </c>
      <c r="S1" s="37">
        <v>18</v>
      </c>
      <c r="T1" s="37">
        <v>19</v>
      </c>
      <c r="U1" s="37">
        <v>20</v>
      </c>
    </row>
    <row r="2" spans="1:21" x14ac:dyDescent="0.4">
      <c r="A2" s="37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9000</v>
      </c>
      <c r="I2">
        <v>12000</v>
      </c>
      <c r="J2">
        <v>12000</v>
      </c>
      <c r="K2">
        <v>12000</v>
      </c>
      <c r="L2">
        <v>18000</v>
      </c>
      <c r="M2">
        <v>18000</v>
      </c>
      <c r="N2">
        <v>24000</v>
      </c>
      <c r="O2">
        <v>24000</v>
      </c>
      <c r="P2">
        <v>24000</v>
      </c>
      <c r="Q2">
        <v>24000</v>
      </c>
      <c r="R2">
        <v>24000</v>
      </c>
      <c r="S2">
        <v>24000</v>
      </c>
      <c r="T2">
        <v>24000</v>
      </c>
      <c r="U2">
        <v>24000</v>
      </c>
    </row>
    <row r="3" spans="1:21" x14ac:dyDescent="0.4">
      <c r="A3" s="37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9000</v>
      </c>
      <c r="I3">
        <v>12000</v>
      </c>
      <c r="J3">
        <v>12000</v>
      </c>
      <c r="K3">
        <v>12000</v>
      </c>
      <c r="L3">
        <v>18000</v>
      </c>
      <c r="M3">
        <v>18000</v>
      </c>
      <c r="N3">
        <v>24000</v>
      </c>
      <c r="O3">
        <v>24000</v>
      </c>
      <c r="P3">
        <v>24000</v>
      </c>
      <c r="Q3">
        <v>24000</v>
      </c>
      <c r="R3">
        <v>24000</v>
      </c>
      <c r="S3">
        <v>24000</v>
      </c>
      <c r="T3">
        <v>24000</v>
      </c>
      <c r="U3">
        <v>24000</v>
      </c>
    </row>
    <row r="4" spans="1:21" x14ac:dyDescent="0.4">
      <c r="A4" s="37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9000</v>
      </c>
      <c r="I4">
        <v>12000</v>
      </c>
      <c r="J4">
        <v>12000</v>
      </c>
      <c r="K4">
        <v>12000</v>
      </c>
      <c r="L4">
        <v>18000</v>
      </c>
      <c r="M4">
        <v>18000</v>
      </c>
      <c r="N4">
        <v>24000</v>
      </c>
      <c r="O4">
        <v>24000</v>
      </c>
      <c r="P4">
        <v>24000</v>
      </c>
      <c r="Q4">
        <v>24000</v>
      </c>
      <c r="R4">
        <v>24000</v>
      </c>
      <c r="S4">
        <v>24000</v>
      </c>
      <c r="T4">
        <v>24000</v>
      </c>
      <c r="U4">
        <v>24000</v>
      </c>
    </row>
    <row r="5" spans="1:21" x14ac:dyDescent="0.4">
      <c r="A5" s="37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9000</v>
      </c>
      <c r="I5">
        <v>12000</v>
      </c>
      <c r="J5">
        <v>12000</v>
      </c>
      <c r="K5">
        <v>12000</v>
      </c>
      <c r="L5">
        <v>18000</v>
      </c>
      <c r="M5">
        <v>18000</v>
      </c>
      <c r="N5">
        <v>24000</v>
      </c>
      <c r="O5">
        <v>24000</v>
      </c>
      <c r="P5">
        <v>24000</v>
      </c>
      <c r="Q5">
        <v>24000</v>
      </c>
      <c r="R5">
        <v>24000</v>
      </c>
      <c r="S5">
        <v>24000</v>
      </c>
      <c r="T5">
        <v>24000</v>
      </c>
      <c r="U5">
        <v>24000</v>
      </c>
    </row>
    <row r="6" spans="1:21" x14ac:dyDescent="0.4">
      <c r="A6" s="37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9000</v>
      </c>
      <c r="I6">
        <v>12000</v>
      </c>
      <c r="J6">
        <v>12000</v>
      </c>
      <c r="K6">
        <v>12000</v>
      </c>
      <c r="L6">
        <v>18000</v>
      </c>
      <c r="M6">
        <v>18000</v>
      </c>
      <c r="N6">
        <v>24000</v>
      </c>
      <c r="O6">
        <v>24000</v>
      </c>
      <c r="P6">
        <v>24000</v>
      </c>
      <c r="Q6">
        <v>24000</v>
      </c>
      <c r="R6">
        <v>24000</v>
      </c>
      <c r="S6">
        <v>24000</v>
      </c>
      <c r="T6">
        <v>24000</v>
      </c>
      <c r="U6">
        <v>24000</v>
      </c>
    </row>
    <row r="7" spans="1:21" x14ac:dyDescent="0.4">
      <c r="A7" s="37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9000</v>
      </c>
      <c r="I7">
        <v>12000</v>
      </c>
      <c r="J7">
        <v>12000</v>
      </c>
      <c r="K7">
        <v>12000</v>
      </c>
      <c r="L7">
        <v>18000</v>
      </c>
      <c r="M7">
        <v>18000</v>
      </c>
      <c r="N7">
        <v>24000</v>
      </c>
      <c r="O7">
        <v>24000</v>
      </c>
      <c r="P7">
        <v>24000</v>
      </c>
      <c r="Q7">
        <v>24000</v>
      </c>
      <c r="R7">
        <v>24000</v>
      </c>
      <c r="S7">
        <v>24000</v>
      </c>
      <c r="T7">
        <v>24000</v>
      </c>
      <c r="U7">
        <v>24000</v>
      </c>
    </row>
    <row r="8" spans="1:21" x14ac:dyDescent="0.4">
      <c r="A8" s="37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9000</v>
      </c>
      <c r="I8">
        <v>12000</v>
      </c>
      <c r="J8">
        <v>12000</v>
      </c>
      <c r="K8">
        <v>12000</v>
      </c>
      <c r="L8">
        <v>18000</v>
      </c>
      <c r="M8">
        <v>18000</v>
      </c>
      <c r="N8">
        <v>24000</v>
      </c>
      <c r="O8">
        <v>24000</v>
      </c>
      <c r="P8">
        <v>24000</v>
      </c>
      <c r="Q8">
        <v>24000</v>
      </c>
      <c r="R8">
        <v>24000</v>
      </c>
      <c r="S8">
        <v>24000</v>
      </c>
      <c r="T8">
        <v>24000</v>
      </c>
      <c r="U8">
        <v>24000</v>
      </c>
    </row>
    <row r="9" spans="1:21" x14ac:dyDescent="0.4">
      <c r="A9" s="37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9000</v>
      </c>
      <c r="I9">
        <v>12000</v>
      </c>
      <c r="J9">
        <v>12000</v>
      </c>
      <c r="K9">
        <v>12000</v>
      </c>
      <c r="L9">
        <v>18000</v>
      </c>
      <c r="M9">
        <v>18000</v>
      </c>
      <c r="N9">
        <v>24000</v>
      </c>
      <c r="O9">
        <v>24000</v>
      </c>
      <c r="P9">
        <v>24000</v>
      </c>
      <c r="Q9">
        <v>24000</v>
      </c>
      <c r="R9">
        <v>24000</v>
      </c>
      <c r="S9">
        <v>24000</v>
      </c>
      <c r="T9">
        <v>24000</v>
      </c>
      <c r="U9">
        <v>24000</v>
      </c>
    </row>
    <row r="10" spans="1:21" x14ac:dyDescent="0.4">
      <c r="A10" s="37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9000</v>
      </c>
      <c r="I10">
        <v>12000</v>
      </c>
      <c r="J10">
        <v>12000</v>
      </c>
      <c r="K10">
        <v>12000</v>
      </c>
      <c r="L10">
        <v>18000</v>
      </c>
      <c r="M10">
        <v>18000</v>
      </c>
      <c r="N10">
        <v>24000</v>
      </c>
      <c r="O10">
        <v>24000</v>
      </c>
      <c r="P10">
        <v>24000</v>
      </c>
      <c r="Q10">
        <v>24000</v>
      </c>
      <c r="R10">
        <v>24000</v>
      </c>
      <c r="S10">
        <v>24000</v>
      </c>
      <c r="T10">
        <v>24000</v>
      </c>
      <c r="U10">
        <v>24000</v>
      </c>
    </row>
    <row r="11" spans="1:21" x14ac:dyDescent="0.4">
      <c r="A11" s="37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9000</v>
      </c>
      <c r="I11">
        <v>12000</v>
      </c>
      <c r="J11">
        <v>12000</v>
      </c>
      <c r="K11">
        <v>12000</v>
      </c>
      <c r="L11">
        <v>18000</v>
      </c>
      <c r="M11">
        <v>18000</v>
      </c>
      <c r="N11">
        <v>24000</v>
      </c>
      <c r="O11">
        <v>24000</v>
      </c>
      <c r="P11">
        <v>24000</v>
      </c>
      <c r="Q11">
        <v>24000</v>
      </c>
      <c r="R11">
        <v>24000</v>
      </c>
      <c r="S11">
        <v>24000</v>
      </c>
      <c r="T11">
        <v>24000</v>
      </c>
      <c r="U11">
        <v>24000</v>
      </c>
    </row>
    <row r="12" spans="1:21" x14ac:dyDescent="0.4">
      <c r="A12" s="37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9000</v>
      </c>
      <c r="I12">
        <v>12000</v>
      </c>
      <c r="J12">
        <v>12000</v>
      </c>
      <c r="K12">
        <v>12000</v>
      </c>
      <c r="L12">
        <v>18000</v>
      </c>
      <c r="M12">
        <v>18000</v>
      </c>
      <c r="N12">
        <v>24000</v>
      </c>
      <c r="O12">
        <v>24000</v>
      </c>
      <c r="P12">
        <v>24000</v>
      </c>
      <c r="Q12">
        <v>24000</v>
      </c>
      <c r="R12">
        <v>24000</v>
      </c>
      <c r="S12">
        <v>24000</v>
      </c>
      <c r="T12">
        <v>24000</v>
      </c>
      <c r="U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U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21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H1" s="37">
        <v>7</v>
      </c>
      <c r="I1" s="37">
        <v>8</v>
      </c>
      <c r="J1" s="37">
        <v>9</v>
      </c>
      <c r="K1" s="37">
        <v>10</v>
      </c>
      <c r="L1" s="37">
        <v>11</v>
      </c>
      <c r="M1" s="37">
        <v>12</v>
      </c>
      <c r="N1" s="37">
        <v>13</v>
      </c>
      <c r="O1" s="37">
        <v>14</v>
      </c>
      <c r="P1" s="37">
        <v>15</v>
      </c>
      <c r="Q1" s="37">
        <v>16</v>
      </c>
      <c r="R1" s="37">
        <v>17</v>
      </c>
      <c r="S1" s="37">
        <v>18</v>
      </c>
      <c r="T1" s="37">
        <v>19</v>
      </c>
      <c r="U1" s="37">
        <v>20</v>
      </c>
    </row>
    <row r="2" spans="1:21" x14ac:dyDescent="0.4">
      <c r="A2" s="37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12000</v>
      </c>
      <c r="I2">
        <v>16000</v>
      </c>
      <c r="J2">
        <v>16000</v>
      </c>
      <c r="K2">
        <v>16000</v>
      </c>
      <c r="L2">
        <v>24000</v>
      </c>
      <c r="M2">
        <v>24000</v>
      </c>
      <c r="N2">
        <v>32000</v>
      </c>
      <c r="O2">
        <v>32000</v>
      </c>
      <c r="P2">
        <v>32000</v>
      </c>
      <c r="Q2">
        <v>32000</v>
      </c>
      <c r="R2">
        <v>32000</v>
      </c>
      <c r="S2">
        <v>32000</v>
      </c>
      <c r="T2">
        <v>32000</v>
      </c>
      <c r="U2">
        <v>32000</v>
      </c>
    </row>
    <row r="3" spans="1:21" x14ac:dyDescent="0.4">
      <c r="A3" s="37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12000</v>
      </c>
      <c r="I3">
        <v>16000</v>
      </c>
      <c r="J3">
        <v>16000</v>
      </c>
      <c r="K3">
        <v>16000</v>
      </c>
      <c r="L3">
        <v>24000</v>
      </c>
      <c r="M3">
        <v>24000</v>
      </c>
      <c r="N3">
        <v>32000</v>
      </c>
      <c r="O3">
        <v>32000</v>
      </c>
      <c r="P3">
        <v>32000</v>
      </c>
      <c r="Q3">
        <v>32000</v>
      </c>
      <c r="R3">
        <v>32000</v>
      </c>
      <c r="S3">
        <v>32000</v>
      </c>
      <c r="T3">
        <v>32000</v>
      </c>
      <c r="U3">
        <v>32000</v>
      </c>
    </row>
    <row r="4" spans="1:21" x14ac:dyDescent="0.4">
      <c r="A4" s="37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12000</v>
      </c>
      <c r="I4">
        <v>16000</v>
      </c>
      <c r="J4">
        <v>16000</v>
      </c>
      <c r="K4">
        <v>16000</v>
      </c>
      <c r="L4">
        <v>24000</v>
      </c>
      <c r="M4">
        <v>24000</v>
      </c>
      <c r="N4">
        <v>32000</v>
      </c>
      <c r="O4">
        <v>32000</v>
      </c>
      <c r="P4">
        <v>32000</v>
      </c>
      <c r="Q4">
        <v>32000</v>
      </c>
      <c r="R4">
        <v>32000</v>
      </c>
      <c r="S4">
        <v>32000</v>
      </c>
      <c r="T4">
        <v>32000</v>
      </c>
      <c r="U4">
        <v>32000</v>
      </c>
    </row>
    <row r="5" spans="1:21" x14ac:dyDescent="0.4">
      <c r="A5" s="37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12000</v>
      </c>
      <c r="I5">
        <v>16000</v>
      </c>
      <c r="J5">
        <v>16000</v>
      </c>
      <c r="K5">
        <v>16000</v>
      </c>
      <c r="L5">
        <v>24000</v>
      </c>
      <c r="M5">
        <v>24000</v>
      </c>
      <c r="N5">
        <v>32000</v>
      </c>
      <c r="O5">
        <v>32000</v>
      </c>
      <c r="P5">
        <v>32000</v>
      </c>
      <c r="Q5">
        <v>32000</v>
      </c>
      <c r="R5">
        <v>32000</v>
      </c>
      <c r="S5">
        <v>32000</v>
      </c>
      <c r="T5">
        <v>32000</v>
      </c>
      <c r="U5">
        <v>32000</v>
      </c>
    </row>
    <row r="6" spans="1:21" x14ac:dyDescent="0.4">
      <c r="A6" s="37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12000</v>
      </c>
      <c r="I6">
        <v>16000</v>
      </c>
      <c r="J6">
        <v>16000</v>
      </c>
      <c r="K6">
        <v>16000</v>
      </c>
      <c r="L6">
        <v>24000</v>
      </c>
      <c r="M6">
        <v>24000</v>
      </c>
      <c r="N6">
        <v>32000</v>
      </c>
      <c r="O6">
        <v>32000</v>
      </c>
      <c r="P6">
        <v>32000</v>
      </c>
      <c r="Q6">
        <v>32000</v>
      </c>
      <c r="R6">
        <v>32000</v>
      </c>
      <c r="S6">
        <v>32000</v>
      </c>
      <c r="T6">
        <v>32000</v>
      </c>
      <c r="U6">
        <v>32000</v>
      </c>
    </row>
    <row r="7" spans="1:21" x14ac:dyDescent="0.4">
      <c r="A7" s="37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12000</v>
      </c>
      <c r="I7">
        <v>16000</v>
      </c>
      <c r="J7">
        <v>16000</v>
      </c>
      <c r="K7">
        <v>16000</v>
      </c>
      <c r="L7">
        <v>24000</v>
      </c>
      <c r="M7">
        <v>24000</v>
      </c>
      <c r="N7">
        <v>32000</v>
      </c>
      <c r="O7">
        <v>32000</v>
      </c>
      <c r="P7">
        <v>32000</v>
      </c>
      <c r="Q7">
        <v>32000</v>
      </c>
      <c r="R7">
        <v>32000</v>
      </c>
      <c r="S7">
        <v>32000</v>
      </c>
      <c r="T7">
        <v>32000</v>
      </c>
      <c r="U7">
        <v>32000</v>
      </c>
    </row>
    <row r="8" spans="1:21" x14ac:dyDescent="0.4">
      <c r="A8" s="37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12000</v>
      </c>
      <c r="I8">
        <v>16000</v>
      </c>
      <c r="J8">
        <v>16000</v>
      </c>
      <c r="K8">
        <v>16000</v>
      </c>
      <c r="L8">
        <v>24000</v>
      </c>
      <c r="M8">
        <v>24000</v>
      </c>
      <c r="N8">
        <v>32000</v>
      </c>
      <c r="O8">
        <v>32000</v>
      </c>
      <c r="P8">
        <v>32000</v>
      </c>
      <c r="Q8">
        <v>32000</v>
      </c>
      <c r="R8">
        <v>32000</v>
      </c>
      <c r="S8">
        <v>32000</v>
      </c>
      <c r="T8">
        <v>32000</v>
      </c>
      <c r="U8">
        <v>32000</v>
      </c>
    </row>
    <row r="9" spans="1:21" x14ac:dyDescent="0.4">
      <c r="A9" s="37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12000</v>
      </c>
      <c r="I9">
        <v>16000</v>
      </c>
      <c r="J9">
        <v>16000</v>
      </c>
      <c r="K9">
        <v>16000</v>
      </c>
      <c r="L9">
        <v>24000</v>
      </c>
      <c r="M9">
        <v>24000</v>
      </c>
      <c r="N9">
        <v>32000</v>
      </c>
      <c r="O9">
        <v>32000</v>
      </c>
      <c r="P9">
        <v>32000</v>
      </c>
      <c r="Q9">
        <v>32000</v>
      </c>
      <c r="R9">
        <v>32000</v>
      </c>
      <c r="S9">
        <v>32000</v>
      </c>
      <c r="T9">
        <v>32000</v>
      </c>
      <c r="U9">
        <v>32000</v>
      </c>
    </row>
    <row r="10" spans="1:21" x14ac:dyDescent="0.4">
      <c r="A10" s="37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12000</v>
      </c>
      <c r="I10">
        <v>16000</v>
      </c>
      <c r="J10">
        <v>16000</v>
      </c>
      <c r="K10">
        <v>16000</v>
      </c>
      <c r="L10">
        <v>24000</v>
      </c>
      <c r="M10">
        <v>24000</v>
      </c>
      <c r="N10">
        <v>32000</v>
      </c>
      <c r="O10">
        <v>32000</v>
      </c>
      <c r="P10">
        <v>32000</v>
      </c>
      <c r="Q10">
        <v>32000</v>
      </c>
      <c r="R10">
        <v>32000</v>
      </c>
      <c r="S10">
        <v>32000</v>
      </c>
      <c r="T10">
        <v>32000</v>
      </c>
      <c r="U10">
        <v>32000</v>
      </c>
    </row>
    <row r="11" spans="1:21" x14ac:dyDescent="0.4">
      <c r="A11" s="37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12000</v>
      </c>
      <c r="I11">
        <v>16000</v>
      </c>
      <c r="J11">
        <v>16000</v>
      </c>
      <c r="K11">
        <v>16000</v>
      </c>
      <c r="L11">
        <v>24000</v>
      </c>
      <c r="M11">
        <v>24000</v>
      </c>
      <c r="N11">
        <v>32000</v>
      </c>
      <c r="O11">
        <v>32000</v>
      </c>
      <c r="P11">
        <v>32000</v>
      </c>
      <c r="Q11">
        <v>32000</v>
      </c>
      <c r="R11">
        <v>32000</v>
      </c>
      <c r="S11">
        <v>32000</v>
      </c>
      <c r="T11">
        <v>32000</v>
      </c>
      <c r="U11">
        <v>32000</v>
      </c>
    </row>
    <row r="12" spans="1:21" x14ac:dyDescent="0.4">
      <c r="A12" s="37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12000</v>
      </c>
      <c r="I12">
        <v>16000</v>
      </c>
      <c r="J12">
        <v>16000</v>
      </c>
      <c r="K12">
        <v>16000</v>
      </c>
      <c r="L12">
        <v>24000</v>
      </c>
      <c r="M12">
        <v>24000</v>
      </c>
      <c r="N12">
        <v>32000</v>
      </c>
      <c r="O12">
        <v>32000</v>
      </c>
      <c r="P12">
        <v>32000</v>
      </c>
      <c r="Q12">
        <v>32000</v>
      </c>
      <c r="R12">
        <v>32000</v>
      </c>
      <c r="S12">
        <v>32000</v>
      </c>
      <c r="T12">
        <v>32000</v>
      </c>
      <c r="U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U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21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H1" s="37">
        <v>7</v>
      </c>
      <c r="I1" s="37">
        <v>8</v>
      </c>
      <c r="J1" s="37">
        <v>9</v>
      </c>
      <c r="K1" s="37">
        <v>10</v>
      </c>
      <c r="L1" s="37">
        <v>11</v>
      </c>
      <c r="M1" s="37">
        <v>12</v>
      </c>
      <c r="N1" s="37">
        <v>13</v>
      </c>
      <c r="O1" s="37">
        <v>14</v>
      </c>
      <c r="P1" s="37">
        <v>15</v>
      </c>
      <c r="Q1" s="37">
        <v>16</v>
      </c>
      <c r="R1" s="37">
        <v>17</v>
      </c>
      <c r="S1" s="37">
        <v>18</v>
      </c>
      <c r="T1" s="37">
        <v>19</v>
      </c>
      <c r="U1" s="37">
        <v>20</v>
      </c>
    </row>
    <row r="2" spans="1:21" x14ac:dyDescent="0.4">
      <c r="A2" s="37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12000</v>
      </c>
      <c r="I2">
        <f>IF('点数表(子→子)'!I2="","",'点数表(子→子)'!I2+'点数表(親→子)'!I2)</f>
        <v>16000</v>
      </c>
      <c r="J2">
        <f>IF('点数表(子→子)'!J2="","",'点数表(子→子)'!J2+'点数表(親→子)'!J2)</f>
        <v>16000</v>
      </c>
      <c r="K2">
        <f>IF('点数表(子→子)'!K2="","",'点数表(子→子)'!K2+'点数表(親→子)'!K2)</f>
        <v>16000</v>
      </c>
      <c r="L2">
        <f>IF('点数表(子→子)'!L2="","",'点数表(子→子)'!L2+'点数表(親→子)'!L2)</f>
        <v>24000</v>
      </c>
      <c r="M2">
        <f>IF('点数表(子→子)'!M2="","",'点数表(子→子)'!M2+'点数表(親→子)'!M2)</f>
        <v>24000</v>
      </c>
      <c r="N2">
        <f>IF('点数表(子→子)'!N2="","",'点数表(子→子)'!N2+'点数表(親→子)'!N2)</f>
        <v>32000</v>
      </c>
      <c r="O2">
        <f>IF('点数表(子→子)'!O2="","",'点数表(子→子)'!O2+'点数表(親→子)'!O2)</f>
        <v>32000</v>
      </c>
      <c r="P2">
        <f>IF('点数表(子→子)'!P2="","",'点数表(子→子)'!P2+'点数表(親→子)'!P2)</f>
        <v>32000</v>
      </c>
      <c r="Q2">
        <f>IF('点数表(子→子)'!Q2="","",'点数表(子→子)'!Q2+'点数表(親→子)'!Q2)</f>
        <v>32000</v>
      </c>
      <c r="R2">
        <f>IF('点数表(子→子)'!R2="","",'点数表(子→子)'!R2+'点数表(親→子)'!R2)</f>
        <v>32000</v>
      </c>
      <c r="S2">
        <f>IF('点数表(子→子)'!S2="","",'点数表(子→子)'!S2+'点数表(親→子)'!S2)</f>
        <v>32000</v>
      </c>
      <c r="T2">
        <f>IF('点数表(子→子)'!T2="","",'点数表(子→子)'!T2+'点数表(親→子)'!T2)</f>
        <v>32000</v>
      </c>
      <c r="U2">
        <f>IF('点数表(子→子)'!U2="","",'点数表(子→子)'!U2+'点数表(親→子)'!U2)</f>
        <v>32000</v>
      </c>
    </row>
    <row r="3" spans="1:21" x14ac:dyDescent="0.4">
      <c r="A3" s="37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12000</v>
      </c>
      <c r="I3">
        <f>IF('点数表(子→子)'!I3="","",'点数表(子→子)'!I3+'点数表(親→子)'!I3)</f>
        <v>16000</v>
      </c>
      <c r="J3">
        <f>IF('点数表(子→子)'!J3="","",'点数表(子→子)'!J3+'点数表(親→子)'!J3)</f>
        <v>16000</v>
      </c>
      <c r="K3">
        <f>IF('点数表(子→子)'!K3="","",'点数表(子→子)'!K3+'点数表(親→子)'!K3)</f>
        <v>16000</v>
      </c>
      <c r="L3">
        <f>IF('点数表(子→子)'!L3="","",'点数表(子→子)'!L3+'点数表(親→子)'!L3)</f>
        <v>24000</v>
      </c>
      <c r="M3">
        <f>IF('点数表(子→子)'!M3="","",'点数表(子→子)'!M3+'点数表(親→子)'!M3)</f>
        <v>24000</v>
      </c>
      <c r="N3">
        <f>IF('点数表(子→子)'!N3="","",'点数表(子→子)'!N3+'点数表(親→子)'!N3)</f>
        <v>32000</v>
      </c>
      <c r="O3">
        <f>IF('点数表(子→子)'!O3="","",'点数表(子→子)'!O3+'点数表(親→子)'!O3)</f>
        <v>32000</v>
      </c>
      <c r="P3">
        <f>IF('点数表(子→子)'!P3="","",'点数表(子→子)'!P3+'点数表(親→子)'!P3)</f>
        <v>32000</v>
      </c>
      <c r="Q3">
        <f>IF('点数表(子→子)'!Q3="","",'点数表(子→子)'!Q3+'点数表(親→子)'!Q3)</f>
        <v>32000</v>
      </c>
      <c r="R3">
        <f>IF('点数表(子→子)'!R3="","",'点数表(子→子)'!R3+'点数表(親→子)'!R3)</f>
        <v>32000</v>
      </c>
      <c r="S3">
        <f>IF('点数表(子→子)'!S3="","",'点数表(子→子)'!S3+'点数表(親→子)'!S3)</f>
        <v>32000</v>
      </c>
      <c r="T3">
        <f>IF('点数表(子→子)'!T3="","",'点数表(子→子)'!T3+'点数表(親→子)'!T3)</f>
        <v>32000</v>
      </c>
      <c r="U3">
        <f>IF('点数表(子→子)'!U3="","",'点数表(子→子)'!U3+'点数表(親→子)'!U3)</f>
        <v>32000</v>
      </c>
    </row>
    <row r="4" spans="1:21" x14ac:dyDescent="0.4">
      <c r="A4" s="37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12000</v>
      </c>
      <c r="I4">
        <f>IF('点数表(子→子)'!I4="","",'点数表(子→子)'!I4+'点数表(親→子)'!I4)</f>
        <v>16000</v>
      </c>
      <c r="J4">
        <f>IF('点数表(子→子)'!J4="","",'点数表(子→子)'!J4+'点数表(親→子)'!J4)</f>
        <v>16000</v>
      </c>
      <c r="K4">
        <f>IF('点数表(子→子)'!K4="","",'点数表(子→子)'!K4+'点数表(親→子)'!K4)</f>
        <v>16000</v>
      </c>
      <c r="L4">
        <f>IF('点数表(子→子)'!L4="","",'点数表(子→子)'!L4+'点数表(親→子)'!L4)</f>
        <v>24000</v>
      </c>
      <c r="M4">
        <f>IF('点数表(子→子)'!M4="","",'点数表(子→子)'!M4+'点数表(親→子)'!M4)</f>
        <v>24000</v>
      </c>
      <c r="N4">
        <f>IF('点数表(子→子)'!N4="","",'点数表(子→子)'!N4+'点数表(親→子)'!N4)</f>
        <v>32000</v>
      </c>
      <c r="O4">
        <f>IF('点数表(子→子)'!O4="","",'点数表(子→子)'!O4+'点数表(親→子)'!O4)</f>
        <v>32000</v>
      </c>
      <c r="P4">
        <f>IF('点数表(子→子)'!P4="","",'点数表(子→子)'!P4+'点数表(親→子)'!P4)</f>
        <v>32000</v>
      </c>
      <c r="Q4">
        <f>IF('点数表(子→子)'!Q4="","",'点数表(子→子)'!Q4+'点数表(親→子)'!Q4)</f>
        <v>32000</v>
      </c>
      <c r="R4">
        <f>IF('点数表(子→子)'!R4="","",'点数表(子→子)'!R4+'点数表(親→子)'!R4)</f>
        <v>32000</v>
      </c>
      <c r="S4">
        <f>IF('点数表(子→子)'!S4="","",'点数表(子→子)'!S4+'点数表(親→子)'!S4)</f>
        <v>32000</v>
      </c>
      <c r="T4">
        <f>IF('点数表(子→子)'!T4="","",'点数表(子→子)'!T4+'点数表(親→子)'!T4)</f>
        <v>32000</v>
      </c>
      <c r="U4">
        <f>IF('点数表(子→子)'!U4="","",'点数表(子→子)'!U4+'点数表(親→子)'!U4)</f>
        <v>32000</v>
      </c>
    </row>
    <row r="5" spans="1:21" x14ac:dyDescent="0.4">
      <c r="A5" s="37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12000</v>
      </c>
      <c r="I5">
        <f>IF('点数表(子→子)'!I5="","",'点数表(子→子)'!I5+'点数表(親→子)'!I5)</f>
        <v>16000</v>
      </c>
      <c r="J5">
        <f>IF('点数表(子→子)'!J5="","",'点数表(子→子)'!J5+'点数表(親→子)'!J5)</f>
        <v>16000</v>
      </c>
      <c r="K5">
        <f>IF('点数表(子→子)'!K5="","",'点数表(子→子)'!K5+'点数表(親→子)'!K5)</f>
        <v>16000</v>
      </c>
      <c r="L5">
        <f>IF('点数表(子→子)'!L5="","",'点数表(子→子)'!L5+'点数表(親→子)'!L5)</f>
        <v>24000</v>
      </c>
      <c r="M5">
        <f>IF('点数表(子→子)'!M5="","",'点数表(子→子)'!M5+'点数表(親→子)'!M5)</f>
        <v>24000</v>
      </c>
      <c r="N5">
        <f>IF('点数表(子→子)'!N5="","",'点数表(子→子)'!N5+'点数表(親→子)'!N5)</f>
        <v>32000</v>
      </c>
      <c r="O5">
        <f>IF('点数表(子→子)'!O5="","",'点数表(子→子)'!O5+'点数表(親→子)'!O5)</f>
        <v>32000</v>
      </c>
      <c r="P5">
        <f>IF('点数表(子→子)'!P5="","",'点数表(子→子)'!P5+'点数表(親→子)'!P5)</f>
        <v>32000</v>
      </c>
      <c r="Q5">
        <f>IF('点数表(子→子)'!Q5="","",'点数表(子→子)'!Q5+'点数表(親→子)'!Q5)</f>
        <v>32000</v>
      </c>
      <c r="R5">
        <f>IF('点数表(子→子)'!R5="","",'点数表(子→子)'!R5+'点数表(親→子)'!R5)</f>
        <v>32000</v>
      </c>
      <c r="S5">
        <f>IF('点数表(子→子)'!S5="","",'点数表(子→子)'!S5+'点数表(親→子)'!S5)</f>
        <v>32000</v>
      </c>
      <c r="T5">
        <f>IF('点数表(子→子)'!T5="","",'点数表(子→子)'!T5+'点数表(親→子)'!T5)</f>
        <v>32000</v>
      </c>
      <c r="U5">
        <f>IF('点数表(子→子)'!U5="","",'点数表(子→子)'!U5+'点数表(親→子)'!U5)</f>
        <v>32000</v>
      </c>
    </row>
    <row r="6" spans="1:21" x14ac:dyDescent="0.4">
      <c r="A6" s="37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12000</v>
      </c>
      <c r="I6">
        <f>IF('点数表(子→子)'!I6="","",'点数表(子→子)'!I6+'点数表(親→子)'!I6)</f>
        <v>16000</v>
      </c>
      <c r="J6">
        <f>IF('点数表(子→子)'!J6="","",'点数表(子→子)'!J6+'点数表(親→子)'!J6)</f>
        <v>16000</v>
      </c>
      <c r="K6">
        <f>IF('点数表(子→子)'!K6="","",'点数表(子→子)'!K6+'点数表(親→子)'!K6)</f>
        <v>16000</v>
      </c>
      <c r="L6">
        <f>IF('点数表(子→子)'!L6="","",'点数表(子→子)'!L6+'点数表(親→子)'!L6)</f>
        <v>24000</v>
      </c>
      <c r="M6">
        <f>IF('点数表(子→子)'!M6="","",'点数表(子→子)'!M6+'点数表(親→子)'!M6)</f>
        <v>24000</v>
      </c>
      <c r="N6">
        <f>IF('点数表(子→子)'!N6="","",'点数表(子→子)'!N6+'点数表(親→子)'!N6)</f>
        <v>32000</v>
      </c>
      <c r="O6">
        <f>IF('点数表(子→子)'!O6="","",'点数表(子→子)'!O6+'点数表(親→子)'!O6)</f>
        <v>32000</v>
      </c>
      <c r="P6">
        <f>IF('点数表(子→子)'!P6="","",'点数表(子→子)'!P6+'点数表(親→子)'!P6)</f>
        <v>32000</v>
      </c>
      <c r="Q6">
        <f>IF('点数表(子→子)'!Q6="","",'点数表(子→子)'!Q6+'点数表(親→子)'!Q6)</f>
        <v>32000</v>
      </c>
      <c r="R6">
        <f>IF('点数表(子→子)'!R6="","",'点数表(子→子)'!R6+'点数表(親→子)'!R6)</f>
        <v>32000</v>
      </c>
      <c r="S6">
        <f>IF('点数表(子→子)'!S6="","",'点数表(子→子)'!S6+'点数表(親→子)'!S6)</f>
        <v>32000</v>
      </c>
      <c r="T6">
        <f>IF('点数表(子→子)'!T6="","",'点数表(子→子)'!T6+'点数表(親→子)'!T6)</f>
        <v>32000</v>
      </c>
      <c r="U6">
        <f>IF('点数表(子→子)'!U6="","",'点数表(子→子)'!U6+'点数表(親→子)'!U6)</f>
        <v>32000</v>
      </c>
    </row>
    <row r="7" spans="1:21" x14ac:dyDescent="0.4">
      <c r="A7" s="37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12000</v>
      </c>
      <c r="I7">
        <f>IF('点数表(子→子)'!I7="","",'点数表(子→子)'!I7+'点数表(親→子)'!I7)</f>
        <v>16000</v>
      </c>
      <c r="J7">
        <f>IF('点数表(子→子)'!J7="","",'点数表(子→子)'!J7+'点数表(親→子)'!J7)</f>
        <v>16000</v>
      </c>
      <c r="K7">
        <f>IF('点数表(子→子)'!K7="","",'点数表(子→子)'!K7+'点数表(親→子)'!K7)</f>
        <v>16000</v>
      </c>
      <c r="L7">
        <f>IF('点数表(子→子)'!L7="","",'点数表(子→子)'!L7+'点数表(親→子)'!L7)</f>
        <v>24000</v>
      </c>
      <c r="M7">
        <f>IF('点数表(子→子)'!M7="","",'点数表(子→子)'!M7+'点数表(親→子)'!M7)</f>
        <v>24000</v>
      </c>
      <c r="N7">
        <f>IF('点数表(子→子)'!N7="","",'点数表(子→子)'!N7+'点数表(親→子)'!N7)</f>
        <v>32000</v>
      </c>
      <c r="O7">
        <f>IF('点数表(子→子)'!O7="","",'点数表(子→子)'!O7+'点数表(親→子)'!O7)</f>
        <v>32000</v>
      </c>
      <c r="P7">
        <f>IF('点数表(子→子)'!P7="","",'点数表(子→子)'!P7+'点数表(親→子)'!P7)</f>
        <v>32000</v>
      </c>
      <c r="Q7">
        <f>IF('点数表(子→子)'!Q7="","",'点数表(子→子)'!Q7+'点数表(親→子)'!Q7)</f>
        <v>32000</v>
      </c>
      <c r="R7">
        <f>IF('点数表(子→子)'!R7="","",'点数表(子→子)'!R7+'点数表(親→子)'!R7)</f>
        <v>32000</v>
      </c>
      <c r="S7">
        <f>IF('点数表(子→子)'!S7="","",'点数表(子→子)'!S7+'点数表(親→子)'!S7)</f>
        <v>32000</v>
      </c>
      <c r="T7">
        <f>IF('点数表(子→子)'!T7="","",'点数表(子→子)'!T7+'点数表(親→子)'!T7)</f>
        <v>32000</v>
      </c>
      <c r="U7">
        <f>IF('点数表(子→子)'!U7="","",'点数表(子→子)'!U7+'点数表(親→子)'!U7)</f>
        <v>32000</v>
      </c>
    </row>
    <row r="8" spans="1:21" x14ac:dyDescent="0.4">
      <c r="A8" s="37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12000</v>
      </c>
      <c r="I8">
        <f>IF('点数表(子→子)'!I8="","",'点数表(子→子)'!I8+'点数表(親→子)'!I8)</f>
        <v>16000</v>
      </c>
      <c r="J8">
        <f>IF('点数表(子→子)'!J8="","",'点数表(子→子)'!J8+'点数表(親→子)'!J8)</f>
        <v>16000</v>
      </c>
      <c r="K8">
        <f>IF('点数表(子→子)'!K8="","",'点数表(子→子)'!K8+'点数表(親→子)'!K8)</f>
        <v>16000</v>
      </c>
      <c r="L8">
        <f>IF('点数表(子→子)'!L8="","",'点数表(子→子)'!L8+'点数表(親→子)'!L8)</f>
        <v>24000</v>
      </c>
      <c r="M8">
        <f>IF('点数表(子→子)'!M8="","",'点数表(子→子)'!M8+'点数表(親→子)'!M8)</f>
        <v>24000</v>
      </c>
      <c r="N8">
        <f>IF('点数表(子→子)'!N8="","",'点数表(子→子)'!N8+'点数表(親→子)'!N8)</f>
        <v>32000</v>
      </c>
      <c r="O8">
        <f>IF('点数表(子→子)'!O8="","",'点数表(子→子)'!O8+'点数表(親→子)'!O8)</f>
        <v>32000</v>
      </c>
      <c r="P8">
        <f>IF('点数表(子→子)'!P8="","",'点数表(子→子)'!P8+'点数表(親→子)'!P8)</f>
        <v>32000</v>
      </c>
      <c r="Q8">
        <f>IF('点数表(子→子)'!Q8="","",'点数表(子→子)'!Q8+'点数表(親→子)'!Q8)</f>
        <v>32000</v>
      </c>
      <c r="R8">
        <f>IF('点数表(子→子)'!R8="","",'点数表(子→子)'!R8+'点数表(親→子)'!R8)</f>
        <v>32000</v>
      </c>
      <c r="S8">
        <f>IF('点数表(子→子)'!S8="","",'点数表(子→子)'!S8+'点数表(親→子)'!S8)</f>
        <v>32000</v>
      </c>
      <c r="T8">
        <f>IF('点数表(子→子)'!T8="","",'点数表(子→子)'!T8+'点数表(親→子)'!T8)</f>
        <v>32000</v>
      </c>
      <c r="U8">
        <f>IF('点数表(子→子)'!U8="","",'点数表(子→子)'!U8+'点数表(親→子)'!U8)</f>
        <v>32000</v>
      </c>
    </row>
    <row r="9" spans="1:21" x14ac:dyDescent="0.4">
      <c r="A9" s="37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12000</v>
      </c>
      <c r="I9">
        <f>IF('点数表(子→子)'!I9="","",'点数表(子→子)'!I9+'点数表(親→子)'!I9)</f>
        <v>16000</v>
      </c>
      <c r="J9">
        <f>IF('点数表(子→子)'!J9="","",'点数表(子→子)'!J9+'点数表(親→子)'!J9)</f>
        <v>16000</v>
      </c>
      <c r="K9">
        <f>IF('点数表(子→子)'!K9="","",'点数表(子→子)'!K9+'点数表(親→子)'!K9)</f>
        <v>16000</v>
      </c>
      <c r="L9">
        <f>IF('点数表(子→子)'!L9="","",'点数表(子→子)'!L9+'点数表(親→子)'!L9)</f>
        <v>24000</v>
      </c>
      <c r="M9">
        <f>IF('点数表(子→子)'!M9="","",'点数表(子→子)'!M9+'点数表(親→子)'!M9)</f>
        <v>24000</v>
      </c>
      <c r="N9">
        <f>IF('点数表(子→子)'!N9="","",'点数表(子→子)'!N9+'点数表(親→子)'!N9)</f>
        <v>32000</v>
      </c>
      <c r="O9">
        <f>IF('点数表(子→子)'!O9="","",'点数表(子→子)'!O9+'点数表(親→子)'!O9)</f>
        <v>32000</v>
      </c>
      <c r="P9">
        <f>IF('点数表(子→子)'!P9="","",'点数表(子→子)'!P9+'点数表(親→子)'!P9)</f>
        <v>32000</v>
      </c>
      <c r="Q9">
        <f>IF('点数表(子→子)'!Q9="","",'点数表(子→子)'!Q9+'点数表(親→子)'!Q9)</f>
        <v>32000</v>
      </c>
      <c r="R9">
        <f>IF('点数表(子→子)'!R9="","",'点数表(子→子)'!R9+'点数表(親→子)'!R9)</f>
        <v>32000</v>
      </c>
      <c r="S9">
        <f>IF('点数表(子→子)'!S9="","",'点数表(子→子)'!S9+'点数表(親→子)'!S9)</f>
        <v>32000</v>
      </c>
      <c r="T9">
        <f>IF('点数表(子→子)'!T9="","",'点数表(子→子)'!T9+'点数表(親→子)'!T9)</f>
        <v>32000</v>
      </c>
      <c r="U9">
        <f>IF('点数表(子→子)'!U9="","",'点数表(子→子)'!U9+'点数表(親→子)'!U9)</f>
        <v>32000</v>
      </c>
    </row>
    <row r="10" spans="1:21" x14ac:dyDescent="0.4">
      <c r="A10" s="37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12000</v>
      </c>
      <c r="I10">
        <f>IF('点数表(子→子)'!I10="","",'点数表(子→子)'!I10+'点数表(親→子)'!I10)</f>
        <v>16000</v>
      </c>
      <c r="J10">
        <f>IF('点数表(子→子)'!J10="","",'点数表(子→子)'!J10+'点数表(親→子)'!J10)</f>
        <v>16000</v>
      </c>
      <c r="K10">
        <f>IF('点数表(子→子)'!K10="","",'点数表(子→子)'!K10+'点数表(親→子)'!K10)</f>
        <v>16000</v>
      </c>
      <c r="L10">
        <f>IF('点数表(子→子)'!L10="","",'点数表(子→子)'!L10+'点数表(親→子)'!L10)</f>
        <v>24000</v>
      </c>
      <c r="M10">
        <f>IF('点数表(子→子)'!M10="","",'点数表(子→子)'!M10+'点数表(親→子)'!M10)</f>
        <v>24000</v>
      </c>
      <c r="N10">
        <f>IF('点数表(子→子)'!N10="","",'点数表(子→子)'!N10+'点数表(親→子)'!N10)</f>
        <v>32000</v>
      </c>
      <c r="O10">
        <f>IF('点数表(子→子)'!O10="","",'点数表(子→子)'!O10+'点数表(親→子)'!O10)</f>
        <v>32000</v>
      </c>
      <c r="P10">
        <f>IF('点数表(子→子)'!P10="","",'点数表(子→子)'!P10+'点数表(親→子)'!P10)</f>
        <v>32000</v>
      </c>
      <c r="Q10">
        <f>IF('点数表(子→子)'!Q10="","",'点数表(子→子)'!Q10+'点数表(親→子)'!Q10)</f>
        <v>32000</v>
      </c>
      <c r="R10">
        <f>IF('点数表(子→子)'!R10="","",'点数表(子→子)'!R10+'点数表(親→子)'!R10)</f>
        <v>32000</v>
      </c>
      <c r="S10">
        <f>IF('点数表(子→子)'!S10="","",'点数表(子→子)'!S10+'点数表(親→子)'!S10)</f>
        <v>32000</v>
      </c>
      <c r="T10">
        <f>IF('点数表(子→子)'!T10="","",'点数表(子→子)'!T10+'点数表(親→子)'!T10)</f>
        <v>32000</v>
      </c>
      <c r="U10">
        <f>IF('点数表(子→子)'!U10="","",'点数表(子→子)'!U10+'点数表(親→子)'!U10)</f>
        <v>32000</v>
      </c>
    </row>
    <row r="11" spans="1:21" x14ac:dyDescent="0.4">
      <c r="A11" s="37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12000</v>
      </c>
      <c r="I11">
        <f>IF('点数表(子→子)'!I11="","",'点数表(子→子)'!I11+'点数表(親→子)'!I11)</f>
        <v>16000</v>
      </c>
      <c r="J11">
        <f>IF('点数表(子→子)'!J11="","",'点数表(子→子)'!J11+'点数表(親→子)'!J11)</f>
        <v>16000</v>
      </c>
      <c r="K11">
        <f>IF('点数表(子→子)'!K11="","",'点数表(子→子)'!K11+'点数表(親→子)'!K11)</f>
        <v>16000</v>
      </c>
      <c r="L11">
        <f>IF('点数表(子→子)'!L11="","",'点数表(子→子)'!L11+'点数表(親→子)'!L11)</f>
        <v>24000</v>
      </c>
      <c r="M11">
        <f>IF('点数表(子→子)'!M11="","",'点数表(子→子)'!M11+'点数表(親→子)'!M11)</f>
        <v>24000</v>
      </c>
      <c r="N11">
        <f>IF('点数表(子→子)'!N11="","",'点数表(子→子)'!N11+'点数表(親→子)'!N11)</f>
        <v>32000</v>
      </c>
      <c r="O11">
        <f>IF('点数表(子→子)'!O11="","",'点数表(子→子)'!O11+'点数表(親→子)'!O11)</f>
        <v>32000</v>
      </c>
      <c r="P11">
        <f>IF('点数表(子→子)'!P11="","",'点数表(子→子)'!P11+'点数表(親→子)'!P11)</f>
        <v>32000</v>
      </c>
      <c r="Q11">
        <f>IF('点数表(子→子)'!Q11="","",'点数表(子→子)'!Q11+'点数表(親→子)'!Q11)</f>
        <v>32000</v>
      </c>
      <c r="R11">
        <f>IF('点数表(子→子)'!R11="","",'点数表(子→子)'!R11+'点数表(親→子)'!R11)</f>
        <v>32000</v>
      </c>
      <c r="S11">
        <f>IF('点数表(子→子)'!S11="","",'点数表(子→子)'!S11+'点数表(親→子)'!S11)</f>
        <v>32000</v>
      </c>
      <c r="T11">
        <f>IF('点数表(子→子)'!T11="","",'点数表(子→子)'!T11+'点数表(親→子)'!T11)</f>
        <v>32000</v>
      </c>
      <c r="U11">
        <f>IF('点数表(子→子)'!U11="","",'点数表(子→子)'!U11+'点数表(親→子)'!U11)</f>
        <v>32000</v>
      </c>
    </row>
    <row r="12" spans="1:21" x14ac:dyDescent="0.4">
      <c r="A12" s="37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12000</v>
      </c>
      <c r="I12">
        <f>IF('点数表(子→子)'!I12="","",'点数表(子→子)'!I12+'点数表(親→子)'!I12)</f>
        <v>16000</v>
      </c>
      <c r="J12">
        <f>IF('点数表(子→子)'!J12="","",'点数表(子→子)'!J12+'点数表(親→子)'!J12)</f>
        <v>16000</v>
      </c>
      <c r="K12">
        <f>IF('点数表(子→子)'!K12="","",'点数表(子→子)'!K12+'点数表(親→子)'!K12)</f>
        <v>16000</v>
      </c>
      <c r="L12">
        <f>IF('点数表(子→子)'!L12="","",'点数表(子→子)'!L12+'点数表(親→子)'!L12)</f>
        <v>24000</v>
      </c>
      <c r="M12">
        <f>IF('点数表(子→子)'!M12="","",'点数表(子→子)'!M12+'点数表(親→子)'!M12)</f>
        <v>24000</v>
      </c>
      <c r="N12">
        <f>IF('点数表(子→子)'!N12="","",'点数表(子→子)'!N12+'点数表(親→子)'!N12)</f>
        <v>32000</v>
      </c>
      <c r="O12">
        <f>IF('点数表(子→子)'!O12="","",'点数表(子→子)'!O12+'点数表(親→子)'!O12)</f>
        <v>32000</v>
      </c>
      <c r="P12">
        <f>IF('点数表(子→子)'!P12="","",'点数表(子→子)'!P12+'点数表(親→子)'!P12)</f>
        <v>32000</v>
      </c>
      <c r="Q12">
        <f>IF('点数表(子→子)'!Q12="","",'点数表(子→子)'!Q12+'点数表(親→子)'!Q12)</f>
        <v>32000</v>
      </c>
      <c r="R12">
        <f>IF('点数表(子→子)'!R12="","",'点数表(子→子)'!R12+'点数表(親→子)'!R12)</f>
        <v>32000</v>
      </c>
      <c r="S12">
        <f>IF('点数表(子→子)'!S12="","",'点数表(子→子)'!S12+'点数表(親→子)'!S12)</f>
        <v>32000</v>
      </c>
      <c r="T12">
        <f>IF('点数表(子→子)'!T12="","",'点数表(子→子)'!T12+'点数表(親→子)'!T12)</f>
        <v>32000</v>
      </c>
      <c r="U12">
        <f>IF('点数表(子→子)'!U12="","",'点数表(子→子)'!U12+'点数表(親→子)'!U12)</f>
        <v>32000</v>
      </c>
    </row>
    <row r="14" spans="1:21" x14ac:dyDescent="0.4"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U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2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H1" s="37">
        <v>7</v>
      </c>
      <c r="I1" s="37">
        <v>8</v>
      </c>
      <c r="J1" s="37">
        <v>9</v>
      </c>
      <c r="K1" s="37">
        <v>10</v>
      </c>
      <c r="L1" s="37">
        <v>11</v>
      </c>
      <c r="M1" s="37">
        <v>12</v>
      </c>
      <c r="N1" s="37">
        <v>13</v>
      </c>
      <c r="O1" s="37">
        <v>14</v>
      </c>
      <c r="P1" s="37">
        <v>15</v>
      </c>
      <c r="Q1" s="37">
        <v>16</v>
      </c>
      <c r="R1" s="37">
        <v>17</v>
      </c>
      <c r="S1" s="37">
        <v>18</v>
      </c>
      <c r="T1" s="37">
        <v>19</v>
      </c>
      <c r="U1" s="37">
        <v>20</v>
      </c>
    </row>
    <row r="2" spans="1:21" x14ac:dyDescent="0.4">
      <c r="A2" s="37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4500</v>
      </c>
      <c r="I2">
        <v>6000</v>
      </c>
      <c r="J2">
        <v>6000</v>
      </c>
      <c r="K2">
        <v>6000</v>
      </c>
      <c r="L2">
        <v>9000</v>
      </c>
      <c r="M2">
        <v>9000</v>
      </c>
      <c r="N2">
        <v>12000</v>
      </c>
      <c r="O2">
        <v>12000</v>
      </c>
      <c r="P2">
        <v>12000</v>
      </c>
      <c r="Q2">
        <v>12000</v>
      </c>
      <c r="R2">
        <v>12000</v>
      </c>
      <c r="S2">
        <v>12000</v>
      </c>
      <c r="T2">
        <v>12000</v>
      </c>
      <c r="U2">
        <v>12000</v>
      </c>
    </row>
    <row r="3" spans="1:21" x14ac:dyDescent="0.4">
      <c r="A3" s="37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4500</v>
      </c>
      <c r="I3">
        <v>6000</v>
      </c>
      <c r="J3">
        <v>6000</v>
      </c>
      <c r="K3">
        <v>6000</v>
      </c>
      <c r="L3">
        <v>9000</v>
      </c>
      <c r="M3">
        <v>9000</v>
      </c>
      <c r="N3">
        <v>12000</v>
      </c>
      <c r="O3">
        <v>12000</v>
      </c>
      <c r="P3">
        <v>12000</v>
      </c>
      <c r="Q3">
        <v>12000</v>
      </c>
      <c r="R3">
        <v>12000</v>
      </c>
      <c r="S3">
        <v>12000</v>
      </c>
      <c r="T3">
        <v>12000</v>
      </c>
      <c r="U3">
        <v>12000</v>
      </c>
    </row>
    <row r="4" spans="1:21" x14ac:dyDescent="0.4">
      <c r="A4" s="37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4500</v>
      </c>
      <c r="I4">
        <v>6000</v>
      </c>
      <c r="J4">
        <v>6000</v>
      </c>
      <c r="K4">
        <v>6000</v>
      </c>
      <c r="L4">
        <v>9000</v>
      </c>
      <c r="M4">
        <v>9000</v>
      </c>
      <c r="N4">
        <v>12000</v>
      </c>
      <c r="O4">
        <v>12000</v>
      </c>
      <c r="P4">
        <v>12000</v>
      </c>
      <c r="Q4">
        <v>12000</v>
      </c>
      <c r="R4">
        <v>12000</v>
      </c>
      <c r="S4">
        <v>12000</v>
      </c>
      <c r="T4">
        <v>12000</v>
      </c>
      <c r="U4">
        <v>12000</v>
      </c>
    </row>
    <row r="5" spans="1:21" x14ac:dyDescent="0.4">
      <c r="A5" s="37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4500</v>
      </c>
      <c r="I5">
        <v>6000</v>
      </c>
      <c r="J5">
        <v>6000</v>
      </c>
      <c r="K5">
        <v>6000</v>
      </c>
      <c r="L5">
        <v>9000</v>
      </c>
      <c r="M5">
        <v>9000</v>
      </c>
      <c r="N5">
        <v>12000</v>
      </c>
      <c r="O5">
        <v>12000</v>
      </c>
      <c r="P5">
        <v>12000</v>
      </c>
      <c r="Q5">
        <v>12000</v>
      </c>
      <c r="R5">
        <v>12000</v>
      </c>
      <c r="S5">
        <v>12000</v>
      </c>
      <c r="T5">
        <v>12000</v>
      </c>
      <c r="U5">
        <v>12000</v>
      </c>
    </row>
    <row r="6" spans="1:21" x14ac:dyDescent="0.4">
      <c r="A6" s="37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4500</v>
      </c>
      <c r="I6">
        <v>6000</v>
      </c>
      <c r="J6">
        <v>6000</v>
      </c>
      <c r="K6">
        <v>6000</v>
      </c>
      <c r="L6">
        <v>9000</v>
      </c>
      <c r="M6">
        <v>9000</v>
      </c>
      <c r="N6">
        <v>12000</v>
      </c>
      <c r="O6">
        <v>12000</v>
      </c>
      <c r="P6">
        <v>12000</v>
      </c>
      <c r="Q6">
        <v>12000</v>
      </c>
      <c r="R6">
        <v>12000</v>
      </c>
      <c r="S6">
        <v>12000</v>
      </c>
      <c r="T6">
        <v>12000</v>
      </c>
      <c r="U6">
        <v>12000</v>
      </c>
    </row>
    <row r="7" spans="1:21" x14ac:dyDescent="0.4">
      <c r="A7" s="37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4500</v>
      </c>
      <c r="I7">
        <v>6000</v>
      </c>
      <c r="J7">
        <v>6000</v>
      </c>
      <c r="K7">
        <v>6000</v>
      </c>
      <c r="L7">
        <v>9000</v>
      </c>
      <c r="M7">
        <v>9000</v>
      </c>
      <c r="N7">
        <v>12000</v>
      </c>
      <c r="O7">
        <v>12000</v>
      </c>
      <c r="P7">
        <v>12000</v>
      </c>
      <c r="Q7">
        <v>12000</v>
      </c>
      <c r="R7">
        <v>12000</v>
      </c>
      <c r="S7">
        <v>12000</v>
      </c>
      <c r="T7">
        <v>12000</v>
      </c>
      <c r="U7">
        <v>12000</v>
      </c>
    </row>
    <row r="8" spans="1:21" x14ac:dyDescent="0.4">
      <c r="A8" s="37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4500</v>
      </c>
      <c r="I8">
        <v>6000</v>
      </c>
      <c r="J8">
        <v>6000</v>
      </c>
      <c r="K8">
        <v>6000</v>
      </c>
      <c r="L8">
        <v>9000</v>
      </c>
      <c r="M8">
        <v>9000</v>
      </c>
      <c r="N8">
        <v>12000</v>
      </c>
      <c r="O8">
        <v>12000</v>
      </c>
      <c r="P8">
        <v>12000</v>
      </c>
      <c r="Q8">
        <v>12000</v>
      </c>
      <c r="R8">
        <v>12000</v>
      </c>
      <c r="S8">
        <v>12000</v>
      </c>
      <c r="T8">
        <v>12000</v>
      </c>
      <c r="U8">
        <v>12000</v>
      </c>
    </row>
    <row r="9" spans="1:21" x14ac:dyDescent="0.4">
      <c r="A9" s="37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4500</v>
      </c>
      <c r="I9">
        <v>6000</v>
      </c>
      <c r="J9">
        <v>6000</v>
      </c>
      <c r="K9">
        <v>6000</v>
      </c>
      <c r="L9">
        <v>9000</v>
      </c>
      <c r="M9">
        <v>9000</v>
      </c>
      <c r="N9">
        <v>12000</v>
      </c>
      <c r="O9">
        <v>12000</v>
      </c>
      <c r="P9">
        <v>12000</v>
      </c>
      <c r="Q9">
        <v>12000</v>
      </c>
      <c r="R9">
        <v>12000</v>
      </c>
      <c r="S9">
        <v>12000</v>
      </c>
      <c r="T9">
        <v>12000</v>
      </c>
      <c r="U9">
        <v>12000</v>
      </c>
    </row>
    <row r="10" spans="1:21" x14ac:dyDescent="0.4">
      <c r="A10" s="37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4500</v>
      </c>
      <c r="I10">
        <v>6000</v>
      </c>
      <c r="J10">
        <v>6000</v>
      </c>
      <c r="K10">
        <v>6000</v>
      </c>
      <c r="L10">
        <v>9000</v>
      </c>
      <c r="M10">
        <v>9000</v>
      </c>
      <c r="N10">
        <v>12000</v>
      </c>
      <c r="O10">
        <v>12000</v>
      </c>
      <c r="P10">
        <v>12000</v>
      </c>
      <c r="Q10">
        <v>12000</v>
      </c>
      <c r="R10">
        <v>12000</v>
      </c>
      <c r="S10">
        <v>12000</v>
      </c>
      <c r="T10">
        <v>12000</v>
      </c>
      <c r="U10">
        <v>12000</v>
      </c>
    </row>
    <row r="11" spans="1:21" x14ac:dyDescent="0.4">
      <c r="A11" s="37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4500</v>
      </c>
      <c r="I11">
        <v>6000</v>
      </c>
      <c r="J11">
        <v>6000</v>
      </c>
      <c r="K11">
        <v>6000</v>
      </c>
      <c r="L11">
        <v>9000</v>
      </c>
      <c r="M11">
        <v>9000</v>
      </c>
      <c r="N11">
        <v>12000</v>
      </c>
      <c r="O11">
        <v>12000</v>
      </c>
      <c r="P11">
        <v>12000</v>
      </c>
      <c r="Q11">
        <v>12000</v>
      </c>
      <c r="R11">
        <v>12000</v>
      </c>
      <c r="S11">
        <v>12000</v>
      </c>
      <c r="T11">
        <v>12000</v>
      </c>
      <c r="U11">
        <v>12000</v>
      </c>
    </row>
    <row r="12" spans="1:21" x14ac:dyDescent="0.4">
      <c r="A12" s="37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4500</v>
      </c>
      <c r="I12">
        <v>6000</v>
      </c>
      <c r="J12">
        <v>6000</v>
      </c>
      <c r="K12">
        <v>6000</v>
      </c>
      <c r="L12">
        <v>9000</v>
      </c>
      <c r="M12">
        <v>9000</v>
      </c>
      <c r="N12">
        <v>12000</v>
      </c>
      <c r="O12">
        <v>12000</v>
      </c>
      <c r="P12">
        <v>12000</v>
      </c>
      <c r="Q12">
        <v>12000</v>
      </c>
      <c r="R12">
        <v>12000</v>
      </c>
      <c r="S12">
        <v>12000</v>
      </c>
      <c r="T12">
        <v>12000</v>
      </c>
      <c r="U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U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2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H1" s="37">
        <v>7</v>
      </c>
      <c r="I1" s="37">
        <v>8</v>
      </c>
      <c r="J1" s="37">
        <v>9</v>
      </c>
      <c r="K1" s="37">
        <v>10</v>
      </c>
      <c r="L1" s="37">
        <v>11</v>
      </c>
      <c r="M1" s="37">
        <v>12</v>
      </c>
      <c r="N1" s="37">
        <v>13</v>
      </c>
      <c r="O1" s="37">
        <v>14</v>
      </c>
      <c r="P1" s="37">
        <v>15</v>
      </c>
      <c r="Q1" s="37">
        <v>16</v>
      </c>
      <c r="R1" s="37">
        <v>17</v>
      </c>
      <c r="S1" s="37">
        <v>18</v>
      </c>
      <c r="T1" s="37">
        <v>19</v>
      </c>
      <c r="U1" s="37">
        <v>20</v>
      </c>
    </row>
    <row r="2" spans="1:21" x14ac:dyDescent="0.4">
      <c r="A2" s="37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7500</v>
      </c>
      <c r="I2">
        <v>10000</v>
      </c>
      <c r="J2">
        <v>10000</v>
      </c>
      <c r="K2">
        <v>10000</v>
      </c>
      <c r="L2">
        <v>15000</v>
      </c>
      <c r="M2">
        <v>15000</v>
      </c>
      <c r="N2">
        <v>20000</v>
      </c>
      <c r="O2">
        <v>20000</v>
      </c>
      <c r="P2">
        <v>20000</v>
      </c>
      <c r="Q2">
        <v>20000</v>
      </c>
      <c r="R2">
        <v>20000</v>
      </c>
      <c r="S2">
        <v>20000</v>
      </c>
      <c r="T2">
        <v>20000</v>
      </c>
      <c r="U2">
        <v>20000</v>
      </c>
    </row>
    <row r="3" spans="1:21" x14ac:dyDescent="0.4">
      <c r="A3" s="37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7500</v>
      </c>
      <c r="I3">
        <v>10000</v>
      </c>
      <c r="J3">
        <v>10000</v>
      </c>
      <c r="K3">
        <v>10000</v>
      </c>
      <c r="L3">
        <v>15000</v>
      </c>
      <c r="M3">
        <v>15000</v>
      </c>
      <c r="N3">
        <v>20000</v>
      </c>
      <c r="O3">
        <v>20000</v>
      </c>
      <c r="P3">
        <v>20000</v>
      </c>
      <c r="Q3">
        <v>20000</v>
      </c>
      <c r="R3">
        <v>20000</v>
      </c>
      <c r="S3">
        <v>20000</v>
      </c>
      <c r="T3">
        <v>20000</v>
      </c>
      <c r="U3">
        <v>20000</v>
      </c>
    </row>
    <row r="4" spans="1:21" x14ac:dyDescent="0.4">
      <c r="A4" s="37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7500</v>
      </c>
      <c r="I4">
        <v>10000</v>
      </c>
      <c r="J4">
        <v>10000</v>
      </c>
      <c r="K4">
        <v>10000</v>
      </c>
      <c r="L4">
        <v>15000</v>
      </c>
      <c r="M4">
        <v>15000</v>
      </c>
      <c r="N4">
        <v>20000</v>
      </c>
      <c r="O4">
        <v>20000</v>
      </c>
      <c r="P4">
        <v>20000</v>
      </c>
      <c r="Q4">
        <v>20000</v>
      </c>
      <c r="R4">
        <v>20000</v>
      </c>
      <c r="S4">
        <v>20000</v>
      </c>
      <c r="T4">
        <v>20000</v>
      </c>
      <c r="U4">
        <v>20000</v>
      </c>
    </row>
    <row r="5" spans="1:21" x14ac:dyDescent="0.4">
      <c r="A5" s="37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7500</v>
      </c>
      <c r="I5">
        <v>10000</v>
      </c>
      <c r="J5">
        <v>10000</v>
      </c>
      <c r="K5">
        <v>10000</v>
      </c>
      <c r="L5">
        <v>15000</v>
      </c>
      <c r="M5">
        <v>15000</v>
      </c>
      <c r="N5">
        <v>20000</v>
      </c>
      <c r="O5">
        <v>20000</v>
      </c>
      <c r="P5">
        <v>20000</v>
      </c>
      <c r="Q5">
        <v>20000</v>
      </c>
      <c r="R5">
        <v>20000</v>
      </c>
      <c r="S5">
        <v>20000</v>
      </c>
      <c r="T5">
        <v>20000</v>
      </c>
      <c r="U5">
        <v>20000</v>
      </c>
    </row>
    <row r="6" spans="1:21" x14ac:dyDescent="0.4">
      <c r="A6" s="37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7500</v>
      </c>
      <c r="I6">
        <v>10000</v>
      </c>
      <c r="J6">
        <v>10000</v>
      </c>
      <c r="K6">
        <v>10000</v>
      </c>
      <c r="L6">
        <v>15000</v>
      </c>
      <c r="M6">
        <v>15000</v>
      </c>
      <c r="N6">
        <v>20000</v>
      </c>
      <c r="O6">
        <v>20000</v>
      </c>
      <c r="P6">
        <v>20000</v>
      </c>
      <c r="Q6">
        <v>20000</v>
      </c>
      <c r="R6">
        <v>20000</v>
      </c>
      <c r="S6">
        <v>20000</v>
      </c>
      <c r="T6">
        <v>20000</v>
      </c>
      <c r="U6">
        <v>20000</v>
      </c>
    </row>
    <row r="7" spans="1:21" x14ac:dyDescent="0.4">
      <c r="A7" s="37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7500</v>
      </c>
      <c r="I7">
        <v>10000</v>
      </c>
      <c r="J7">
        <v>10000</v>
      </c>
      <c r="K7">
        <v>10000</v>
      </c>
      <c r="L7">
        <v>15000</v>
      </c>
      <c r="M7">
        <v>15000</v>
      </c>
      <c r="N7">
        <v>20000</v>
      </c>
      <c r="O7">
        <v>20000</v>
      </c>
      <c r="P7">
        <v>20000</v>
      </c>
      <c r="Q7">
        <v>20000</v>
      </c>
      <c r="R7">
        <v>20000</v>
      </c>
      <c r="S7">
        <v>20000</v>
      </c>
      <c r="T7">
        <v>20000</v>
      </c>
      <c r="U7">
        <v>20000</v>
      </c>
    </row>
    <row r="8" spans="1:21" x14ac:dyDescent="0.4">
      <c r="A8" s="37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7500</v>
      </c>
      <c r="I8">
        <v>10000</v>
      </c>
      <c r="J8">
        <v>10000</v>
      </c>
      <c r="K8">
        <v>10000</v>
      </c>
      <c r="L8">
        <v>15000</v>
      </c>
      <c r="M8">
        <v>15000</v>
      </c>
      <c r="N8">
        <v>20000</v>
      </c>
      <c r="O8">
        <v>20000</v>
      </c>
      <c r="P8">
        <v>20000</v>
      </c>
      <c r="Q8">
        <v>20000</v>
      </c>
      <c r="R8">
        <v>20000</v>
      </c>
      <c r="S8">
        <v>20000</v>
      </c>
      <c r="T8">
        <v>20000</v>
      </c>
      <c r="U8">
        <v>20000</v>
      </c>
    </row>
    <row r="9" spans="1:21" x14ac:dyDescent="0.4">
      <c r="A9" s="37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7500</v>
      </c>
      <c r="I9">
        <v>10000</v>
      </c>
      <c r="J9">
        <v>10000</v>
      </c>
      <c r="K9">
        <v>10000</v>
      </c>
      <c r="L9">
        <v>15000</v>
      </c>
      <c r="M9">
        <v>15000</v>
      </c>
      <c r="N9">
        <v>20000</v>
      </c>
      <c r="O9">
        <v>20000</v>
      </c>
      <c r="P9">
        <v>20000</v>
      </c>
      <c r="Q9">
        <v>20000</v>
      </c>
      <c r="R9">
        <v>20000</v>
      </c>
      <c r="S9">
        <v>20000</v>
      </c>
      <c r="T9">
        <v>20000</v>
      </c>
      <c r="U9">
        <v>20000</v>
      </c>
    </row>
    <row r="10" spans="1:21" x14ac:dyDescent="0.4">
      <c r="A10" s="37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7500</v>
      </c>
      <c r="I10">
        <v>10000</v>
      </c>
      <c r="J10">
        <v>10000</v>
      </c>
      <c r="K10">
        <v>10000</v>
      </c>
      <c r="L10">
        <v>15000</v>
      </c>
      <c r="M10">
        <v>15000</v>
      </c>
      <c r="N10">
        <v>20000</v>
      </c>
      <c r="O10">
        <v>20000</v>
      </c>
      <c r="P10">
        <v>20000</v>
      </c>
      <c r="Q10">
        <v>20000</v>
      </c>
      <c r="R10">
        <v>20000</v>
      </c>
      <c r="S10">
        <v>20000</v>
      </c>
      <c r="T10">
        <v>20000</v>
      </c>
      <c r="U10">
        <v>20000</v>
      </c>
    </row>
    <row r="11" spans="1:21" x14ac:dyDescent="0.4">
      <c r="A11" s="37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7500</v>
      </c>
      <c r="I11">
        <v>10000</v>
      </c>
      <c r="J11">
        <v>10000</v>
      </c>
      <c r="K11">
        <v>10000</v>
      </c>
      <c r="L11">
        <v>15000</v>
      </c>
      <c r="M11">
        <v>15000</v>
      </c>
      <c r="N11">
        <v>20000</v>
      </c>
      <c r="O11">
        <v>20000</v>
      </c>
      <c r="P11">
        <v>20000</v>
      </c>
      <c r="Q11">
        <v>20000</v>
      </c>
      <c r="R11">
        <v>20000</v>
      </c>
      <c r="S11">
        <v>20000</v>
      </c>
      <c r="T11">
        <v>20000</v>
      </c>
      <c r="U11">
        <v>20000</v>
      </c>
    </row>
    <row r="12" spans="1:21" x14ac:dyDescent="0.4">
      <c r="A12" s="37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7500</v>
      </c>
      <c r="I12">
        <v>10000</v>
      </c>
      <c r="J12">
        <v>10000</v>
      </c>
      <c r="K12">
        <v>10000</v>
      </c>
      <c r="L12">
        <v>15000</v>
      </c>
      <c r="M12">
        <v>15000</v>
      </c>
      <c r="N12">
        <v>20000</v>
      </c>
      <c r="O12">
        <v>20000</v>
      </c>
      <c r="P12">
        <v>20000</v>
      </c>
      <c r="Q12">
        <v>20000</v>
      </c>
      <c r="R12">
        <v>20000</v>
      </c>
      <c r="S12">
        <v>20000</v>
      </c>
      <c r="T12">
        <v>20000</v>
      </c>
      <c r="U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2018-12-01T11:37:11Z</dcterms:modified>
</cp:coreProperties>
</file>