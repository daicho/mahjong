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三人麻雀\対局\"/>
    </mc:Choice>
  </mc:AlternateContent>
  <xr:revisionPtr revIDLastSave="0" documentId="13_ncr:1_{BE039092-7FA0-473C-A5F7-4572EC78F335}" xr6:coauthVersionLast="36" xr6:coauthVersionMax="36" xr10:uidLastSave="{00000000-0000-0000-0000-000000000000}"/>
  <bookViews>
    <workbookView xWindow="0" yWindow="0" windowWidth="28800" windowHeight="12720" activeTab="1" xr2:uid="{4CDB34E1-560F-4998-ABAB-D6F7F2862621}"/>
  </bookViews>
  <sheets>
    <sheet name="Sheet1" sheetId="1" r:id="rId1"/>
    <sheet name="Sheet2" sheetId="16" r:id="rId2"/>
    <sheet name="役一覧" sheetId="15" state="hidden" r:id="rId3"/>
    <sheet name="点数表(親ロン)" sheetId="4" state="hidden" r:id="rId4"/>
    <sheet name="点数表(親ツモ)" sheetId="9" state="hidden" r:id="rId5"/>
    <sheet name="点数表(子→親)" sheetId="7" state="hidden" r:id="rId6"/>
    <sheet name="点数表(子ロン)" sheetId="3" state="hidden" r:id="rId7"/>
    <sheet name="点数表(子ツモ)" sheetId="10" state="hidden" r:id="rId8"/>
    <sheet name="点数表(子→子)" sheetId="5" state="hidden" r:id="rId9"/>
    <sheet name="点数表(親→子)" sheetId="6" state="hidden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T30" i="16" l="1"/>
  <c r="W30" i="16" s="1"/>
  <c r="O30" i="16"/>
  <c r="V30" i="16" s="1"/>
  <c r="J30" i="16"/>
  <c r="U30" i="16" s="1"/>
  <c r="D30" i="16"/>
  <c r="C30" i="16"/>
  <c r="B30" i="16"/>
  <c r="A30" i="16"/>
  <c r="T29" i="16"/>
  <c r="W29" i="16" s="1"/>
  <c r="O29" i="16"/>
  <c r="V29" i="16" s="1"/>
  <c r="J29" i="16"/>
  <c r="U29" i="16" s="1"/>
  <c r="D29" i="16"/>
  <c r="C29" i="16"/>
  <c r="B29" i="16"/>
  <c r="A29" i="16"/>
  <c r="T28" i="16"/>
  <c r="W28" i="16" s="1"/>
  <c r="O28" i="16"/>
  <c r="V28" i="16" s="1"/>
  <c r="J28" i="16"/>
  <c r="U28" i="16" s="1"/>
  <c r="D28" i="16"/>
  <c r="C28" i="16"/>
  <c r="B28" i="16"/>
  <c r="A28" i="16"/>
  <c r="T27" i="16"/>
  <c r="W27" i="16" s="1"/>
  <c r="O27" i="16"/>
  <c r="V27" i="16" s="1"/>
  <c r="J27" i="16"/>
  <c r="U27" i="16" s="1"/>
  <c r="D27" i="16"/>
  <c r="C27" i="16"/>
  <c r="B27" i="16"/>
  <c r="A27" i="16"/>
  <c r="T26" i="16"/>
  <c r="W26" i="16" s="1"/>
  <c r="O26" i="16"/>
  <c r="V26" i="16" s="1"/>
  <c r="J26" i="16"/>
  <c r="U26" i="16" s="1"/>
  <c r="D26" i="16"/>
  <c r="C26" i="16"/>
  <c r="B26" i="16"/>
  <c r="A26" i="16"/>
  <c r="T25" i="16"/>
  <c r="W25" i="16" s="1"/>
  <c r="O25" i="16"/>
  <c r="V25" i="16" s="1"/>
  <c r="J25" i="16"/>
  <c r="U25" i="16" s="1"/>
  <c r="D25" i="16"/>
  <c r="C25" i="16"/>
  <c r="B25" i="16"/>
  <c r="A25" i="16"/>
  <c r="T24" i="16"/>
  <c r="W24" i="16" s="1"/>
  <c r="O24" i="16"/>
  <c r="V24" i="16" s="1"/>
  <c r="J24" i="16"/>
  <c r="U24" i="16" s="1"/>
  <c r="D24" i="16"/>
  <c r="C24" i="16"/>
  <c r="B24" i="16"/>
  <c r="A24" i="16"/>
  <c r="T23" i="16"/>
  <c r="W23" i="16" s="1"/>
  <c r="O23" i="16"/>
  <c r="V23" i="16" s="1"/>
  <c r="J23" i="16"/>
  <c r="U23" i="16" s="1"/>
  <c r="D23" i="16"/>
  <c r="C23" i="16"/>
  <c r="B23" i="16"/>
  <c r="A23" i="16"/>
  <c r="T22" i="16"/>
  <c r="W22" i="16" s="1"/>
  <c r="O22" i="16"/>
  <c r="V22" i="16" s="1"/>
  <c r="J22" i="16"/>
  <c r="U22" i="16" s="1"/>
  <c r="D22" i="16"/>
  <c r="C22" i="16"/>
  <c r="B22" i="16"/>
  <c r="A22" i="16"/>
  <c r="T21" i="16"/>
  <c r="W21" i="16" s="1"/>
  <c r="O21" i="16"/>
  <c r="V21" i="16" s="1"/>
  <c r="J21" i="16"/>
  <c r="U21" i="16" s="1"/>
  <c r="D21" i="16"/>
  <c r="C21" i="16"/>
  <c r="B21" i="16"/>
  <c r="A21" i="16"/>
  <c r="T20" i="16"/>
  <c r="W20" i="16" s="1"/>
  <c r="O20" i="16"/>
  <c r="V20" i="16" s="1"/>
  <c r="J20" i="16"/>
  <c r="U20" i="16" s="1"/>
  <c r="D20" i="16"/>
  <c r="C20" i="16"/>
  <c r="B20" i="16"/>
  <c r="A20" i="16"/>
  <c r="T19" i="16"/>
  <c r="W19" i="16" s="1"/>
  <c r="O19" i="16"/>
  <c r="V19" i="16" s="1"/>
  <c r="J19" i="16"/>
  <c r="U19" i="16" s="1"/>
  <c r="D19" i="16"/>
  <c r="C19" i="16"/>
  <c r="B19" i="16"/>
  <c r="A19" i="16"/>
  <c r="T18" i="16"/>
  <c r="W18" i="16" s="1"/>
  <c r="O18" i="16"/>
  <c r="V18" i="16" s="1"/>
  <c r="J18" i="16"/>
  <c r="U18" i="16" s="1"/>
  <c r="D18" i="16"/>
  <c r="C18" i="16"/>
  <c r="B18" i="16"/>
  <c r="A18" i="16"/>
  <c r="T17" i="16"/>
  <c r="W17" i="16" s="1"/>
  <c r="O17" i="16"/>
  <c r="V17" i="16" s="1"/>
  <c r="J17" i="16"/>
  <c r="U17" i="16" s="1"/>
  <c r="D17" i="16"/>
  <c r="C17" i="16"/>
  <c r="B17" i="16"/>
  <c r="A17" i="16"/>
  <c r="T16" i="16"/>
  <c r="W16" i="16" s="1"/>
  <c r="O16" i="16"/>
  <c r="V16" i="16" s="1"/>
  <c r="J16" i="16"/>
  <c r="U16" i="16" s="1"/>
  <c r="D16" i="16"/>
  <c r="C16" i="16"/>
  <c r="B16" i="16"/>
  <c r="A16" i="16"/>
  <c r="T15" i="16"/>
  <c r="W15" i="16" s="1"/>
  <c r="O15" i="16"/>
  <c r="V15" i="16" s="1"/>
  <c r="J15" i="16"/>
  <c r="U15" i="16" s="1"/>
  <c r="D15" i="16"/>
  <c r="C15" i="16"/>
  <c r="B15" i="16"/>
  <c r="A15" i="16"/>
  <c r="T14" i="16"/>
  <c r="W14" i="16" s="1"/>
  <c r="O14" i="16"/>
  <c r="V14" i="16" s="1"/>
  <c r="J14" i="16"/>
  <c r="U14" i="16" s="1"/>
  <c r="D14" i="16"/>
  <c r="C14" i="16"/>
  <c r="B14" i="16"/>
  <c r="A14" i="16"/>
  <c r="T13" i="16"/>
  <c r="W13" i="16" s="1"/>
  <c r="O13" i="16"/>
  <c r="V13" i="16" s="1"/>
  <c r="J13" i="16"/>
  <c r="U13" i="16" s="1"/>
  <c r="D13" i="16"/>
  <c r="C13" i="16"/>
  <c r="B13" i="16"/>
  <c r="A13" i="16" s="1"/>
  <c r="T12" i="16"/>
  <c r="O12" i="16"/>
  <c r="J12" i="16"/>
  <c r="U12" i="16" s="1"/>
  <c r="D12" i="16"/>
  <c r="C12" i="16"/>
  <c r="B12" i="16"/>
  <c r="A12" i="16" s="1"/>
  <c r="D11" i="16"/>
  <c r="C11" i="16"/>
  <c r="D10" i="16"/>
  <c r="C10" i="16"/>
  <c r="D9" i="16"/>
  <c r="C9" i="16"/>
  <c r="D8" i="16"/>
  <c r="D7" i="16"/>
  <c r="C7" i="16"/>
  <c r="C8" i="16" s="1"/>
  <c r="B7" i="16"/>
  <c r="B8" i="16" s="1"/>
  <c r="D6" i="16"/>
  <c r="C6" i="16"/>
  <c r="B6" i="16"/>
  <c r="A6" i="16"/>
  <c r="T5" i="16"/>
  <c r="O5" i="16"/>
  <c r="O6" i="16" s="1"/>
  <c r="D5" i="16"/>
  <c r="C5" i="16"/>
  <c r="B5" i="16"/>
  <c r="A5" i="16" s="1"/>
  <c r="T4" i="16"/>
  <c r="O4" i="16"/>
  <c r="J4" i="16"/>
  <c r="W3" i="16"/>
  <c r="V3" i="16"/>
  <c r="U3" i="16"/>
  <c r="W2" i="16"/>
  <c r="V2" i="16"/>
  <c r="U2" i="16"/>
  <c r="BO1" i="16"/>
  <c r="AT1" i="16"/>
  <c r="Y1" i="16"/>
  <c r="W12" i="16" l="1"/>
  <c r="V12" i="16"/>
  <c r="A7" i="16"/>
  <c r="V4" i="16"/>
  <c r="W4" i="16"/>
  <c r="U4" i="16"/>
  <c r="B9" i="16"/>
  <c r="A9" i="16" s="1"/>
  <c r="O7" i="16"/>
  <c r="J5" i="16"/>
  <c r="W5" i="16" s="1"/>
  <c r="V5" i="16"/>
  <c r="T6" i="16"/>
  <c r="A8" i="16"/>
  <c r="T7" i="16" l="1"/>
  <c r="O8" i="16"/>
  <c r="J6" i="16"/>
  <c r="W6" i="16" s="1"/>
  <c r="U5" i="16"/>
  <c r="B10" i="16"/>
  <c r="B11" i="16" l="1"/>
  <c r="A11" i="16" s="1"/>
  <c r="U6" i="16"/>
  <c r="J7" i="16"/>
  <c r="V6" i="16"/>
  <c r="A10" i="16"/>
  <c r="O9" i="16"/>
  <c r="W7" i="16"/>
  <c r="T8" i="16"/>
  <c r="O10" i="16" l="1"/>
  <c r="J8" i="16"/>
  <c r="U7" i="16"/>
  <c r="V7" i="16"/>
  <c r="W8" i="16"/>
  <c r="T9" i="16"/>
  <c r="T10" i="16" l="1"/>
  <c r="J9" i="16"/>
  <c r="U8" i="16"/>
  <c r="V8" i="16"/>
  <c r="O11" i="16"/>
  <c r="U9" i="16" l="1"/>
  <c r="J10" i="16"/>
  <c r="V9" i="16"/>
  <c r="T11" i="16"/>
  <c r="W10" i="16"/>
  <c r="W9" i="16"/>
  <c r="U10" i="16" l="1"/>
  <c r="J11" i="16"/>
  <c r="W11" i="16" s="1"/>
  <c r="V10" i="16"/>
  <c r="U11" i="16" l="1"/>
  <c r="V11" i="16"/>
  <c r="W3" i="1" l="1"/>
  <c r="V3" i="1"/>
  <c r="U3" i="1"/>
  <c r="C30" i="1" l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C5" i="1"/>
  <c r="B5" i="1" l="1"/>
  <c r="A5" i="1" s="1"/>
  <c r="D6" i="1"/>
  <c r="B6" i="1"/>
  <c r="A6" i="1" s="1"/>
  <c r="D5" i="1"/>
  <c r="Y1" i="1" l="1"/>
  <c r="BO1" i="1" l="1"/>
  <c r="AT1" i="1"/>
  <c r="A30" i="1" l="1"/>
  <c r="A29" i="1"/>
  <c r="A28" i="1"/>
  <c r="A27" i="1"/>
  <c r="A26" i="1"/>
  <c r="A25" i="1"/>
  <c r="A24" i="1"/>
  <c r="A23" i="1"/>
  <c r="A22" i="1"/>
  <c r="A21" i="1"/>
  <c r="A20" i="1"/>
  <c r="A19" i="1"/>
  <c r="A18" i="1"/>
  <c r="D30" i="1" l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8" i="1"/>
  <c r="D9" i="1" s="1"/>
  <c r="D10" i="1" s="1"/>
  <c r="D11" i="1" s="1"/>
  <c r="D12" i="1" s="1"/>
  <c r="D13" i="1" s="1"/>
  <c r="D14" i="1" s="1"/>
  <c r="D15" i="1" s="1"/>
  <c r="D16" i="1" s="1"/>
  <c r="D7" i="1"/>
  <c r="W2" i="1" l="1"/>
  <c r="V2" i="1"/>
  <c r="U2" i="1"/>
  <c r="J4" i="1" l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A17" i="1" s="1"/>
  <c r="B16" i="1"/>
  <c r="A16" i="1" s="1"/>
  <c r="B15" i="1"/>
  <c r="A15" i="1" s="1"/>
  <c r="B7" i="1"/>
  <c r="B8" i="1" l="1"/>
  <c r="A8" i="1" s="1"/>
  <c r="A7" i="1"/>
  <c r="J5" i="1"/>
  <c r="B9" i="1"/>
  <c r="A9" i="1" s="1"/>
  <c r="O4" i="1"/>
  <c r="T30" i="1"/>
  <c r="W30" i="1" s="1"/>
  <c r="T29" i="1"/>
  <c r="W29" i="1" s="1"/>
  <c r="T28" i="1"/>
  <c r="W28" i="1" s="1"/>
  <c r="T27" i="1"/>
  <c r="W27" i="1" s="1"/>
  <c r="T26" i="1"/>
  <c r="W26" i="1" s="1"/>
  <c r="T25" i="1"/>
  <c r="W25" i="1" s="1"/>
  <c r="T24" i="1"/>
  <c r="W24" i="1" s="1"/>
  <c r="T23" i="1"/>
  <c r="W23" i="1" s="1"/>
  <c r="T22" i="1"/>
  <c r="W22" i="1" s="1"/>
  <c r="T21" i="1"/>
  <c r="W21" i="1" s="1"/>
  <c r="T20" i="1"/>
  <c r="W20" i="1" s="1"/>
  <c r="T19" i="1"/>
  <c r="W19" i="1" s="1"/>
  <c r="T18" i="1"/>
  <c r="W18" i="1" s="1"/>
  <c r="T17" i="1"/>
  <c r="W17" i="1" s="1"/>
  <c r="T16" i="1"/>
  <c r="W16" i="1" s="1"/>
  <c r="T4" i="1"/>
  <c r="W4" i="1" s="1"/>
  <c r="O30" i="1"/>
  <c r="V30" i="1" s="1"/>
  <c r="O29" i="1"/>
  <c r="V29" i="1" s="1"/>
  <c r="O28" i="1"/>
  <c r="V28" i="1" s="1"/>
  <c r="O27" i="1"/>
  <c r="V27" i="1" s="1"/>
  <c r="O26" i="1"/>
  <c r="V26" i="1" s="1"/>
  <c r="O25" i="1"/>
  <c r="V25" i="1" s="1"/>
  <c r="O24" i="1"/>
  <c r="V24" i="1" s="1"/>
  <c r="O23" i="1"/>
  <c r="V23" i="1" s="1"/>
  <c r="O22" i="1"/>
  <c r="V22" i="1" s="1"/>
  <c r="O21" i="1"/>
  <c r="V21" i="1" s="1"/>
  <c r="O20" i="1"/>
  <c r="V20" i="1" s="1"/>
  <c r="O19" i="1"/>
  <c r="V19" i="1" s="1"/>
  <c r="O18" i="1"/>
  <c r="V18" i="1" s="1"/>
  <c r="O17" i="1"/>
  <c r="V17" i="1" s="1"/>
  <c r="O16" i="1"/>
  <c r="V16" i="1" s="1"/>
  <c r="O5" i="1"/>
  <c r="J30" i="1"/>
  <c r="U30" i="1" s="1"/>
  <c r="J29" i="1"/>
  <c r="U29" i="1" s="1"/>
  <c r="J28" i="1"/>
  <c r="U28" i="1" s="1"/>
  <c r="J27" i="1"/>
  <c r="U27" i="1" s="1"/>
  <c r="J26" i="1"/>
  <c r="U26" i="1" s="1"/>
  <c r="J25" i="1"/>
  <c r="U25" i="1" s="1"/>
  <c r="J24" i="1"/>
  <c r="U24" i="1" s="1"/>
  <c r="J23" i="1"/>
  <c r="U23" i="1" s="1"/>
  <c r="J22" i="1"/>
  <c r="U22" i="1" s="1"/>
  <c r="J21" i="1"/>
  <c r="U21" i="1" s="1"/>
  <c r="J20" i="1"/>
  <c r="U20" i="1" s="1"/>
  <c r="J19" i="1"/>
  <c r="U19" i="1" s="1"/>
  <c r="J18" i="1"/>
  <c r="U18" i="1" s="1"/>
  <c r="J17" i="1"/>
  <c r="U17" i="1" s="1"/>
  <c r="J16" i="1"/>
  <c r="U16" i="1" s="1"/>
  <c r="V4" i="1" l="1"/>
  <c r="U4" i="1"/>
  <c r="J6" i="1"/>
  <c r="T5" i="1"/>
  <c r="V5" i="1" s="1"/>
  <c r="O6" i="1"/>
  <c r="B10" i="1"/>
  <c r="U5" i="1" l="1"/>
  <c r="W5" i="1"/>
  <c r="O7" i="1"/>
  <c r="J7" i="1"/>
  <c r="J8" i="1"/>
  <c r="B11" i="1"/>
  <c r="A11" i="1" s="1"/>
  <c r="A10" i="1"/>
  <c r="O8" i="1"/>
  <c r="T6" i="1"/>
  <c r="V6" i="1" s="1"/>
  <c r="B12" i="1"/>
  <c r="A12" i="1" s="1"/>
  <c r="U6" i="1" l="1"/>
  <c r="W6" i="1"/>
  <c r="T7" i="1"/>
  <c r="V7" i="1" s="1"/>
  <c r="J9" i="1"/>
  <c r="T8" i="1"/>
  <c r="W8" i="1" s="1"/>
  <c r="O9" i="1"/>
  <c r="B13" i="1"/>
  <c r="A13" i="1" s="1"/>
  <c r="U8" i="1" l="1"/>
  <c r="V8" i="1"/>
  <c r="U7" i="1"/>
  <c r="W7" i="1"/>
  <c r="J10" i="1"/>
  <c r="J11" i="1"/>
  <c r="O10" i="1"/>
  <c r="T9" i="1"/>
  <c r="V9" i="1" s="1"/>
  <c r="B14" i="1"/>
  <c r="A14" i="1" s="1"/>
  <c r="U10" i="1" l="1"/>
  <c r="U9" i="1"/>
  <c r="W9" i="1"/>
  <c r="O11" i="1"/>
  <c r="J12" i="1"/>
  <c r="T10" i="1"/>
  <c r="V10" i="1" s="1"/>
  <c r="U12" i="1" l="1"/>
  <c r="W10" i="1"/>
  <c r="J13" i="1"/>
  <c r="U13" i="1" s="1"/>
  <c r="O12" i="1"/>
  <c r="T11" i="1"/>
  <c r="U11" i="1" s="1"/>
  <c r="V12" i="1" l="1"/>
  <c r="V11" i="1"/>
  <c r="W11" i="1"/>
  <c r="J14" i="1"/>
  <c r="U14" i="1" s="1"/>
  <c r="O13" i="1"/>
  <c r="V13" i="1" s="1"/>
  <c r="T12" i="1"/>
  <c r="W12" i="1" l="1"/>
  <c r="O14" i="1"/>
  <c r="V14" i="1" s="1"/>
  <c r="J15" i="1"/>
  <c r="U15" i="1" s="1"/>
  <c r="T13" i="1"/>
  <c r="W13" i="1" s="1"/>
  <c r="T14" i="1" l="1"/>
  <c r="W14" i="1" s="1"/>
  <c r="O15" i="1"/>
  <c r="V15" i="1" s="1"/>
  <c r="T15" i="1" l="1"/>
  <c r="W15" i="1" s="1"/>
</calcChain>
</file>

<file path=xl/sharedStrings.xml><?xml version="1.0" encoding="utf-8"?>
<sst xmlns="http://schemas.openxmlformats.org/spreadsheetml/2006/main" count="627" uniqueCount="160">
  <si>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</si>
  <si>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</si>
  <si>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</si>
  <si>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</si>
  <si>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</si>
  <si>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</si>
  <si>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</si>
  <si>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rPh sb="0" eb="2">
      <t>ホンバ</t>
    </rPh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</si>
  <si>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</si>
  <si>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</si>
  <si>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</si>
  <si>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</si>
  <si>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</si>
  <si>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</si>
  <si>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</si>
  <si>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</si>
  <si>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</si>
  <si>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</si>
  <si>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</si>
  <si>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</si>
  <si>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</si>
  <si>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</si>
  <si>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</si>
  <si>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</si>
  <si>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</si>
  <si>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</si>
  <si>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</si>
  <si>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</si>
  <si>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</si>
  <si>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</si>
  <si>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</si>
  <si>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</si>
  <si>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</si>
  <si>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</si>
  <si>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</si>
  <si>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</si>
  <si>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</si>
  <si>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</si>
  <si>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</si>
  <si>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</si>
  <si>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</si>
  <si>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</si>
  <si>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</si>
  <si>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</si>
  <si>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</si>
  <si>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</si>
  <si>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</si>
  <si>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</si>
  <si>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</si>
  <si>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</si>
  <si>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</si>
  <si>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</si>
  <si>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</si>
  <si>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</si>
  <si>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</si>
  <si>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</si>
  <si>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</si>
  <si>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</si>
  <si>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</si>
  <si>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</si>
  <si>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</si>
  <si>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</si>
  <si>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</si>
  <si>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</si>
  <si>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</si>
  <si>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</si>
  <si>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</si>
  <si>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</si>
  <si>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</si>
  <si>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</si>
  <si>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</si>
  <si>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</si>
  <si>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</si>
  <si>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</si>
  <si>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</si>
  <si>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</si>
  <si>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</si>
  <si>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</si>
  <si>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</si>
  <si>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</si>
  <si>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</si>
  <si>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</si>
  <si>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</si>
  <si>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</si>
  <si>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</si>
  <si>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</si>
  <si>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</si>
  <si>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</si>
  <si>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</si>
  <si>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</si>
  <si>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</si>
  <si>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</si>
  <si>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</si>
  <si>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</si>
  <si>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</si>
  <si>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</si>
  <si>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</si>
  <si>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</si>
  <si>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</si>
  <si>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</si>
  <si>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</si>
  <si>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</si>
  <si>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</si>
  <si>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</si>
  <si>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</si>
  <si>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</si>
  <si>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</si>
  <si>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</si>
  <si>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</si>
  <si>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</si>
  <si>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</si>
  <si>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</si>
  <si>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</si>
  <si>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</si>
  <si>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</si>
  <si>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</si>
  <si>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</si>
  <si>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</si>
  <si>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</si>
  <si>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</si>
  <si>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</si>
  <si>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</si>
  <si>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</si>
  <si>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</si>
  <si>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</si>
  <si>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</si>
  <si>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</si>
  <si>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</si>
  <si>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</si>
  <si>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</si>
  <si>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</si>
  <si>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</si>
  <si>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</si>
  <si>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</si>
  <si>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</si>
  <si>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</si>
  <si>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</si>
  <si>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</si>
  <si>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</si>
  <si>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だいち</t>
  </si>
  <si>
    <t>だいち</t>
    <phoneticPr fontId="1"/>
  </si>
  <si>
    <t>れんたろう</t>
  </si>
  <si>
    <t>れんたろう</t>
    <phoneticPr fontId="1"/>
  </si>
  <si>
    <t>たかの</t>
  </si>
  <si>
    <t>たかの</t>
    <phoneticPr fontId="1"/>
  </si>
  <si>
    <t>T</t>
  </si>
  <si>
    <t>流局</t>
    <phoneticPr fontId="1"/>
  </si>
  <si>
    <t>放銃</t>
  </si>
  <si>
    <t>ロン</t>
  </si>
  <si>
    <t>52</t>
  </si>
  <si>
    <t>01</t>
  </si>
  <si>
    <t>チョンボ</t>
  </si>
  <si>
    <t>りくと</t>
  </si>
  <si>
    <t>りくと</t>
    <phoneticPr fontId="1"/>
  </si>
  <si>
    <t>N</t>
  </si>
  <si>
    <t>流局</t>
    <phoneticPr fontId="1"/>
  </si>
  <si>
    <t>ツモ支払</t>
  </si>
  <si>
    <t>ツモ</t>
  </si>
  <si>
    <t>*</t>
  </si>
  <si>
    <t>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</si>
</sst>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4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4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</cellXfs>
  <cellStyles count="1">
    <cellStyle name="標準" xfId="0" builtinId="0"/>
  </cellStyles>
  <dxfs count="10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7846F-5B2C-4BF2-B9D0-1B01ECCFE542}">
  <sheetPr codeName="Sheet1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25" width="3.5" style="25" customWidth="1"/>
    <col min="26" max="29" width="3.5" style="28" customWidth="1"/>
    <col min="30" max="30" width="3.5" style="25" customWidth="1"/>
    <col min="31" max="45" width="3.5" style="25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22</v>
      </c>
      <c r="E1" s="81" t="s">
        <v>3</v>
      </c>
      <c r="F1" s="72" t="s">
        <v>140</v>
      </c>
      <c r="G1" s="74"/>
      <c r="H1" s="74"/>
      <c r="I1" s="83"/>
      <c r="J1" s="75"/>
      <c r="K1" s="72" t="s">
        <v>142</v>
      </c>
      <c r="L1" s="74"/>
      <c r="M1" s="74"/>
      <c r="N1" s="83"/>
      <c r="O1" s="75"/>
      <c r="P1" s="72" t="s">
        <v>144</v>
      </c>
      <c r="Q1" s="74"/>
      <c r="R1" s="74"/>
      <c r="S1" s="83"/>
      <c r="T1" s="75"/>
      <c r="U1" s="72" t="s">
        <v>6</v>
      </c>
      <c r="V1" s="74"/>
      <c r="W1" s="75"/>
      <c r="Y1" s="72" t="str">
        <f>F1</f>
        <v>だいち</v>
      </c>
      <c r="Z1" s="73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5"/>
      <c r="AT1" s="72" t="str">
        <f>K1</f>
        <v>れんたろう</v>
      </c>
      <c r="AU1" s="73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5"/>
      <c r="BO1" s="72" t="str">
        <f>P1</f>
        <v>たかの</v>
      </c>
      <c r="BP1" s="73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9</v>
      </c>
      <c r="H2" s="2" t="s">
        <v>23</v>
      </c>
      <c r="I2" s="53" t="s">
        <v>7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26" t="str">
        <f>$F$1</f>
        <v>だいち</v>
      </c>
      <c r="V2" s="27" t="str">
        <f>$K$1</f>
        <v>れんたろう</v>
      </c>
      <c r="W2" s="16" t="str">
        <f>$P$1</f>
        <v>たかの</v>
      </c>
      <c r="Y2" s="29" t="s">
        <v>24</v>
      </c>
      <c r="Z2" s="39" t="s">
        <v>27</v>
      </c>
      <c r="AA2" s="30" t="s">
        <v>25</v>
      </c>
      <c r="AB2" s="30" t="s">
        <v>128</v>
      </c>
      <c r="AC2" s="30" t="s">
        <v>19</v>
      </c>
      <c r="AD2" s="31" t="s">
        <v>20</v>
      </c>
      <c r="AE2" s="76" t="s">
        <v>21</v>
      </c>
      <c r="AF2" s="76"/>
      <c r="AG2" s="76"/>
      <c r="AH2" s="76"/>
      <c r="AI2" s="76"/>
      <c r="AJ2" s="76"/>
      <c r="AK2" s="76"/>
      <c r="AL2" s="76"/>
      <c r="AM2" s="76"/>
      <c r="AN2" s="76"/>
      <c r="AO2" s="76"/>
      <c r="AP2" s="76"/>
      <c r="AQ2" s="76"/>
      <c r="AR2" s="76"/>
      <c r="AS2" s="76"/>
      <c r="AT2" s="29" t="s">
        <v>24</v>
      </c>
      <c r="AU2" s="39" t="s">
        <v>27</v>
      </c>
      <c r="AV2" s="30" t="s">
        <v>25</v>
      </c>
      <c r="AW2" s="30" t="s">
        <v>129</v>
      </c>
      <c r="AX2" s="30" t="s">
        <v>19</v>
      </c>
      <c r="AY2" s="31" t="s">
        <v>20</v>
      </c>
      <c r="AZ2" s="76" t="s">
        <v>21</v>
      </c>
      <c r="BA2" s="76"/>
      <c r="BB2" s="76"/>
      <c r="BC2" s="76"/>
      <c r="BD2" s="7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29" t="s">
        <v>24</v>
      </c>
      <c r="BP2" s="39" t="s">
        <v>27</v>
      </c>
      <c r="BQ2" s="30" t="s">
        <v>25</v>
      </c>
      <c r="BR2" s="30" t="s">
        <v>129</v>
      </c>
      <c r="BS2" s="30" t="s">
        <v>19</v>
      </c>
      <c r="BT2" s="31" t="s">
        <v>20</v>
      </c>
      <c r="BU2" s="76" t="s">
        <v>21</v>
      </c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IF($J3="","",ROUND(($J3-$J$3)/1000,1)+(_xlfn.RANK.AVG($J3,($J3,$O3,$T3),1)-2)*20)</f>
        <v>0</v>
      </c>
      <c r="V3" s="58">
        <f>IF($O3="","",ROUND(($O3-$O$3)/1000,1)+(_xlfn.RANK.AVG($O3,($J3,$O3,$T3),1)-2)*20)</f>
        <v>0</v>
      </c>
      <c r="W3" s="59">
        <f>IF($T3="","",ROUND(($T3-$T$3)/1000,1)+(_xlfn.RANK.AVG($T3,($J3,$O3,$T3),1)-2)*20)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141</v>
      </c>
      <c r="F4" s="8" t="s">
        <v>146</v>
      </c>
      <c r="G4" s="9">
        <v>0</v>
      </c>
      <c r="H4" s="9">
        <v>-1000</v>
      </c>
      <c r="I4" s="55"/>
      <c r="J4" s="21">
        <f>IF(COUNTA($F4,$K4,$P4)&gt;0,J3+SUM(G4:I4),"")</f>
        <v>34000</v>
      </c>
      <c r="K4" s="8" t="s">
        <v>146</v>
      </c>
      <c r="L4" s="9">
        <v>0</v>
      </c>
      <c r="M4" s="9">
        <v>-1000</v>
      </c>
      <c r="N4" s="55"/>
      <c r="O4" s="21">
        <f>IF(COUNTA($F4,$K4,$P4)&gt;0,O3+SUM(L4:N4),"")</f>
        <v>34000</v>
      </c>
      <c r="P4" s="8" t="s">
        <v>146</v>
      </c>
      <c r="Q4" s="9">
        <v>0</v>
      </c>
      <c r="R4" s="9"/>
      <c r="S4" s="55"/>
      <c r="T4" s="21">
        <f>IF(COUNTA($F4,$K4,$P4)&gt;0,T3+SUM(Q4:S4),"")</f>
        <v>35000</v>
      </c>
      <c r="U4" s="60">
        <f>IF($J4="","",ROUND(($J4-$J$3)/1000,1)+(_xlfn.RANK.AVG($J4,($J4,$O4,$T4),1)-2)*20)</f>
        <v>-11</v>
      </c>
      <c r="V4" s="61">
        <f>IF($O4="","",ROUND(($O4-$O$3)/1000,1)+(_xlfn.RANK.AVG($O4,($J4,$O4,$T4),1)-2)*20)</f>
        <v>-11</v>
      </c>
      <c r="W4" s="62">
        <f>IF($T4="","",ROUND(($T4-$T$3)/1000,1)+(_xlfn.RANK.AVG($T4,($J4,$O4,$T4),1)-2)*20)</f>
        <v>20</v>
      </c>
      <c r="Y4" s="8" t="s">
        <v>145</v>
      </c>
      <c r="Z4" s="41"/>
      <c r="AA4" s="32">
        <v>1</v>
      </c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 t="s">
        <v>145</v>
      </c>
      <c r="AU4" s="41"/>
      <c r="AV4" s="32">
        <v>1</v>
      </c>
      <c r="AW4" s="32"/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 t="s">
        <v>145</v>
      </c>
      <c r="BP4" s="41"/>
      <c r="BQ4" s="32"/>
      <c r="BR4" s="32">
        <v>1</v>
      </c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6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2</v>
      </c>
      <c r="E5" s="4" t="s">
        <v>141</v>
      </c>
      <c r="F5" s="8"/>
      <c r="G5" s="9"/>
      <c r="H5" s="9"/>
      <c r="I5" s="55"/>
      <c r="J5" s="21">
        <f t="shared" ref="J5:J30" si="2">IF(COUNTA($F5,$K5,$P5)&gt;0,J4+SUM(G5:I5),"")</f>
        <v>34000</v>
      </c>
      <c r="K5" s="8" t="s">
        <v>147</v>
      </c>
      <c r="L5" s="9">
        <v>-8000</v>
      </c>
      <c r="M5" s="9">
        <v>-1000</v>
      </c>
      <c r="N5" s="55">
        <v>-1000</v>
      </c>
      <c r="O5" s="21">
        <f t="shared" ref="O5:O30" si="3">IF(COUNTA($F5,$K5,$P5)&gt;0,O4+SUM(L5:N5),"")</f>
        <v>24000</v>
      </c>
      <c r="P5" s="8" t="s">
        <v>148</v>
      </c>
      <c r="Q5" s="9">
        <v>8000</v>
      </c>
      <c r="R5" s="9">
        <v>3000</v>
      </c>
      <c r="S5" s="55">
        <v>1000</v>
      </c>
      <c r="T5" s="21">
        <f t="shared" ref="T5:T30" si="4">IF(COUNTA($F5,$K5,$P5)&gt;0,T4+SUM(Q5:S5),"")</f>
        <v>47000</v>
      </c>
      <c r="U5" s="60">
        <f>IF($J5="","",ROUND(($J5-$J$3)/1000,1)+(_xlfn.RANK.AVG($J5,($J5,$O5,$T5),1)-2)*20)</f>
        <v>-1</v>
      </c>
      <c r="V5" s="61">
        <f>IF($O5="","",ROUND(($O5-$O$3)/1000,1)+(_xlfn.RANK.AVG($O5,($J5,$O5,$T5),1)-2)*20)</f>
        <v>-31</v>
      </c>
      <c r="W5" s="62">
        <f>IF($T5="","",ROUND(($T5-$T$3)/1000,1)+(_xlfn.RANK.AVG($T5,($J5,$O5,$T5),1)-2)*20)</f>
        <v>32</v>
      </c>
      <c r="Y5" s="8"/>
      <c r="Z5" s="41"/>
      <c r="AA5" s="32"/>
      <c r="AB5" s="32"/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>
        <v>1</v>
      </c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/>
      <c r="BS5" s="32">
        <v>4</v>
      </c>
      <c r="BT5" s="36">
        <v>40</v>
      </c>
      <c r="BU5" s="47" t="s">
        <v>105</v>
      </c>
      <c r="BV5" s="48" t="s">
        <v>149</v>
      </c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143</v>
      </c>
      <c r="F6" s="8" t="s">
        <v>148</v>
      </c>
      <c r="G6" s="9">
        <v>3900</v>
      </c>
      <c r="H6" s="9"/>
      <c r="I6" s="55">
        <v>0</v>
      </c>
      <c r="J6" s="21">
        <f t="shared" si="2"/>
        <v>37900</v>
      </c>
      <c r="K6" s="8"/>
      <c r="L6" s="9"/>
      <c r="M6" s="9"/>
      <c r="N6" s="55"/>
      <c r="O6" s="21">
        <f t="shared" si="3"/>
        <v>24000</v>
      </c>
      <c r="P6" s="8" t="s">
        <v>147</v>
      </c>
      <c r="Q6" s="9">
        <v>-3900</v>
      </c>
      <c r="R6" s="9"/>
      <c r="S6" s="55">
        <v>0</v>
      </c>
      <c r="T6" s="21">
        <f t="shared" si="4"/>
        <v>43100</v>
      </c>
      <c r="U6" s="60">
        <f>IF($J6="","",ROUND(($J6-$J$3)/1000,1)+(_xlfn.RANK.AVG($J6,($J6,$O6,$T6),1)-2)*20)</f>
        <v>2.9</v>
      </c>
      <c r="V6" s="61">
        <f>IF($O6="","",ROUND(($O6-$O$3)/1000,1)+(_xlfn.RANK.AVG($O6,($J6,$O6,$T6),1)-2)*20)</f>
        <v>-31</v>
      </c>
      <c r="W6" s="62">
        <f>IF($T6="","",ROUND(($T6-$T$3)/1000,1)+(_xlfn.RANK.AVG($T6,($J6,$O6,$T6),1)-2)*20)</f>
        <v>28.1</v>
      </c>
      <c r="Y6" s="8"/>
      <c r="Z6" s="41"/>
      <c r="AA6" s="32">
        <v>1</v>
      </c>
      <c r="AB6" s="32"/>
      <c r="AC6" s="32">
        <v>3</v>
      </c>
      <c r="AD6" s="36">
        <v>30</v>
      </c>
      <c r="AE6" s="47" t="s">
        <v>150</v>
      </c>
      <c r="AF6" s="48" t="s">
        <v>84</v>
      </c>
      <c r="AG6" s="48" t="s">
        <v>149</v>
      </c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/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/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ref="A7:A30" si="7">IF($E7="","",IF(AND(B6=3,B7=1),_xlfn.SWITCH(A6,"東","南","南","西","西","北","北","東"),A6))</f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">
        <v>139</v>
      </c>
      <c r="F7" s="8" t="s">
        <v>148</v>
      </c>
      <c r="G7" s="9">
        <v>11600</v>
      </c>
      <c r="H7" s="9"/>
      <c r="I7" s="55">
        <v>0</v>
      </c>
      <c r="J7" s="21">
        <f t="shared" si="2"/>
        <v>49500</v>
      </c>
      <c r="K7" s="8" t="s">
        <v>147</v>
      </c>
      <c r="L7" s="9">
        <v>-11600</v>
      </c>
      <c r="M7" s="9"/>
      <c r="N7" s="55">
        <v>0</v>
      </c>
      <c r="O7" s="21">
        <f t="shared" si="3"/>
        <v>12400</v>
      </c>
      <c r="P7" s="8"/>
      <c r="Q7" s="9"/>
      <c r="R7" s="9"/>
      <c r="S7" s="55"/>
      <c r="T7" s="21">
        <f t="shared" si="4"/>
        <v>43100</v>
      </c>
      <c r="U7" s="60">
        <f>IF($J7="","",ROUND(($J7-$J$3)/1000,1)+(_xlfn.RANK.AVG($J7,($J7,$O7,$T7),1)-2)*20)</f>
        <v>34.5</v>
      </c>
      <c r="V7" s="61">
        <f>IF($O7="","",ROUND(($O7-$O$3)/1000,1)+(_xlfn.RANK.AVG($O7,($J7,$O7,$T7),1)-2)*20)</f>
        <v>-42.6</v>
      </c>
      <c r="W7" s="62">
        <f>IF($T7="","",ROUND(($T7-$T$3)/1000,1)+(_xlfn.RANK.AVG($T7,($J7,$O7,$T7),1)-2)*20)</f>
        <v>8.1</v>
      </c>
      <c r="Y7" s="8"/>
      <c r="Z7" s="41"/>
      <c r="AA7" s="32">
        <v>1</v>
      </c>
      <c r="AB7" s="32"/>
      <c r="AC7" s="32">
        <v>4</v>
      </c>
      <c r="AD7" s="36">
        <v>30</v>
      </c>
      <c r="AE7" s="47" t="s">
        <v>150</v>
      </c>
      <c r="AF7" s="48" t="s">
        <v>84</v>
      </c>
      <c r="AG7" s="48" t="s">
        <v>81</v>
      </c>
      <c r="AH7" s="48" t="s">
        <v>149</v>
      </c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>
        <v>1</v>
      </c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/>
      <c r="BR7" s="32">
        <v>1</v>
      </c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7"/>
        <v>東</v>
      </c>
      <c r="B8" s="18">
        <f t="shared" si="5"/>
        <v>3</v>
      </c>
      <c r="C8" s="18">
        <f t="shared" si="6"/>
        <v>1</v>
      </c>
      <c r="D8" s="18">
        <f t="shared" si="1"/>
        <v>0</v>
      </c>
      <c r="E8" s="4" t="s">
        <v>139</v>
      </c>
      <c r="F8" s="8" t="s">
        <v>147</v>
      </c>
      <c r="G8" s="9">
        <v>-2000</v>
      </c>
      <c r="H8" s="9"/>
      <c r="I8" s="55">
        <v>-1000</v>
      </c>
      <c r="J8" s="21">
        <f t="shared" si="2"/>
        <v>46500</v>
      </c>
      <c r="K8" s="8" t="s">
        <v>148</v>
      </c>
      <c r="L8" s="9">
        <v>2000</v>
      </c>
      <c r="M8" s="9"/>
      <c r="N8" s="55">
        <v>1000</v>
      </c>
      <c r="O8" s="21">
        <f t="shared" si="3"/>
        <v>15400</v>
      </c>
      <c r="P8" s="8"/>
      <c r="Q8" s="9"/>
      <c r="R8" s="9"/>
      <c r="S8" s="55"/>
      <c r="T8" s="21">
        <f t="shared" si="4"/>
        <v>43100</v>
      </c>
      <c r="U8" s="60">
        <f>IF($J8="","",ROUND(($J8-$J$3)/1000,1)+(_xlfn.RANK.AVG($J8,($J8,$O8,$T8),1)-2)*20)</f>
        <v>31.5</v>
      </c>
      <c r="V8" s="61">
        <f>IF($O8="","",ROUND(($O8-$O$3)/1000,1)+(_xlfn.RANK.AVG($O8,($J8,$O8,$T8),1)-2)*20)</f>
        <v>-39.6</v>
      </c>
      <c r="W8" s="62">
        <f>IF($T8="","",ROUND(($T8-$T$3)/1000,1)+(_xlfn.RANK.AVG($T8,($J8,$O8,$T8),1)-2)*20)</f>
        <v>8.1</v>
      </c>
      <c r="Y8" s="8"/>
      <c r="Z8" s="41"/>
      <c r="AA8" s="32"/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/>
      <c r="AX8" s="32">
        <v>2</v>
      </c>
      <c r="AY8" s="36">
        <v>30</v>
      </c>
      <c r="AZ8" s="47" t="s">
        <v>84</v>
      </c>
      <c r="BA8" s="48" t="s">
        <v>80</v>
      </c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>
        <v>1</v>
      </c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7"/>
        <v>南</v>
      </c>
      <c r="B9" s="18">
        <f t="shared" si="5"/>
        <v>1</v>
      </c>
      <c r="C9" s="18">
        <f t="shared" si="6"/>
        <v>0</v>
      </c>
      <c r="D9" s="18">
        <f t="shared" si="1"/>
        <v>0</v>
      </c>
      <c r="E9" s="4" t="s">
        <v>141</v>
      </c>
      <c r="F9" s="8" t="s">
        <v>148</v>
      </c>
      <c r="G9" s="9">
        <v>1600</v>
      </c>
      <c r="H9" s="9"/>
      <c r="I9" s="55">
        <v>0</v>
      </c>
      <c r="J9" s="21">
        <f t="shared" si="2"/>
        <v>48100</v>
      </c>
      <c r="K9" s="8" t="s">
        <v>147</v>
      </c>
      <c r="L9" s="9">
        <v>-1600</v>
      </c>
      <c r="M9" s="9"/>
      <c r="N9" s="55">
        <v>0</v>
      </c>
      <c r="O9" s="21">
        <f t="shared" si="3"/>
        <v>13800</v>
      </c>
      <c r="P9" s="8"/>
      <c r="Q9" s="9"/>
      <c r="R9" s="9"/>
      <c r="S9" s="55"/>
      <c r="T9" s="21">
        <f t="shared" si="4"/>
        <v>43100</v>
      </c>
      <c r="U9" s="60">
        <f>IF($J9="","",ROUND(($J9-$J$3)/1000,1)+(_xlfn.RANK.AVG($J9,($J9,$O9,$T9),1)-2)*20)</f>
        <v>33.1</v>
      </c>
      <c r="V9" s="61">
        <f>IF($O9="","",ROUND(($O9-$O$3)/1000,1)+(_xlfn.RANK.AVG($O9,($J9,$O9,$T9),1)-2)*20)</f>
        <v>-41.2</v>
      </c>
      <c r="W9" s="62">
        <f>IF($T9="","",ROUND(($T9-$T$3)/1000,1)+(_xlfn.RANK.AVG($T9,($J9,$O9,$T9),1)-2)*20)</f>
        <v>8.1</v>
      </c>
      <c r="Y9" s="8"/>
      <c r="Z9" s="41"/>
      <c r="AA9" s="32"/>
      <c r="AB9" s="32"/>
      <c r="AC9" s="32">
        <v>2</v>
      </c>
      <c r="AD9" s="36">
        <v>25</v>
      </c>
      <c r="AE9" s="47" t="s">
        <v>102</v>
      </c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7"/>
        <v>南</v>
      </c>
      <c r="B10" s="18">
        <f t="shared" si="5"/>
        <v>2</v>
      </c>
      <c r="C10" s="18">
        <f t="shared" si="6"/>
        <v>0</v>
      </c>
      <c r="D10" s="18">
        <f t="shared" si="1"/>
        <v>0</v>
      </c>
      <c r="E10" s="4" t="s">
        <v>143</v>
      </c>
      <c r="F10" s="8" t="s">
        <v>148</v>
      </c>
      <c r="G10" s="9">
        <v>2000</v>
      </c>
      <c r="H10" s="9"/>
      <c r="I10" s="55">
        <v>0</v>
      </c>
      <c r="J10" s="21">
        <f t="shared" si="2"/>
        <v>50100</v>
      </c>
      <c r="K10" s="8" t="s">
        <v>147</v>
      </c>
      <c r="L10" s="9">
        <v>-2000</v>
      </c>
      <c r="M10" s="9"/>
      <c r="N10" s="55">
        <v>0</v>
      </c>
      <c r="O10" s="21">
        <f t="shared" si="3"/>
        <v>11800</v>
      </c>
      <c r="P10" s="8"/>
      <c r="Q10" s="9"/>
      <c r="R10" s="9"/>
      <c r="S10" s="55"/>
      <c r="T10" s="21">
        <f t="shared" si="4"/>
        <v>43100</v>
      </c>
      <c r="U10" s="60">
        <f>IF($J10="","",ROUND(($J10-$J$3)/1000,1)+(_xlfn.RANK.AVG($J10,($J10,$O10,$T10),1)-2)*20)</f>
        <v>35.1</v>
      </c>
      <c r="V10" s="61">
        <f>IF($O10="","",ROUND(($O10-$O$3)/1000,1)+(_xlfn.RANK.AVG($O10,($J10,$O10,$T10),1)-2)*20)</f>
        <v>-43.2</v>
      </c>
      <c r="W10" s="62">
        <f>IF($T10="","",ROUND(($T10-$T$3)/1000,1)+(_xlfn.RANK.AVG($T10,($J10,$O10,$T10),1)-2)*20)</f>
        <v>8.1</v>
      </c>
      <c r="Y10" s="8"/>
      <c r="Z10" s="41"/>
      <c r="AA10" s="32"/>
      <c r="AB10" s="32">
        <v>1</v>
      </c>
      <c r="AC10" s="32">
        <v>2</v>
      </c>
      <c r="AD10" s="36">
        <v>30</v>
      </c>
      <c r="AE10" s="47" t="s">
        <v>87</v>
      </c>
      <c r="AF10" s="48" t="s">
        <v>87</v>
      </c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7"/>
        <v>南</v>
      </c>
      <c r="B11" s="18">
        <f t="shared" si="5"/>
        <v>3</v>
      </c>
      <c r="C11" s="18">
        <f t="shared" si="6"/>
        <v>0</v>
      </c>
      <c r="D11" s="18">
        <f t="shared" si="1"/>
        <v>0</v>
      </c>
      <c r="E11" s="4" t="s">
        <v>139</v>
      </c>
      <c r="F11" s="8" t="s">
        <v>151</v>
      </c>
      <c r="G11" s="9">
        <v>5000</v>
      </c>
      <c r="H11" s="9"/>
      <c r="I11" s="55"/>
      <c r="J11" s="21">
        <f t="shared" si="2"/>
        <v>55100</v>
      </c>
      <c r="K11" s="8" t="s">
        <v>151</v>
      </c>
      <c r="L11" s="9">
        <v>-8000</v>
      </c>
      <c r="M11" s="9"/>
      <c r="N11" s="55"/>
      <c r="O11" s="21">
        <f t="shared" si="3"/>
        <v>3800</v>
      </c>
      <c r="P11" s="8" t="s">
        <v>151</v>
      </c>
      <c r="Q11" s="9">
        <v>3000</v>
      </c>
      <c r="R11" s="9"/>
      <c r="S11" s="55"/>
      <c r="T11" s="21">
        <f t="shared" si="4"/>
        <v>46100</v>
      </c>
      <c r="U11" s="60">
        <f>IF($J11="","",ROUND(($J11-$J$3)/1000,1)+(_xlfn.RANK.AVG($J11,($J11,$O11,$T11),1)-2)*20)</f>
        <v>40.1</v>
      </c>
      <c r="V11" s="61">
        <f>IF($O11="","",ROUND(($O11-$O$3)/1000,1)+(_xlfn.RANK.AVG($O11,($J11,$O11,$T11),1)-2)*20)</f>
        <v>-51.2</v>
      </c>
      <c r="W11" s="62">
        <f>IF($T11="","",ROUND(($T11-$T$3)/1000,1)+(_xlfn.RANK.AVG($T11,($J11,$O11,$T11),1)-2)*20)</f>
        <v>11.1</v>
      </c>
      <c r="Y11" s="8"/>
      <c r="Z11" s="41"/>
      <c r="AA11" s="32"/>
      <c r="AB11" s="32">
        <v>1</v>
      </c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>
        <v>1</v>
      </c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7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55"/>
      <c r="J12" s="21" t="str">
        <f t="shared" si="2"/>
        <v/>
      </c>
      <c r="K12" s="8"/>
      <c r="L12" s="9"/>
      <c r="M12" s="9"/>
      <c r="N12" s="55"/>
      <c r="O12" s="21" t="str">
        <f t="shared" si="3"/>
        <v/>
      </c>
      <c r="P12" s="8"/>
      <c r="Q12" s="9"/>
      <c r="R12" s="9"/>
      <c r="S12" s="55"/>
      <c r="T12" s="21" t="str">
        <f t="shared" si="4"/>
        <v/>
      </c>
      <c r="U12" s="60" t="str">
        <f>IF($J12="","",ROUND(($J12-$J$3)/1000,1)+(_xlfn.RANK.AVG($J12,($J12,$O12,$T12),1)-2)*20)</f>
        <v/>
      </c>
      <c r="V12" s="61" t="str">
        <f>IF($O12="","",ROUND(($O12-$O$3)/1000,1)+(_xlfn.RANK.AVG($O12,($J12,$O12,$T12),1)-2)*20)</f>
        <v/>
      </c>
      <c r="W12" s="62" t="str">
        <f>IF($T12="","",ROUND(($T12-$T$3)/1000,1)+(_xlfn.RANK.AVG($T12,($J12,$O12,$T12),1)-2)*20)</f>
        <v/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7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55"/>
      <c r="J13" s="21" t="str">
        <f t="shared" si="2"/>
        <v/>
      </c>
      <c r="K13" s="8"/>
      <c r="L13" s="9"/>
      <c r="M13" s="9"/>
      <c r="N13" s="55"/>
      <c r="O13" s="21" t="str">
        <f t="shared" si="3"/>
        <v/>
      </c>
      <c r="P13" s="8"/>
      <c r="Q13" s="9"/>
      <c r="R13" s="9"/>
      <c r="S13" s="55"/>
      <c r="T13" s="21" t="str">
        <f t="shared" si="4"/>
        <v/>
      </c>
      <c r="U13" s="60" t="str">
        <f>IF($J13="","",ROUND(($J13-$J$3)/1000,1)+(_xlfn.RANK.AVG($J13,($J13,$O13,$T13),1)-2)*20)</f>
        <v/>
      </c>
      <c r="V13" s="61" t="str">
        <f>IF($O13="","",ROUND(($O13-$O$3)/1000,1)+(_xlfn.RANK.AVG($O13,($J13,$O13,$T13),1)-2)*20)</f>
        <v/>
      </c>
      <c r="W13" s="62" t="str">
        <f>IF($T13="","",ROUND(($T13-$T$3)/1000,1)+(_xlfn.RANK.AVG($T13,($J13,$O13,$T13),1)-2)*20)</f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7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55"/>
      <c r="J14" s="21" t="str">
        <f t="shared" si="2"/>
        <v/>
      </c>
      <c r="K14" s="8"/>
      <c r="L14" s="9"/>
      <c r="M14" s="9"/>
      <c r="N14" s="55"/>
      <c r="O14" s="21" t="str">
        <f t="shared" si="3"/>
        <v/>
      </c>
      <c r="P14" s="8"/>
      <c r="Q14" s="9"/>
      <c r="R14" s="9"/>
      <c r="S14" s="55"/>
      <c r="T14" s="21" t="str">
        <f t="shared" si="4"/>
        <v/>
      </c>
      <c r="U14" s="60" t="str">
        <f>IF($J14="","",ROUND(($J14-$J$3)/1000,1)+(_xlfn.RANK.AVG($J14,($J14,$O14,$T14),1)-2)*20)</f>
        <v/>
      </c>
      <c r="V14" s="61" t="str">
        <f>IF($O14="","",ROUND(($O14-$O$3)/1000,1)+(_xlfn.RANK.AVG($O14,($J14,$O14,$T14),1)-2)*20)</f>
        <v/>
      </c>
      <c r="W14" s="62" t="str">
        <f>IF($T14="","",ROUND(($T14-$T$3)/1000,1)+(_xlfn.RANK.AVG($T14,($J14,$O14,$T14),1)-2)*20)</f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7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55"/>
      <c r="J15" s="21" t="str">
        <f t="shared" si="2"/>
        <v/>
      </c>
      <c r="K15" s="8"/>
      <c r="L15" s="9"/>
      <c r="M15" s="9"/>
      <c r="N15" s="55"/>
      <c r="O15" s="21" t="str">
        <f t="shared" si="3"/>
        <v/>
      </c>
      <c r="P15" s="8"/>
      <c r="Q15" s="9"/>
      <c r="R15" s="9"/>
      <c r="S15" s="55"/>
      <c r="T15" s="21" t="str">
        <f t="shared" si="4"/>
        <v/>
      </c>
      <c r="U15" s="60" t="str">
        <f>IF($J15="","",ROUND(($J15-$J$3)/1000,1)+(_xlfn.RANK.AVG($J15,($J15,$O15,$T15),1)-2)*20)</f>
        <v/>
      </c>
      <c r="V15" s="61" t="str">
        <f>IF($O15="","",ROUND(($O15-$O$3)/1000,1)+(_xlfn.RANK.AVG($O15,($J15,$O15,$T15),1)-2)*20)</f>
        <v/>
      </c>
      <c r="W15" s="62" t="str">
        <f>IF($T15="","",ROUND(($T15-$T$3)/1000,1)+(_xlfn.RANK.AVG($T15,($J15,$O15,$T15),1)-2)*20)</f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7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55"/>
      <c r="J16" s="21" t="str">
        <f t="shared" si="2"/>
        <v/>
      </c>
      <c r="K16" s="8"/>
      <c r="L16" s="9"/>
      <c r="M16" s="9"/>
      <c r="N16" s="55"/>
      <c r="O16" s="21" t="str">
        <f t="shared" si="3"/>
        <v/>
      </c>
      <c r="P16" s="8"/>
      <c r="Q16" s="9"/>
      <c r="R16" s="9"/>
      <c r="S16" s="55"/>
      <c r="T16" s="21" t="str">
        <f t="shared" si="4"/>
        <v/>
      </c>
      <c r="U16" s="60" t="str">
        <f>IF($J16="","",ROUND(($J16-$J$3)/1000,1)+(_xlfn.RANK.AVG($J16,($J16,$O16,$T16),1)-2)*20)</f>
        <v/>
      </c>
      <c r="V16" s="61" t="str">
        <f>IF($O16="","",ROUND(($O16-$O$3)/1000,1)+(_xlfn.RANK.AVG($O16,($J16,$O16,$T16),1)-2)*20)</f>
        <v/>
      </c>
      <c r="W16" s="62" t="str">
        <f>IF($T16="","",ROUND(($T16-$T$3)/1000,1)+(_xlfn.RANK.AVG($T16,($J16,$O16,$T16),1)-2)*20)</f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7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55"/>
      <c r="J17" s="21" t="str">
        <f t="shared" si="2"/>
        <v/>
      </c>
      <c r="K17" s="8"/>
      <c r="L17" s="9"/>
      <c r="M17" s="9"/>
      <c r="N17" s="55"/>
      <c r="O17" s="21" t="str">
        <f t="shared" si="3"/>
        <v/>
      </c>
      <c r="P17" s="8"/>
      <c r="Q17" s="9"/>
      <c r="R17" s="9"/>
      <c r="S17" s="55"/>
      <c r="T17" s="21" t="str">
        <f t="shared" si="4"/>
        <v/>
      </c>
      <c r="U17" s="60" t="str">
        <f>IF($J17="","",ROUND(($J17-$J$3)/1000,1)+(_xlfn.RANK.AVG($J17,($J17,$O17,$T17),1)-2)*20)</f>
        <v/>
      </c>
      <c r="V17" s="61" t="str">
        <f>IF($O17="","",ROUND(($O17-$O$3)/1000,1)+(_xlfn.RANK.AVG($O17,($J17,$O17,$T17),1)-2)*20)</f>
        <v/>
      </c>
      <c r="W17" s="62" t="str">
        <f>IF($T17="","",ROUND(($T17-$T$3)/1000,1)+(_xlfn.RANK.AVG($T17,($J17,$O17,$T17),1)-2)*20)</f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7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55"/>
      <c r="J18" s="21" t="str">
        <f t="shared" si="2"/>
        <v/>
      </c>
      <c r="K18" s="8"/>
      <c r="L18" s="9"/>
      <c r="M18" s="9"/>
      <c r="N18" s="55"/>
      <c r="O18" s="21" t="str">
        <f t="shared" si="3"/>
        <v/>
      </c>
      <c r="P18" s="8"/>
      <c r="Q18" s="9"/>
      <c r="R18" s="9"/>
      <c r="S18" s="55"/>
      <c r="T18" s="21" t="str">
        <f t="shared" si="4"/>
        <v/>
      </c>
      <c r="U18" s="60" t="str">
        <f>IF($J18="","",ROUND(($J18-$J$3)/1000,1)+(_xlfn.RANK.AVG($J18,($J18,$O18,$T18),1)-2)*20)</f>
        <v/>
      </c>
      <c r="V18" s="61" t="str">
        <f>IF($O18="","",ROUND(($O18-$O$3)/1000,1)+(_xlfn.RANK.AVG($O18,($J18,$O18,$T18),1)-2)*20)</f>
        <v/>
      </c>
      <c r="W18" s="62" t="str">
        <f>IF($T18="","",ROUND(($T18-$T$3)/1000,1)+(_xlfn.RANK.AVG($T18,($J18,$O18,$T18),1)-2)*20)</f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7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55"/>
      <c r="J19" s="21" t="str">
        <f t="shared" si="2"/>
        <v/>
      </c>
      <c r="K19" s="8"/>
      <c r="L19" s="9"/>
      <c r="M19" s="9"/>
      <c r="N19" s="55"/>
      <c r="O19" s="21" t="str">
        <f t="shared" si="3"/>
        <v/>
      </c>
      <c r="P19" s="8"/>
      <c r="Q19" s="9"/>
      <c r="R19" s="9"/>
      <c r="S19" s="55"/>
      <c r="T19" s="21" t="str">
        <f t="shared" si="4"/>
        <v/>
      </c>
      <c r="U19" s="60" t="str">
        <f>IF($J19="","",ROUND(($J19-$J$3)/1000,1)+(_xlfn.RANK.AVG($J19,($J19,$O19,$T19),1)-2)*20)</f>
        <v/>
      </c>
      <c r="V19" s="61" t="str">
        <f>IF($O19="","",ROUND(($O19-$O$3)/1000,1)+(_xlfn.RANK.AVG($O19,($J19,$O19,$T19),1)-2)*20)</f>
        <v/>
      </c>
      <c r="W19" s="62" t="str">
        <f>IF($T19="","",ROUND(($T19-$T$3)/1000,1)+(_xlfn.RANK.AVG($T19,($J19,$O19,$T19),1)-2)*20)</f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7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55"/>
      <c r="J20" s="21" t="str">
        <f t="shared" si="2"/>
        <v/>
      </c>
      <c r="K20" s="8"/>
      <c r="L20" s="9"/>
      <c r="M20" s="9"/>
      <c r="N20" s="55"/>
      <c r="O20" s="21" t="str">
        <f t="shared" si="3"/>
        <v/>
      </c>
      <c r="P20" s="8"/>
      <c r="Q20" s="9"/>
      <c r="R20" s="9"/>
      <c r="S20" s="55"/>
      <c r="T20" s="21" t="str">
        <f t="shared" si="4"/>
        <v/>
      </c>
      <c r="U20" s="60" t="str">
        <f>IF($J20="","",ROUND(($J20-$J$3)/1000,1)+(_xlfn.RANK.AVG($J20,($J20,$O20,$T20),1)-2)*20)</f>
        <v/>
      </c>
      <c r="V20" s="61" t="str">
        <f>IF($O20="","",ROUND(($O20-$O$3)/1000,1)+(_xlfn.RANK.AVG($O20,($J20,$O20,$T20),1)-2)*20)</f>
        <v/>
      </c>
      <c r="W20" s="62" t="str">
        <f>IF($T20="","",ROUND(($T20-$T$3)/1000,1)+(_xlfn.RANK.AVG($T20,($J20,$O20,$T20),1)-2)*20)</f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7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55"/>
      <c r="J21" s="21" t="str">
        <f t="shared" si="2"/>
        <v/>
      </c>
      <c r="K21" s="8"/>
      <c r="L21" s="9"/>
      <c r="M21" s="9"/>
      <c r="N21" s="55"/>
      <c r="O21" s="21" t="str">
        <f t="shared" si="3"/>
        <v/>
      </c>
      <c r="P21" s="8"/>
      <c r="Q21" s="9"/>
      <c r="R21" s="9"/>
      <c r="S21" s="55"/>
      <c r="T21" s="21" t="str">
        <f t="shared" si="4"/>
        <v/>
      </c>
      <c r="U21" s="60" t="str">
        <f>IF($J21="","",ROUND(($J21-$J$3)/1000,1)+(_xlfn.RANK.AVG($J21,($J21,$O21,$T21),1)-2)*20)</f>
        <v/>
      </c>
      <c r="V21" s="61" t="str">
        <f>IF($O21="","",ROUND(($O21-$O$3)/1000,1)+(_xlfn.RANK.AVG($O21,($J21,$O21,$T21),1)-2)*20)</f>
        <v/>
      </c>
      <c r="W21" s="62" t="str">
        <f>IF($T21="","",ROUND(($T21-$T$3)/1000,1)+(_xlfn.RANK.AVG($T21,($J21,$O21,$T21),1)-2)*20)</f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7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55"/>
      <c r="J22" s="21" t="str">
        <f t="shared" si="2"/>
        <v/>
      </c>
      <c r="K22" s="8"/>
      <c r="L22" s="9"/>
      <c r="M22" s="9"/>
      <c r="N22" s="55"/>
      <c r="O22" s="21" t="str">
        <f t="shared" si="3"/>
        <v/>
      </c>
      <c r="P22" s="8"/>
      <c r="Q22" s="9"/>
      <c r="R22" s="9"/>
      <c r="S22" s="55"/>
      <c r="T22" s="21" t="str">
        <f t="shared" si="4"/>
        <v/>
      </c>
      <c r="U22" s="60" t="str">
        <f>IF($J22="","",ROUND(($J22-$J$3)/1000,1)+(_xlfn.RANK.AVG($J22,($J22,$O22,$T22),1)-2)*20)</f>
        <v/>
      </c>
      <c r="V22" s="61" t="str">
        <f>IF($O22="","",ROUND(($O22-$O$3)/1000,1)+(_xlfn.RANK.AVG($O22,($J22,$O22,$T22),1)-2)*20)</f>
        <v/>
      </c>
      <c r="W22" s="62" t="str">
        <f>IF($T22="","",ROUND(($T22-$T$3)/1000,1)+(_xlfn.RANK.AVG($T22,($J22,$O22,$T22),1)-2)*20)</f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7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55"/>
      <c r="J23" s="21" t="str">
        <f t="shared" si="2"/>
        <v/>
      </c>
      <c r="K23" s="8"/>
      <c r="L23" s="9"/>
      <c r="M23" s="9"/>
      <c r="N23" s="55"/>
      <c r="O23" s="21" t="str">
        <f t="shared" si="3"/>
        <v/>
      </c>
      <c r="P23" s="8"/>
      <c r="Q23" s="9"/>
      <c r="R23" s="9"/>
      <c r="S23" s="55"/>
      <c r="T23" s="21" t="str">
        <f t="shared" si="4"/>
        <v/>
      </c>
      <c r="U23" s="60" t="str">
        <f>IF($J23="","",ROUND(($J23-$J$3)/1000,1)+(_xlfn.RANK.AVG($J23,($J23,$O23,$T23),1)-2)*20)</f>
        <v/>
      </c>
      <c r="V23" s="61" t="str">
        <f>IF($O23="","",ROUND(($O23-$O$3)/1000,1)+(_xlfn.RANK.AVG($O23,($J23,$O23,$T23),1)-2)*20)</f>
        <v/>
      </c>
      <c r="W23" s="62" t="str">
        <f>IF($T23="","",ROUND(($T23-$T$3)/1000,1)+(_xlfn.RANK.AVG($T23,($J23,$O23,$T23),1)-2)*20)</f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7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55"/>
      <c r="J24" s="21" t="str">
        <f t="shared" si="2"/>
        <v/>
      </c>
      <c r="K24" s="8"/>
      <c r="L24" s="9"/>
      <c r="M24" s="9"/>
      <c r="N24" s="55"/>
      <c r="O24" s="21" t="str">
        <f t="shared" si="3"/>
        <v/>
      </c>
      <c r="P24" s="8"/>
      <c r="Q24" s="9"/>
      <c r="R24" s="9"/>
      <c r="S24" s="55"/>
      <c r="T24" s="21" t="str">
        <f t="shared" si="4"/>
        <v/>
      </c>
      <c r="U24" s="60" t="str">
        <f>IF($J24="","",ROUND(($J24-$J$3)/1000,1)+(_xlfn.RANK.AVG($J24,($J24,$O24,$T24),1)-2)*20)</f>
        <v/>
      </c>
      <c r="V24" s="61" t="str">
        <f>IF($O24="","",ROUND(($O24-$O$3)/1000,1)+(_xlfn.RANK.AVG($O24,($J24,$O24,$T24),1)-2)*20)</f>
        <v/>
      </c>
      <c r="W24" s="62" t="str">
        <f>IF($T24="","",ROUND(($T24-$T$3)/1000,1)+(_xlfn.RANK.AVG($T24,($J24,$O24,$T24),1)-2)*20)</f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7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55"/>
      <c r="J25" s="21" t="str">
        <f t="shared" si="2"/>
        <v/>
      </c>
      <c r="K25" s="8"/>
      <c r="L25" s="9"/>
      <c r="M25" s="9"/>
      <c r="N25" s="55"/>
      <c r="O25" s="21" t="str">
        <f t="shared" si="3"/>
        <v/>
      </c>
      <c r="P25" s="8"/>
      <c r="Q25" s="9"/>
      <c r="R25" s="9"/>
      <c r="S25" s="55"/>
      <c r="T25" s="21" t="str">
        <f t="shared" si="4"/>
        <v/>
      </c>
      <c r="U25" s="60" t="str">
        <f>IF($J25="","",ROUND(($J25-$J$3)/1000,1)+(_xlfn.RANK.AVG($J25,($J25,$O25,$T25),1)-2)*20)</f>
        <v/>
      </c>
      <c r="V25" s="61" t="str">
        <f>IF($O25="","",ROUND(($O25-$O$3)/1000,1)+(_xlfn.RANK.AVG($O25,($J25,$O25,$T25),1)-2)*20)</f>
        <v/>
      </c>
      <c r="W25" s="62" t="str">
        <f>IF($T25="","",ROUND(($T25-$T$3)/1000,1)+(_xlfn.RANK.AVG($T25,($J25,$O25,$T25),1)-2)*20)</f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7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55"/>
      <c r="J26" s="21" t="str">
        <f t="shared" si="2"/>
        <v/>
      </c>
      <c r="K26" s="8"/>
      <c r="L26" s="9"/>
      <c r="M26" s="9"/>
      <c r="N26" s="55"/>
      <c r="O26" s="21" t="str">
        <f t="shared" si="3"/>
        <v/>
      </c>
      <c r="P26" s="8"/>
      <c r="Q26" s="9"/>
      <c r="R26" s="9"/>
      <c r="S26" s="55"/>
      <c r="T26" s="21" t="str">
        <f t="shared" si="4"/>
        <v/>
      </c>
      <c r="U26" s="60" t="str">
        <f>IF($J26="","",ROUND(($J26-$J$3)/1000,1)+(_xlfn.RANK.AVG($J26,($J26,$O26,$T26),1)-2)*20)</f>
        <v/>
      </c>
      <c r="V26" s="61" t="str">
        <f>IF($O26="","",ROUND(($O26-$O$3)/1000,1)+(_xlfn.RANK.AVG($O26,($J26,$O26,$T26),1)-2)*20)</f>
        <v/>
      </c>
      <c r="W26" s="62" t="str">
        <f>IF($T26="","",ROUND(($T26-$T$3)/1000,1)+(_xlfn.RANK.AVG($T26,($J26,$O26,$T26),1)-2)*20)</f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7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55"/>
      <c r="J27" s="21" t="str">
        <f t="shared" si="2"/>
        <v/>
      </c>
      <c r="K27" s="8"/>
      <c r="L27" s="9"/>
      <c r="M27" s="9"/>
      <c r="N27" s="55"/>
      <c r="O27" s="21" t="str">
        <f t="shared" si="3"/>
        <v/>
      </c>
      <c r="P27" s="8"/>
      <c r="Q27" s="9"/>
      <c r="R27" s="9"/>
      <c r="S27" s="55"/>
      <c r="T27" s="21" t="str">
        <f t="shared" si="4"/>
        <v/>
      </c>
      <c r="U27" s="60" t="str">
        <f>IF($J27="","",ROUND(($J27-$J$3)/1000,1)+(_xlfn.RANK.AVG($J27,($J27,$O27,$T27),1)-2)*20)</f>
        <v/>
      </c>
      <c r="V27" s="61" t="str">
        <f>IF($O27="","",ROUND(($O27-$O$3)/1000,1)+(_xlfn.RANK.AVG($O27,($J27,$O27,$T27),1)-2)*20)</f>
        <v/>
      </c>
      <c r="W27" s="62" t="str">
        <f>IF($T27="","",ROUND(($T27-$T$3)/1000,1)+(_xlfn.RANK.AVG($T27,($J27,$O27,$T27),1)-2)*20)</f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7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55"/>
      <c r="J28" s="21" t="str">
        <f t="shared" si="2"/>
        <v/>
      </c>
      <c r="K28" s="8"/>
      <c r="L28" s="9"/>
      <c r="M28" s="9"/>
      <c r="N28" s="55"/>
      <c r="O28" s="21" t="str">
        <f t="shared" si="3"/>
        <v/>
      </c>
      <c r="P28" s="8"/>
      <c r="Q28" s="9"/>
      <c r="R28" s="9"/>
      <c r="S28" s="55"/>
      <c r="T28" s="21" t="str">
        <f t="shared" si="4"/>
        <v/>
      </c>
      <c r="U28" s="60" t="str">
        <f>IF($J28="","",ROUND(($J28-$J$3)/1000,1)+(_xlfn.RANK.AVG($J28,($J28,$O28,$T28),1)-2)*20)</f>
        <v/>
      </c>
      <c r="V28" s="61" t="str">
        <f>IF($O28="","",ROUND(($O28-$O$3)/1000,1)+(_xlfn.RANK.AVG($O28,($J28,$O28,$T28),1)-2)*20)</f>
        <v/>
      </c>
      <c r="W28" s="62" t="str">
        <f>IF($T28="","",ROUND(($T28-$T$3)/1000,1)+(_xlfn.RANK.AVG($T28,($J28,$O28,$T28),1)-2)*20)</f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7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55"/>
      <c r="J29" s="21" t="str">
        <f t="shared" si="2"/>
        <v/>
      </c>
      <c r="K29" s="8"/>
      <c r="L29" s="9"/>
      <c r="M29" s="9"/>
      <c r="N29" s="55"/>
      <c r="O29" s="21" t="str">
        <f t="shared" si="3"/>
        <v/>
      </c>
      <c r="P29" s="8"/>
      <c r="Q29" s="9"/>
      <c r="R29" s="9"/>
      <c r="S29" s="55"/>
      <c r="T29" s="21" t="str">
        <f t="shared" si="4"/>
        <v/>
      </c>
      <c r="U29" s="60" t="str">
        <f>IF($J29="","",ROUND(($J29-$J$3)/1000,1)+(_xlfn.RANK.AVG($J29,($J29,$O29,$T29),1)-2)*20)</f>
        <v/>
      </c>
      <c r="V29" s="61" t="str">
        <f>IF($O29="","",ROUND(($O29-$O$3)/1000,1)+(_xlfn.RANK.AVG($O29,($J29,$O29,$T29),1)-2)*20)</f>
        <v/>
      </c>
      <c r="W29" s="62" t="str">
        <f>IF($T29="","",ROUND(($T29-$T$3)/1000,1)+(_xlfn.RANK.AVG($T29,($J29,$O29,$T29),1)-2)*20)</f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7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56"/>
      <c r="J30" s="22" t="str">
        <f t="shared" si="2"/>
        <v/>
      </c>
      <c r="K30" s="10"/>
      <c r="L30" s="11"/>
      <c r="M30" s="11"/>
      <c r="N30" s="56"/>
      <c r="O30" s="22" t="str">
        <f t="shared" si="3"/>
        <v/>
      </c>
      <c r="P30" s="10"/>
      <c r="Q30" s="11"/>
      <c r="R30" s="11"/>
      <c r="S30" s="56"/>
      <c r="T30" s="22" t="str">
        <f t="shared" si="4"/>
        <v/>
      </c>
      <c r="U30" s="63" t="str">
        <f>IF($J30="","",ROUND(($J30-$J$3)/1000,1)+(_xlfn.RANK.AVG($J30,($J30,$O30,$T30),1)-2)*20)</f>
        <v/>
      </c>
      <c r="V30" s="64" t="str">
        <f>IF($O30="","",ROUND(($O30-$O$3)/1000,1)+(_xlfn.RANK.AVG($O30,($J30,$O30,$T30),1)-2)*20)</f>
        <v/>
      </c>
      <c r="W30" s="65" t="str">
        <f>IF($T30="","",ROUND(($T30-$T$3)/1000,1)+(_xlfn.RANK.AVG($T30,($J30,$O30,$T30),1)-2)*20)</f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T1:BN1"/>
    <mergeCell ref="AZ2:BN2"/>
    <mergeCell ref="BO1:CI1"/>
    <mergeCell ref="BU2:CI2"/>
    <mergeCell ref="A1:A2"/>
    <mergeCell ref="B1:B2"/>
    <mergeCell ref="C1:C2"/>
    <mergeCell ref="D1:D2"/>
    <mergeCell ref="E1:E2"/>
    <mergeCell ref="Y1:AS1"/>
    <mergeCell ref="AE2:AS2"/>
    <mergeCell ref="K1:O1"/>
    <mergeCell ref="P1:T1"/>
    <mergeCell ref="F1:J1"/>
    <mergeCell ref="U1:W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2">
    <dataValidation type="list" showInputMessage="1" showErrorMessage="1" sqref="K4:K30 P4:P30 F4:F30" xr:uid="{587ED49A-2F08-4F69-A510-DEF5A3CAE504}">
      <formula1>"ロン,ツモ,放銃,ツモ支払,流局,チョンボ"</formula1>
    </dataValidation>
    <dataValidation type="list" allowBlank="1" showInputMessage="1" showErrorMessage="1" sqref="E4:E30" xr:uid="{2F9C0077-4829-4DF7-8D65-C29693CCEA30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107F18-E84B-4851-BC8C-F50E82AB6C25}">
  <sheetPr codeName="Sheet10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22</v>
      </c>
      <c r="E1" s="81" t="s">
        <v>3</v>
      </c>
      <c r="F1" s="72" t="s">
        <v>142</v>
      </c>
      <c r="G1" s="74"/>
      <c r="H1" s="74"/>
      <c r="I1" s="83"/>
      <c r="J1" s="75"/>
      <c r="K1" s="72" t="s">
        <v>153</v>
      </c>
      <c r="L1" s="74"/>
      <c r="M1" s="74"/>
      <c r="N1" s="83"/>
      <c r="O1" s="75"/>
      <c r="P1" s="72" t="s">
        <v>144</v>
      </c>
      <c r="Q1" s="74"/>
      <c r="R1" s="74"/>
      <c r="S1" s="83"/>
      <c r="T1" s="75"/>
      <c r="U1" s="72" t="s">
        <v>6</v>
      </c>
      <c r="V1" s="74"/>
      <c r="W1" s="75"/>
      <c r="Y1" s="72" t="str">
        <f>F1</f>
        <v>れんたろう</v>
      </c>
      <c r="Z1" s="73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5"/>
      <c r="AT1" s="72" t="str">
        <f>K1</f>
        <v>りくと</v>
      </c>
      <c r="AU1" s="73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5"/>
      <c r="BO1" s="72" t="str">
        <f>P1</f>
        <v>たかの</v>
      </c>
      <c r="BP1" s="73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0" t="str">
        <f>$F$1</f>
        <v>れんたろう</v>
      </c>
      <c r="V2" s="71" t="str">
        <f>$K$1</f>
        <v>りくと</v>
      </c>
      <c r="W2" s="16" t="str">
        <f>$P$1</f>
        <v>たかの</v>
      </c>
      <c r="Y2" s="66" t="s">
        <v>24</v>
      </c>
      <c r="Z2" s="67" t="s">
        <v>27</v>
      </c>
      <c r="AA2" s="68" t="s">
        <v>25</v>
      </c>
      <c r="AB2" s="68" t="s">
        <v>128</v>
      </c>
      <c r="AC2" s="68" t="s">
        <v>19</v>
      </c>
      <c r="AD2" s="69" t="s">
        <v>20</v>
      </c>
      <c r="AE2" s="76" t="s">
        <v>21</v>
      </c>
      <c r="AF2" s="76"/>
      <c r="AG2" s="76"/>
      <c r="AH2" s="76"/>
      <c r="AI2" s="76"/>
      <c r="AJ2" s="76"/>
      <c r="AK2" s="76"/>
      <c r="AL2" s="76"/>
      <c r="AM2" s="76"/>
      <c r="AN2" s="76"/>
      <c r="AO2" s="76"/>
      <c r="AP2" s="76"/>
      <c r="AQ2" s="76"/>
      <c r="AR2" s="76"/>
      <c r="AS2" s="76"/>
      <c r="AT2" s="66" t="s">
        <v>24</v>
      </c>
      <c r="AU2" s="67" t="s">
        <v>27</v>
      </c>
      <c r="AV2" s="68" t="s">
        <v>25</v>
      </c>
      <c r="AW2" s="68" t="s">
        <v>129</v>
      </c>
      <c r="AX2" s="68" t="s">
        <v>19</v>
      </c>
      <c r="AY2" s="69" t="s">
        <v>20</v>
      </c>
      <c r="AZ2" s="76" t="s">
        <v>21</v>
      </c>
      <c r="BA2" s="76"/>
      <c r="BB2" s="76"/>
      <c r="BC2" s="76"/>
      <c r="BD2" s="7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66" t="s">
        <v>24</v>
      </c>
      <c r="BP2" s="67" t="s">
        <v>27</v>
      </c>
      <c r="BQ2" s="68" t="s">
        <v>25</v>
      </c>
      <c r="BR2" s="68" t="s">
        <v>129</v>
      </c>
      <c r="BS2" s="68" t="s">
        <v>19</v>
      </c>
      <c r="BT2" s="69" t="s">
        <v>20</v>
      </c>
      <c r="BU2" s="76" t="s">
        <v>21</v>
      </c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IF($J3="","",ROUND(($J3-$J$3)/1000,1)+(_xlfn.RANK.AVG($J3,($J3,$O3,$T3),1)-2)*20)</f>
        <v>0</v>
      </c>
      <c r="V3" s="58">
        <f>IF($O3="","",ROUND(($O3-$O$3)/1000,1)+(_xlfn.RANK.AVG($O3,($J3,$O3,$T3),1)-2)*20)</f>
        <v>0</v>
      </c>
      <c r="W3" s="59">
        <f>IF($T3="","",ROUND(($T3-$T$3)/1000,1)+(_xlfn.RANK.AVG($T3,($J3,$O3,$T3),1)-2)*20)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141</v>
      </c>
      <c r="F4" s="8" t="s">
        <v>155</v>
      </c>
      <c r="G4" s="9">
        <v>-1500</v>
      </c>
      <c r="H4" s="9"/>
      <c r="I4" s="55"/>
      <c r="J4" s="21">
        <f>IF(COUNTA($F4,$K4,$P4)&gt;0,J3+SUM(G4:I4),"")</f>
        <v>33500</v>
      </c>
      <c r="K4" s="8" t="s">
        <v>155</v>
      </c>
      <c r="L4" s="9">
        <v>-1500</v>
      </c>
      <c r="M4" s="9"/>
      <c r="N4" s="55"/>
      <c r="O4" s="21">
        <f>IF(COUNTA($F4,$K4,$P4)&gt;0,O3+SUM(L4:N4),"")</f>
        <v>33500</v>
      </c>
      <c r="P4" s="8" t="s">
        <v>155</v>
      </c>
      <c r="Q4" s="9">
        <v>3000</v>
      </c>
      <c r="R4" s="9">
        <v>-1000</v>
      </c>
      <c r="S4" s="55"/>
      <c r="T4" s="21">
        <f>IF(COUNTA($F4,$K4,$P4)&gt;0,T3+SUM(Q4:S4),"")</f>
        <v>37000</v>
      </c>
      <c r="U4" s="60">
        <f>IF($J4="","",ROUND(($J4-$J$3)/1000,1)+(_xlfn.RANK.AVG($J4,($J4,$O4,$T4),1)-2)*20)</f>
        <v>-11.5</v>
      </c>
      <c r="V4" s="61">
        <f>IF($O4="","",ROUND(($O4-$O$3)/1000,1)+(_xlfn.RANK.AVG($O4,($J4,$O4,$T4),1)-2)*20)</f>
        <v>-11.5</v>
      </c>
      <c r="W4" s="62">
        <f>IF($T4="","",ROUND(($T4-$T$3)/1000,1)+(_xlfn.RANK.AVG($T4,($J4,$O4,$T4),1)-2)*20)</f>
        <v>22</v>
      </c>
      <c r="Y4" s="8" t="s">
        <v>154</v>
      </c>
      <c r="Z4" s="41"/>
      <c r="AA4" s="32"/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 t="s">
        <v>154</v>
      </c>
      <c r="AU4" s="41"/>
      <c r="AV4" s="32"/>
      <c r="AW4" s="32"/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 t="s">
        <v>145</v>
      </c>
      <c r="BP4" s="41"/>
      <c r="BQ4" s="32">
        <v>1</v>
      </c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1</v>
      </c>
      <c r="E5" s="4" t="s">
        <v>152</v>
      </c>
      <c r="F5" s="8" t="s">
        <v>148</v>
      </c>
      <c r="G5" s="9">
        <v>3900</v>
      </c>
      <c r="H5" s="9">
        <v>1000</v>
      </c>
      <c r="I5" s="55">
        <v>1000</v>
      </c>
      <c r="J5" s="21">
        <f t="shared" ref="J5:J30" si="2">IF(COUNTA($F5,$K5,$P5)&gt;0,J4+SUM(G5:I5),"")</f>
        <v>39400</v>
      </c>
      <c r="K5" s="8" t="s">
        <v>147</v>
      </c>
      <c r="L5" s="9">
        <v>-3900</v>
      </c>
      <c r="M5" s="9"/>
      <c r="N5" s="55">
        <v>-1000</v>
      </c>
      <c r="O5" s="21">
        <f t="shared" ref="O5:O30" si="3">IF(COUNTA($F5,$K5,$P5)&gt;0,O4+SUM(L5:N5),"")</f>
        <v>28600</v>
      </c>
      <c r="P5" s="8"/>
      <c r="Q5" s="9"/>
      <c r="R5" s="9"/>
      <c r="S5" s="55"/>
      <c r="T5" s="21">
        <f t="shared" ref="T5:T30" si="4">IF(COUNTA($F5,$K5,$P5)&gt;0,T4+SUM(Q5:S5),"")</f>
        <v>37000</v>
      </c>
      <c r="U5" s="60">
        <f>IF($J5="","",ROUND(($J5-$J$3)/1000,1)+(_xlfn.RANK.AVG($J5,($J5,$O5,$T5),1)-2)*20)</f>
        <v>24.4</v>
      </c>
      <c r="V5" s="61">
        <f>IF($O5="","",ROUND(($O5-$O$3)/1000,1)+(_xlfn.RANK.AVG($O5,($J5,$O5,$T5),1)-2)*20)</f>
        <v>-26.4</v>
      </c>
      <c r="W5" s="62">
        <f>IF($T5="","",ROUND(($T5-$T$3)/1000,1)+(_xlfn.RANK.AVG($T5,($J5,$O5,$T5),1)-2)*20)</f>
        <v>2</v>
      </c>
      <c r="Y5" s="8"/>
      <c r="Z5" s="41"/>
      <c r="AA5" s="32">
        <v>1</v>
      </c>
      <c r="AB5" s="32"/>
      <c r="AC5" s="32">
        <v>3</v>
      </c>
      <c r="AD5" s="36">
        <v>30</v>
      </c>
      <c r="AE5" s="47" t="s">
        <v>150</v>
      </c>
      <c r="AF5" s="48" t="s">
        <v>84</v>
      </c>
      <c r="AG5" s="48" t="s">
        <v>80</v>
      </c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/>
      <c r="AW5" s="32">
        <v>1</v>
      </c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/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143</v>
      </c>
      <c r="F6" s="8" t="s">
        <v>156</v>
      </c>
      <c r="G6" s="9">
        <v>-4500</v>
      </c>
      <c r="H6" s="9"/>
      <c r="I6" s="55">
        <v>0</v>
      </c>
      <c r="J6" s="21">
        <f t="shared" si="2"/>
        <v>34900</v>
      </c>
      <c r="K6" s="8" t="s">
        <v>157</v>
      </c>
      <c r="L6" s="9">
        <v>12000</v>
      </c>
      <c r="M6" s="9"/>
      <c r="N6" s="55">
        <v>0</v>
      </c>
      <c r="O6" s="21">
        <f t="shared" si="3"/>
        <v>40600</v>
      </c>
      <c r="P6" s="8" t="s">
        <v>156</v>
      </c>
      <c r="Q6" s="9">
        <v>-7500</v>
      </c>
      <c r="R6" s="9"/>
      <c r="S6" s="55">
        <v>0</v>
      </c>
      <c r="T6" s="21">
        <f t="shared" si="4"/>
        <v>29500</v>
      </c>
      <c r="U6" s="60">
        <f>IF($J6="","",ROUND(($J6-$J$3)/1000,1)+(_xlfn.RANK.AVG($J6,($J6,$O6,$T6),1)-2)*20)</f>
        <v>-0.1</v>
      </c>
      <c r="V6" s="61">
        <f>IF($O6="","",ROUND(($O6-$O$3)/1000,1)+(_xlfn.RANK.AVG($O6,($J6,$O6,$T6),1)-2)*20)</f>
        <v>25.6</v>
      </c>
      <c r="W6" s="62">
        <f>IF($T6="","",ROUND(($T6-$T$3)/1000,1)+(_xlfn.RANK.AVG($T6,($J6,$O6,$T6),1)-2)*20)</f>
        <v>-25.5</v>
      </c>
      <c r="Y6" s="8"/>
      <c r="Z6" s="41"/>
      <c r="AA6" s="32"/>
      <c r="AB6" s="32"/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>
        <v>1</v>
      </c>
      <c r="AW6" s="32"/>
      <c r="AX6" s="32">
        <v>7</v>
      </c>
      <c r="AY6" s="36" t="s">
        <v>158</v>
      </c>
      <c r="AZ6" s="47" t="s">
        <v>150</v>
      </c>
      <c r="BA6" s="48" t="s">
        <v>83</v>
      </c>
      <c r="BB6" s="48" t="s">
        <v>85</v>
      </c>
      <c r="BC6" s="48" t="s">
        <v>80</v>
      </c>
      <c r="BD6" s="48" t="s">
        <v>80</v>
      </c>
      <c r="BE6" s="48" t="s">
        <v>81</v>
      </c>
      <c r="BF6" s="48" t="s">
        <v>149</v>
      </c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>
        <v>1</v>
      </c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">
        <v>141</v>
      </c>
      <c r="F7" s="8" t="s">
        <v>147</v>
      </c>
      <c r="G7" s="9">
        <v>-1000</v>
      </c>
      <c r="H7" s="9">
        <v>-1000</v>
      </c>
      <c r="I7" s="55">
        <v>0</v>
      </c>
      <c r="J7" s="21">
        <f t="shared" si="2"/>
        <v>32900</v>
      </c>
      <c r="K7" s="8" t="s">
        <v>148</v>
      </c>
      <c r="L7" s="9">
        <v>1000</v>
      </c>
      <c r="M7" s="9">
        <v>1000</v>
      </c>
      <c r="N7" s="55">
        <v>0</v>
      </c>
      <c r="O7" s="21">
        <f t="shared" si="3"/>
        <v>42600</v>
      </c>
      <c r="P7" s="8"/>
      <c r="Q7" s="9"/>
      <c r="R7" s="9"/>
      <c r="S7" s="55"/>
      <c r="T7" s="21">
        <f t="shared" si="4"/>
        <v>29500</v>
      </c>
      <c r="U7" s="60">
        <f>IF($J7="","",ROUND(($J7-$J$3)/1000,1)+(_xlfn.RANK.AVG($J7,($J7,$O7,$T7),1)-2)*20)</f>
        <v>-2.1</v>
      </c>
      <c r="V7" s="61">
        <f>IF($O7="","",ROUND(($O7-$O$3)/1000,1)+(_xlfn.RANK.AVG($O7,($J7,$O7,$T7),1)-2)*20)</f>
        <v>27.6</v>
      </c>
      <c r="W7" s="62">
        <f>IF($T7="","",ROUND(($T7-$T$3)/1000,1)+(_xlfn.RANK.AVG($T7,($J7,$O7,$T7),1)-2)*20)</f>
        <v>-25.5</v>
      </c>
      <c r="Y7" s="8"/>
      <c r="Z7" s="41"/>
      <c r="AA7" s="32">
        <v>1</v>
      </c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>
        <v>1</v>
      </c>
      <c r="AX7" s="32">
        <v>1</v>
      </c>
      <c r="AY7" s="36">
        <v>30</v>
      </c>
      <c r="AZ7" s="47" t="s">
        <v>87</v>
      </c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/>
      <c r="BR7" s="32"/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0"/>
        <v>南</v>
      </c>
      <c r="B8" s="18">
        <f t="shared" si="5"/>
        <v>2</v>
      </c>
      <c r="C8" s="18">
        <f t="shared" si="6"/>
        <v>0</v>
      </c>
      <c r="D8" s="18">
        <f t="shared" si="1"/>
        <v>0</v>
      </c>
      <c r="E8" s="4" t="s">
        <v>152</v>
      </c>
      <c r="F8" s="8" t="s">
        <v>147</v>
      </c>
      <c r="G8" s="9">
        <v>-2900</v>
      </c>
      <c r="H8" s="9"/>
      <c r="I8" s="55">
        <v>0</v>
      </c>
      <c r="J8" s="21">
        <f t="shared" si="2"/>
        <v>30000</v>
      </c>
      <c r="K8" s="8" t="s">
        <v>148</v>
      </c>
      <c r="L8" s="9">
        <v>2900</v>
      </c>
      <c r="M8" s="9"/>
      <c r="N8" s="55">
        <v>0</v>
      </c>
      <c r="O8" s="21">
        <f t="shared" si="3"/>
        <v>45500</v>
      </c>
      <c r="P8" s="8"/>
      <c r="Q8" s="9"/>
      <c r="R8" s="9"/>
      <c r="S8" s="55"/>
      <c r="T8" s="21">
        <f t="shared" si="4"/>
        <v>29500</v>
      </c>
      <c r="U8" s="60">
        <f>IF($J8="","",ROUND(($J8-$J$3)/1000,1)+(_xlfn.RANK.AVG($J8,($J8,$O8,$T8),1)-2)*20)</f>
        <v>-5</v>
      </c>
      <c r="V8" s="61">
        <f>IF($O8="","",ROUND(($O8-$O$3)/1000,1)+(_xlfn.RANK.AVG($O8,($J8,$O8,$T8),1)-2)*20)</f>
        <v>30.5</v>
      </c>
      <c r="W8" s="62">
        <f>IF($T8="","",ROUND(($T8-$T$3)/1000,1)+(_xlfn.RANK.AVG($T8,($J8,$O8,$T8),1)-2)*20)</f>
        <v>-25.5</v>
      </c>
      <c r="Y8" s="8"/>
      <c r="Z8" s="41"/>
      <c r="AA8" s="32"/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>
        <v>1</v>
      </c>
      <c r="AX8" s="32">
        <v>2</v>
      </c>
      <c r="AY8" s="36">
        <v>30</v>
      </c>
      <c r="AZ8" s="47" t="s">
        <v>87</v>
      </c>
      <c r="BA8" s="48" t="s">
        <v>80</v>
      </c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>
        <v>1</v>
      </c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0"/>
        <v>南</v>
      </c>
      <c r="B9" s="18">
        <f t="shared" si="5"/>
        <v>2</v>
      </c>
      <c r="C9" s="18">
        <f t="shared" si="6"/>
        <v>1</v>
      </c>
      <c r="D9" s="18">
        <f t="shared" si="1"/>
        <v>0</v>
      </c>
      <c r="E9" s="4" t="s">
        <v>152</v>
      </c>
      <c r="F9" s="8"/>
      <c r="G9" s="9"/>
      <c r="H9" s="9"/>
      <c r="I9" s="55"/>
      <c r="J9" s="21">
        <f t="shared" si="2"/>
        <v>30000</v>
      </c>
      <c r="K9" s="8" t="s">
        <v>148</v>
      </c>
      <c r="L9" s="9">
        <v>9600</v>
      </c>
      <c r="M9" s="9">
        <v>1000</v>
      </c>
      <c r="N9" s="55">
        <v>1000</v>
      </c>
      <c r="O9" s="21">
        <f t="shared" si="3"/>
        <v>57100</v>
      </c>
      <c r="P9" s="8" t="s">
        <v>147</v>
      </c>
      <c r="Q9" s="9">
        <v>-9600</v>
      </c>
      <c r="R9" s="9">
        <v>-1000</v>
      </c>
      <c r="S9" s="55">
        <v>-1000</v>
      </c>
      <c r="T9" s="21">
        <f t="shared" si="4"/>
        <v>17900</v>
      </c>
      <c r="U9" s="60">
        <f>IF($J9="","",ROUND(($J9-$J$3)/1000,1)+(_xlfn.RANK.AVG($J9,($J9,$O9,$T9),1)-2)*20)</f>
        <v>-5</v>
      </c>
      <c r="V9" s="61">
        <f>IF($O9="","",ROUND(($O9-$O$3)/1000,1)+(_xlfn.RANK.AVG($O9,($J9,$O9,$T9),1)-2)*20)</f>
        <v>42.1</v>
      </c>
      <c r="W9" s="62">
        <f>IF($T9="","",ROUND(($T9-$T$3)/1000,1)+(_xlfn.RANK.AVG($T9,($J9,$O9,$T9),1)-2)*20)</f>
        <v>-37.1</v>
      </c>
      <c r="Y9" s="8"/>
      <c r="Z9" s="41"/>
      <c r="AA9" s="32"/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/>
      <c r="AX9" s="32">
        <v>4</v>
      </c>
      <c r="AY9" s="36">
        <v>25</v>
      </c>
      <c r="AZ9" s="47" t="s">
        <v>102</v>
      </c>
      <c r="BA9" s="48" t="s">
        <v>80</v>
      </c>
      <c r="BB9" s="48" t="s">
        <v>80</v>
      </c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>
        <v>1</v>
      </c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0"/>
        <v>南</v>
      </c>
      <c r="B10" s="18">
        <f t="shared" si="5"/>
        <v>2</v>
      </c>
      <c r="C10" s="18">
        <f t="shared" si="6"/>
        <v>2</v>
      </c>
      <c r="D10" s="18">
        <f t="shared" si="1"/>
        <v>0</v>
      </c>
      <c r="E10" s="4" t="s">
        <v>152</v>
      </c>
      <c r="F10" s="8" t="s">
        <v>156</v>
      </c>
      <c r="G10" s="9">
        <v>-5800</v>
      </c>
      <c r="H10" s="9"/>
      <c r="I10" s="55">
        <v>-1000</v>
      </c>
      <c r="J10" s="21">
        <f t="shared" si="2"/>
        <v>23200</v>
      </c>
      <c r="K10" s="8" t="s">
        <v>157</v>
      </c>
      <c r="L10" s="9">
        <v>11600</v>
      </c>
      <c r="M10" s="9"/>
      <c r="N10" s="55">
        <v>2000</v>
      </c>
      <c r="O10" s="21">
        <f t="shared" si="3"/>
        <v>70700</v>
      </c>
      <c r="P10" s="8" t="s">
        <v>156</v>
      </c>
      <c r="Q10" s="9">
        <v>-5800</v>
      </c>
      <c r="R10" s="9"/>
      <c r="S10" s="55">
        <v>-1000</v>
      </c>
      <c r="T10" s="21">
        <f t="shared" si="4"/>
        <v>11100</v>
      </c>
      <c r="U10" s="60">
        <f>IF($J10="","",ROUND(($J10-$J$3)/1000,1)+(_xlfn.RANK.AVG($J10,($J10,$O10,$T10),1)-2)*20)</f>
        <v>-11.8</v>
      </c>
      <c r="V10" s="61">
        <f>IF($O10="","",ROUND(($O10-$O$3)/1000,1)+(_xlfn.RANK.AVG($O10,($J10,$O10,$T10),1)-2)*20)</f>
        <v>55.7</v>
      </c>
      <c r="W10" s="62">
        <f>IF($T10="","",ROUND(($T10-$T$3)/1000,1)+(_xlfn.RANK.AVG($T10,($J10,$O10,$T10),1)-2)*20)</f>
        <v>-43.9</v>
      </c>
      <c r="Y10" s="8"/>
      <c r="Z10" s="41"/>
      <c r="AA10" s="32"/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>
        <v>1</v>
      </c>
      <c r="AW10" s="32"/>
      <c r="AX10" s="32">
        <v>4</v>
      </c>
      <c r="AY10" s="36">
        <v>30</v>
      </c>
      <c r="AZ10" s="47" t="s">
        <v>150</v>
      </c>
      <c r="BA10" s="48" t="s">
        <v>83</v>
      </c>
      <c r="BB10" s="48" t="s">
        <v>159</v>
      </c>
      <c r="BC10" s="48" t="s">
        <v>149</v>
      </c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0"/>
        <v>南</v>
      </c>
      <c r="B11" s="18">
        <f t="shared" si="5"/>
        <v>2</v>
      </c>
      <c r="C11" s="18">
        <f t="shared" si="6"/>
        <v>3</v>
      </c>
      <c r="D11" s="18">
        <f t="shared" si="1"/>
        <v>0</v>
      </c>
      <c r="E11" s="4" t="s">
        <v>152</v>
      </c>
      <c r="F11" s="8" t="s">
        <v>156</v>
      </c>
      <c r="G11" s="9">
        <v>-800</v>
      </c>
      <c r="H11" s="9"/>
      <c r="I11" s="55">
        <v>-1500</v>
      </c>
      <c r="J11" s="21">
        <f t="shared" si="2"/>
        <v>20900</v>
      </c>
      <c r="K11" s="8" t="s">
        <v>156</v>
      </c>
      <c r="L11" s="9">
        <v>-1300</v>
      </c>
      <c r="M11" s="9"/>
      <c r="N11" s="55">
        <v>-1500</v>
      </c>
      <c r="O11" s="21">
        <f t="shared" si="3"/>
        <v>67900</v>
      </c>
      <c r="P11" s="8" t="s">
        <v>157</v>
      </c>
      <c r="Q11" s="9">
        <v>2100</v>
      </c>
      <c r="R11" s="9"/>
      <c r="S11" s="55">
        <v>3000</v>
      </c>
      <c r="T11" s="21">
        <f t="shared" si="4"/>
        <v>16200</v>
      </c>
      <c r="U11" s="60">
        <f>IF($J11="","",ROUND(($J11-$J$3)/1000,1)+(_xlfn.RANK.AVG($J11,($J11,$O11,$T11),1)-2)*20)</f>
        <v>-14.1</v>
      </c>
      <c r="V11" s="61">
        <f>IF($O11="","",ROUND(($O11-$O$3)/1000,1)+(_xlfn.RANK.AVG($O11,($J11,$O11,$T11),1)-2)*20)</f>
        <v>52.9</v>
      </c>
      <c r="W11" s="62">
        <f>IF($T11="","",ROUND(($T11-$T$3)/1000,1)+(_xlfn.RANK.AVG($T11,($J11,$O11,$T11),1)-2)*20)</f>
        <v>-38.799999999999997</v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>
        <v>1</v>
      </c>
      <c r="BS11" s="32">
        <v>2</v>
      </c>
      <c r="BT11" s="36">
        <v>30</v>
      </c>
      <c r="BU11" s="47" t="s">
        <v>87</v>
      </c>
      <c r="BV11" s="48" t="s">
        <v>87</v>
      </c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0"/>
        <v>南</v>
      </c>
      <c r="B12" s="18">
        <f t="shared" si="5"/>
        <v>3</v>
      </c>
      <c r="C12" s="18">
        <f t="shared" si="6"/>
        <v>0</v>
      </c>
      <c r="D12" s="18">
        <f t="shared" si="1"/>
        <v>0</v>
      </c>
      <c r="E12" s="4" t="s">
        <v>143</v>
      </c>
      <c r="F12" s="8" t="s">
        <v>147</v>
      </c>
      <c r="G12" s="9">
        <v>-8000</v>
      </c>
      <c r="H12" s="9"/>
      <c r="I12" s="55">
        <v>0</v>
      </c>
      <c r="J12" s="21">
        <f t="shared" si="2"/>
        <v>12900</v>
      </c>
      <c r="K12" s="8" t="s">
        <v>148</v>
      </c>
      <c r="L12" s="9">
        <v>8000</v>
      </c>
      <c r="M12" s="9"/>
      <c r="N12" s="55">
        <v>0</v>
      </c>
      <c r="O12" s="21">
        <f t="shared" si="3"/>
        <v>75900</v>
      </c>
      <c r="P12" s="8"/>
      <c r="Q12" s="9"/>
      <c r="R12" s="9"/>
      <c r="S12" s="55"/>
      <c r="T12" s="21">
        <f t="shared" si="4"/>
        <v>16200</v>
      </c>
      <c r="U12" s="60">
        <f>IF($J12="","",ROUND(($J12-$J$3)/1000,1)+(_xlfn.RANK.AVG($J12,($J12,$O12,$T12),1)-2)*20)</f>
        <v>-42.1</v>
      </c>
      <c r="V12" s="61">
        <f>IF($O12="","",ROUND(($O12-$O$3)/1000,1)+(_xlfn.RANK.AVG($O12,($J12,$O12,$T12),1)-2)*20)</f>
        <v>60.9</v>
      </c>
      <c r="W12" s="62">
        <f>IF($T12="","",ROUND(($T12-$T$3)/1000,1)+(_xlfn.RANK.AVG($T12,($J12,$O12,$T12),1)-2)*20)</f>
        <v>-18.8</v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>
        <v>1</v>
      </c>
      <c r="AW12" s="32"/>
      <c r="AX12" s="32">
        <v>4</v>
      </c>
      <c r="AY12" s="36">
        <v>40</v>
      </c>
      <c r="AZ12" s="47" t="s">
        <v>150</v>
      </c>
      <c r="BA12" s="48" t="s">
        <v>149</v>
      </c>
      <c r="BB12" s="48" t="s">
        <v>149</v>
      </c>
      <c r="BC12" s="48" t="s">
        <v>81</v>
      </c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55"/>
      <c r="J13" s="21" t="str">
        <f t="shared" si="2"/>
        <v/>
      </c>
      <c r="K13" s="8"/>
      <c r="L13" s="9"/>
      <c r="M13" s="9"/>
      <c r="N13" s="55"/>
      <c r="O13" s="21" t="str">
        <f t="shared" si="3"/>
        <v/>
      </c>
      <c r="P13" s="8"/>
      <c r="Q13" s="9"/>
      <c r="R13" s="9"/>
      <c r="S13" s="55"/>
      <c r="T13" s="21" t="str">
        <f t="shared" si="4"/>
        <v/>
      </c>
      <c r="U13" s="60" t="str">
        <f>IF($J13="","",ROUND(($J13-$J$3)/1000,1)+(_xlfn.RANK.AVG($J13,($J13,$O13,$T13),1)-2)*20)</f>
        <v/>
      </c>
      <c r="V13" s="61" t="str">
        <f>IF($O13="","",ROUND(($O13-$O$3)/1000,1)+(_xlfn.RANK.AVG($O13,($J13,$O13,$T13),1)-2)*20)</f>
        <v/>
      </c>
      <c r="W13" s="62" t="str">
        <f>IF($T13="","",ROUND(($T13-$T$3)/1000,1)+(_xlfn.RANK.AVG($T13,($J13,$O13,$T13),1)-2)*20)</f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55"/>
      <c r="J14" s="21" t="str">
        <f t="shared" si="2"/>
        <v/>
      </c>
      <c r="K14" s="8"/>
      <c r="L14" s="9"/>
      <c r="M14" s="9"/>
      <c r="N14" s="55"/>
      <c r="O14" s="21" t="str">
        <f t="shared" si="3"/>
        <v/>
      </c>
      <c r="P14" s="8"/>
      <c r="Q14" s="9"/>
      <c r="R14" s="9"/>
      <c r="S14" s="55"/>
      <c r="T14" s="21" t="str">
        <f t="shared" si="4"/>
        <v/>
      </c>
      <c r="U14" s="60" t="str">
        <f>IF($J14="","",ROUND(($J14-$J$3)/1000,1)+(_xlfn.RANK.AVG($J14,($J14,$O14,$T14),1)-2)*20)</f>
        <v/>
      </c>
      <c r="V14" s="61" t="str">
        <f>IF($O14="","",ROUND(($O14-$O$3)/1000,1)+(_xlfn.RANK.AVG($O14,($J14,$O14,$T14),1)-2)*20)</f>
        <v/>
      </c>
      <c r="W14" s="62" t="str">
        <f>IF($T14="","",ROUND(($T14-$T$3)/1000,1)+(_xlfn.RANK.AVG($T14,($J14,$O14,$T14),1)-2)*20)</f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55"/>
      <c r="J15" s="21" t="str">
        <f t="shared" si="2"/>
        <v/>
      </c>
      <c r="K15" s="8"/>
      <c r="L15" s="9"/>
      <c r="M15" s="9"/>
      <c r="N15" s="55"/>
      <c r="O15" s="21" t="str">
        <f t="shared" si="3"/>
        <v/>
      </c>
      <c r="P15" s="8"/>
      <c r="Q15" s="9"/>
      <c r="R15" s="9"/>
      <c r="S15" s="55"/>
      <c r="T15" s="21" t="str">
        <f t="shared" si="4"/>
        <v/>
      </c>
      <c r="U15" s="60" t="str">
        <f>IF($J15="","",ROUND(($J15-$J$3)/1000,1)+(_xlfn.RANK.AVG($J15,($J15,$O15,$T15),1)-2)*20)</f>
        <v/>
      </c>
      <c r="V15" s="61" t="str">
        <f>IF($O15="","",ROUND(($O15-$O$3)/1000,1)+(_xlfn.RANK.AVG($O15,($J15,$O15,$T15),1)-2)*20)</f>
        <v/>
      </c>
      <c r="W15" s="62" t="str">
        <f>IF($T15="","",ROUND(($T15-$T$3)/1000,1)+(_xlfn.RANK.AVG($T15,($J15,$O15,$T15),1)-2)*20)</f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55"/>
      <c r="J16" s="21" t="str">
        <f t="shared" si="2"/>
        <v/>
      </c>
      <c r="K16" s="8"/>
      <c r="L16" s="9"/>
      <c r="M16" s="9"/>
      <c r="N16" s="55"/>
      <c r="O16" s="21" t="str">
        <f t="shared" si="3"/>
        <v/>
      </c>
      <c r="P16" s="8"/>
      <c r="Q16" s="9"/>
      <c r="R16" s="9"/>
      <c r="S16" s="55"/>
      <c r="T16" s="21" t="str">
        <f t="shared" si="4"/>
        <v/>
      </c>
      <c r="U16" s="60" t="str">
        <f>IF($J16="","",ROUND(($J16-$J$3)/1000,1)+(_xlfn.RANK.AVG($J16,($J16,$O16,$T16),1)-2)*20)</f>
        <v/>
      </c>
      <c r="V16" s="61" t="str">
        <f>IF($O16="","",ROUND(($O16-$O$3)/1000,1)+(_xlfn.RANK.AVG($O16,($J16,$O16,$T16),1)-2)*20)</f>
        <v/>
      </c>
      <c r="W16" s="62" t="str">
        <f>IF($T16="","",ROUND(($T16-$T$3)/1000,1)+(_xlfn.RANK.AVG($T16,($J16,$O16,$T16),1)-2)*20)</f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55"/>
      <c r="J17" s="21" t="str">
        <f t="shared" si="2"/>
        <v/>
      </c>
      <c r="K17" s="8"/>
      <c r="L17" s="9"/>
      <c r="M17" s="9"/>
      <c r="N17" s="55"/>
      <c r="O17" s="21" t="str">
        <f t="shared" si="3"/>
        <v/>
      </c>
      <c r="P17" s="8"/>
      <c r="Q17" s="9"/>
      <c r="R17" s="9"/>
      <c r="S17" s="55"/>
      <c r="T17" s="21" t="str">
        <f t="shared" si="4"/>
        <v/>
      </c>
      <c r="U17" s="60" t="str">
        <f>IF($J17="","",ROUND(($J17-$J$3)/1000,1)+(_xlfn.RANK.AVG($J17,($J17,$O17,$T17),1)-2)*20)</f>
        <v/>
      </c>
      <c r="V17" s="61" t="str">
        <f>IF($O17="","",ROUND(($O17-$O$3)/1000,1)+(_xlfn.RANK.AVG($O17,($J17,$O17,$T17),1)-2)*20)</f>
        <v/>
      </c>
      <c r="W17" s="62" t="str">
        <f>IF($T17="","",ROUND(($T17-$T$3)/1000,1)+(_xlfn.RANK.AVG($T17,($J17,$O17,$T17),1)-2)*20)</f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55"/>
      <c r="J18" s="21" t="str">
        <f t="shared" si="2"/>
        <v/>
      </c>
      <c r="K18" s="8"/>
      <c r="L18" s="9"/>
      <c r="M18" s="9"/>
      <c r="N18" s="55"/>
      <c r="O18" s="21" t="str">
        <f t="shared" si="3"/>
        <v/>
      </c>
      <c r="P18" s="8"/>
      <c r="Q18" s="9"/>
      <c r="R18" s="9"/>
      <c r="S18" s="55"/>
      <c r="T18" s="21" t="str">
        <f t="shared" si="4"/>
        <v/>
      </c>
      <c r="U18" s="60" t="str">
        <f>IF($J18="","",ROUND(($J18-$J$3)/1000,1)+(_xlfn.RANK.AVG($J18,($J18,$O18,$T18),1)-2)*20)</f>
        <v/>
      </c>
      <c r="V18" s="61" t="str">
        <f>IF($O18="","",ROUND(($O18-$O$3)/1000,1)+(_xlfn.RANK.AVG($O18,($J18,$O18,$T18),1)-2)*20)</f>
        <v/>
      </c>
      <c r="W18" s="62" t="str">
        <f>IF($T18="","",ROUND(($T18-$T$3)/1000,1)+(_xlfn.RANK.AVG($T18,($J18,$O18,$T18),1)-2)*20)</f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55"/>
      <c r="J19" s="21" t="str">
        <f t="shared" si="2"/>
        <v/>
      </c>
      <c r="K19" s="8"/>
      <c r="L19" s="9"/>
      <c r="M19" s="9"/>
      <c r="N19" s="55"/>
      <c r="O19" s="21" t="str">
        <f t="shared" si="3"/>
        <v/>
      </c>
      <c r="P19" s="8"/>
      <c r="Q19" s="9"/>
      <c r="R19" s="9"/>
      <c r="S19" s="55"/>
      <c r="T19" s="21" t="str">
        <f t="shared" si="4"/>
        <v/>
      </c>
      <c r="U19" s="60" t="str">
        <f>IF($J19="","",ROUND(($J19-$J$3)/1000,1)+(_xlfn.RANK.AVG($J19,($J19,$O19,$T19),1)-2)*20)</f>
        <v/>
      </c>
      <c r="V19" s="61" t="str">
        <f>IF($O19="","",ROUND(($O19-$O$3)/1000,1)+(_xlfn.RANK.AVG($O19,($J19,$O19,$T19),1)-2)*20)</f>
        <v/>
      </c>
      <c r="W19" s="62" t="str">
        <f>IF($T19="","",ROUND(($T19-$T$3)/1000,1)+(_xlfn.RANK.AVG($T19,($J19,$O19,$T19),1)-2)*20)</f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55"/>
      <c r="J20" s="21" t="str">
        <f t="shared" si="2"/>
        <v/>
      </c>
      <c r="K20" s="8"/>
      <c r="L20" s="9"/>
      <c r="M20" s="9"/>
      <c r="N20" s="55"/>
      <c r="O20" s="21" t="str">
        <f t="shared" si="3"/>
        <v/>
      </c>
      <c r="P20" s="8"/>
      <c r="Q20" s="9"/>
      <c r="R20" s="9"/>
      <c r="S20" s="55"/>
      <c r="T20" s="21" t="str">
        <f t="shared" si="4"/>
        <v/>
      </c>
      <c r="U20" s="60" t="str">
        <f>IF($J20="","",ROUND(($J20-$J$3)/1000,1)+(_xlfn.RANK.AVG($J20,($J20,$O20,$T20),1)-2)*20)</f>
        <v/>
      </c>
      <c r="V20" s="61" t="str">
        <f>IF($O20="","",ROUND(($O20-$O$3)/1000,1)+(_xlfn.RANK.AVG($O20,($J20,$O20,$T20),1)-2)*20)</f>
        <v/>
      </c>
      <c r="W20" s="62" t="str">
        <f>IF($T20="","",ROUND(($T20-$T$3)/1000,1)+(_xlfn.RANK.AVG($T20,($J20,$O20,$T20),1)-2)*20)</f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55"/>
      <c r="J21" s="21" t="str">
        <f t="shared" si="2"/>
        <v/>
      </c>
      <c r="K21" s="8"/>
      <c r="L21" s="9"/>
      <c r="M21" s="9"/>
      <c r="N21" s="55"/>
      <c r="O21" s="21" t="str">
        <f t="shared" si="3"/>
        <v/>
      </c>
      <c r="P21" s="8"/>
      <c r="Q21" s="9"/>
      <c r="R21" s="9"/>
      <c r="S21" s="55"/>
      <c r="T21" s="21" t="str">
        <f t="shared" si="4"/>
        <v/>
      </c>
      <c r="U21" s="60" t="str">
        <f>IF($J21="","",ROUND(($J21-$J$3)/1000,1)+(_xlfn.RANK.AVG($J21,($J21,$O21,$T21),1)-2)*20)</f>
        <v/>
      </c>
      <c r="V21" s="61" t="str">
        <f>IF($O21="","",ROUND(($O21-$O$3)/1000,1)+(_xlfn.RANK.AVG($O21,($J21,$O21,$T21),1)-2)*20)</f>
        <v/>
      </c>
      <c r="W21" s="62" t="str">
        <f>IF($T21="","",ROUND(($T21-$T$3)/1000,1)+(_xlfn.RANK.AVG($T21,($J21,$O21,$T21),1)-2)*20)</f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55"/>
      <c r="J22" s="21" t="str">
        <f t="shared" si="2"/>
        <v/>
      </c>
      <c r="K22" s="8"/>
      <c r="L22" s="9"/>
      <c r="M22" s="9"/>
      <c r="N22" s="55"/>
      <c r="O22" s="21" t="str">
        <f t="shared" si="3"/>
        <v/>
      </c>
      <c r="P22" s="8"/>
      <c r="Q22" s="9"/>
      <c r="R22" s="9"/>
      <c r="S22" s="55"/>
      <c r="T22" s="21" t="str">
        <f t="shared" si="4"/>
        <v/>
      </c>
      <c r="U22" s="60" t="str">
        <f>IF($J22="","",ROUND(($J22-$J$3)/1000,1)+(_xlfn.RANK.AVG($J22,($J22,$O22,$T22),1)-2)*20)</f>
        <v/>
      </c>
      <c r="V22" s="61" t="str">
        <f>IF($O22="","",ROUND(($O22-$O$3)/1000,1)+(_xlfn.RANK.AVG($O22,($J22,$O22,$T22),1)-2)*20)</f>
        <v/>
      </c>
      <c r="W22" s="62" t="str">
        <f>IF($T22="","",ROUND(($T22-$T$3)/1000,1)+(_xlfn.RANK.AVG($T22,($J22,$O22,$T22),1)-2)*20)</f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55"/>
      <c r="J23" s="21" t="str">
        <f t="shared" si="2"/>
        <v/>
      </c>
      <c r="K23" s="8"/>
      <c r="L23" s="9"/>
      <c r="M23" s="9"/>
      <c r="N23" s="55"/>
      <c r="O23" s="21" t="str">
        <f t="shared" si="3"/>
        <v/>
      </c>
      <c r="P23" s="8"/>
      <c r="Q23" s="9"/>
      <c r="R23" s="9"/>
      <c r="S23" s="55"/>
      <c r="T23" s="21" t="str">
        <f t="shared" si="4"/>
        <v/>
      </c>
      <c r="U23" s="60" t="str">
        <f>IF($J23="","",ROUND(($J23-$J$3)/1000,1)+(_xlfn.RANK.AVG($J23,($J23,$O23,$T23),1)-2)*20)</f>
        <v/>
      </c>
      <c r="V23" s="61" t="str">
        <f>IF($O23="","",ROUND(($O23-$O$3)/1000,1)+(_xlfn.RANK.AVG($O23,($J23,$O23,$T23),1)-2)*20)</f>
        <v/>
      </c>
      <c r="W23" s="62" t="str">
        <f>IF($T23="","",ROUND(($T23-$T$3)/1000,1)+(_xlfn.RANK.AVG($T23,($J23,$O23,$T23),1)-2)*20)</f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55"/>
      <c r="J24" s="21" t="str">
        <f t="shared" si="2"/>
        <v/>
      </c>
      <c r="K24" s="8"/>
      <c r="L24" s="9"/>
      <c r="M24" s="9"/>
      <c r="N24" s="55"/>
      <c r="O24" s="21" t="str">
        <f t="shared" si="3"/>
        <v/>
      </c>
      <c r="P24" s="8"/>
      <c r="Q24" s="9"/>
      <c r="R24" s="9"/>
      <c r="S24" s="55"/>
      <c r="T24" s="21" t="str">
        <f t="shared" si="4"/>
        <v/>
      </c>
      <c r="U24" s="60" t="str">
        <f>IF($J24="","",ROUND(($J24-$J$3)/1000,1)+(_xlfn.RANK.AVG($J24,($J24,$O24,$T24),1)-2)*20)</f>
        <v/>
      </c>
      <c r="V24" s="61" t="str">
        <f>IF($O24="","",ROUND(($O24-$O$3)/1000,1)+(_xlfn.RANK.AVG($O24,($J24,$O24,$T24),1)-2)*20)</f>
        <v/>
      </c>
      <c r="W24" s="62" t="str">
        <f>IF($T24="","",ROUND(($T24-$T$3)/1000,1)+(_xlfn.RANK.AVG($T24,($J24,$O24,$T24),1)-2)*20)</f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55"/>
      <c r="J25" s="21" t="str">
        <f t="shared" si="2"/>
        <v/>
      </c>
      <c r="K25" s="8"/>
      <c r="L25" s="9"/>
      <c r="M25" s="9"/>
      <c r="N25" s="55"/>
      <c r="O25" s="21" t="str">
        <f t="shared" si="3"/>
        <v/>
      </c>
      <c r="P25" s="8"/>
      <c r="Q25" s="9"/>
      <c r="R25" s="9"/>
      <c r="S25" s="55"/>
      <c r="T25" s="21" t="str">
        <f t="shared" si="4"/>
        <v/>
      </c>
      <c r="U25" s="60" t="str">
        <f>IF($J25="","",ROUND(($J25-$J$3)/1000,1)+(_xlfn.RANK.AVG($J25,($J25,$O25,$T25),1)-2)*20)</f>
        <v/>
      </c>
      <c r="V25" s="61" t="str">
        <f>IF($O25="","",ROUND(($O25-$O$3)/1000,1)+(_xlfn.RANK.AVG($O25,($J25,$O25,$T25),1)-2)*20)</f>
        <v/>
      </c>
      <c r="W25" s="62" t="str">
        <f>IF($T25="","",ROUND(($T25-$T$3)/1000,1)+(_xlfn.RANK.AVG($T25,($J25,$O25,$T25),1)-2)*20)</f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55"/>
      <c r="J26" s="21" t="str">
        <f t="shared" si="2"/>
        <v/>
      </c>
      <c r="K26" s="8"/>
      <c r="L26" s="9"/>
      <c r="M26" s="9"/>
      <c r="N26" s="55"/>
      <c r="O26" s="21" t="str">
        <f t="shared" si="3"/>
        <v/>
      </c>
      <c r="P26" s="8"/>
      <c r="Q26" s="9"/>
      <c r="R26" s="9"/>
      <c r="S26" s="55"/>
      <c r="T26" s="21" t="str">
        <f t="shared" si="4"/>
        <v/>
      </c>
      <c r="U26" s="60" t="str">
        <f>IF($J26="","",ROUND(($J26-$J$3)/1000,1)+(_xlfn.RANK.AVG($J26,($J26,$O26,$T26),1)-2)*20)</f>
        <v/>
      </c>
      <c r="V26" s="61" t="str">
        <f>IF($O26="","",ROUND(($O26-$O$3)/1000,1)+(_xlfn.RANK.AVG($O26,($J26,$O26,$T26),1)-2)*20)</f>
        <v/>
      </c>
      <c r="W26" s="62" t="str">
        <f>IF($T26="","",ROUND(($T26-$T$3)/1000,1)+(_xlfn.RANK.AVG($T26,($J26,$O26,$T26),1)-2)*20)</f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55"/>
      <c r="J27" s="21" t="str">
        <f t="shared" si="2"/>
        <v/>
      </c>
      <c r="K27" s="8"/>
      <c r="L27" s="9"/>
      <c r="M27" s="9"/>
      <c r="N27" s="55"/>
      <c r="O27" s="21" t="str">
        <f t="shared" si="3"/>
        <v/>
      </c>
      <c r="P27" s="8"/>
      <c r="Q27" s="9"/>
      <c r="R27" s="9"/>
      <c r="S27" s="55"/>
      <c r="T27" s="21" t="str">
        <f t="shared" si="4"/>
        <v/>
      </c>
      <c r="U27" s="60" t="str">
        <f>IF($J27="","",ROUND(($J27-$J$3)/1000,1)+(_xlfn.RANK.AVG($J27,($J27,$O27,$T27),1)-2)*20)</f>
        <v/>
      </c>
      <c r="V27" s="61" t="str">
        <f>IF($O27="","",ROUND(($O27-$O$3)/1000,1)+(_xlfn.RANK.AVG($O27,($J27,$O27,$T27),1)-2)*20)</f>
        <v/>
      </c>
      <c r="W27" s="62" t="str">
        <f>IF($T27="","",ROUND(($T27-$T$3)/1000,1)+(_xlfn.RANK.AVG($T27,($J27,$O27,$T27),1)-2)*20)</f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55"/>
      <c r="J28" s="21" t="str">
        <f t="shared" si="2"/>
        <v/>
      </c>
      <c r="K28" s="8"/>
      <c r="L28" s="9"/>
      <c r="M28" s="9"/>
      <c r="N28" s="55"/>
      <c r="O28" s="21" t="str">
        <f t="shared" si="3"/>
        <v/>
      </c>
      <c r="P28" s="8"/>
      <c r="Q28" s="9"/>
      <c r="R28" s="9"/>
      <c r="S28" s="55"/>
      <c r="T28" s="21" t="str">
        <f t="shared" si="4"/>
        <v/>
      </c>
      <c r="U28" s="60" t="str">
        <f>IF($J28="","",ROUND(($J28-$J$3)/1000,1)+(_xlfn.RANK.AVG($J28,($J28,$O28,$T28),1)-2)*20)</f>
        <v/>
      </c>
      <c r="V28" s="61" t="str">
        <f>IF($O28="","",ROUND(($O28-$O$3)/1000,1)+(_xlfn.RANK.AVG($O28,($J28,$O28,$T28),1)-2)*20)</f>
        <v/>
      </c>
      <c r="W28" s="62" t="str">
        <f>IF($T28="","",ROUND(($T28-$T$3)/1000,1)+(_xlfn.RANK.AVG($T28,($J28,$O28,$T28),1)-2)*20)</f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55"/>
      <c r="J29" s="21" t="str">
        <f t="shared" si="2"/>
        <v/>
      </c>
      <c r="K29" s="8"/>
      <c r="L29" s="9"/>
      <c r="M29" s="9"/>
      <c r="N29" s="55"/>
      <c r="O29" s="21" t="str">
        <f t="shared" si="3"/>
        <v/>
      </c>
      <c r="P29" s="8"/>
      <c r="Q29" s="9"/>
      <c r="R29" s="9"/>
      <c r="S29" s="55"/>
      <c r="T29" s="21" t="str">
        <f t="shared" si="4"/>
        <v/>
      </c>
      <c r="U29" s="60" t="str">
        <f>IF($J29="","",ROUND(($J29-$J$3)/1000,1)+(_xlfn.RANK.AVG($J29,($J29,$O29,$T29),1)-2)*20)</f>
        <v/>
      </c>
      <c r="V29" s="61" t="str">
        <f>IF($O29="","",ROUND(($O29-$O$3)/1000,1)+(_xlfn.RANK.AVG($O29,($J29,$O29,$T29),1)-2)*20)</f>
        <v/>
      </c>
      <c r="W29" s="62" t="str">
        <f>IF($T29="","",ROUND(($T29-$T$3)/1000,1)+(_xlfn.RANK.AVG($T29,($J29,$O29,$T29),1)-2)*20)</f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56"/>
      <c r="J30" s="22" t="str">
        <f t="shared" si="2"/>
        <v/>
      </c>
      <c r="K30" s="10"/>
      <c r="L30" s="11"/>
      <c r="M30" s="11"/>
      <c r="N30" s="56"/>
      <c r="O30" s="22" t="str">
        <f t="shared" si="3"/>
        <v/>
      </c>
      <c r="P30" s="10"/>
      <c r="Q30" s="11"/>
      <c r="R30" s="11"/>
      <c r="S30" s="56"/>
      <c r="T30" s="22" t="str">
        <f t="shared" si="4"/>
        <v/>
      </c>
      <c r="U30" s="63" t="str">
        <f>IF($J30="","",ROUND(($J30-$J$3)/1000,1)+(_xlfn.RANK.AVG($J30,($J30,$O30,$T30),1)-2)*20)</f>
        <v/>
      </c>
      <c r="V30" s="64" t="str">
        <f>IF($O30="","",ROUND(($O30-$O$3)/1000,1)+(_xlfn.RANK.AVG($O30,($J30,$O30,$T30),1)-2)*20)</f>
        <v/>
      </c>
      <c r="W30" s="65" t="str">
        <f>IF($T30="","",ROUND(($T30-$T$3)/1000,1)+(_xlfn.RANK.AVG($T30,($J30,$O30,$T30),1)-2)*20)</f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allowBlank="1" showInputMessage="1" showErrorMessage="1" sqref="E4:E30" xr:uid="{6732E52F-E474-42D3-BBBE-1ED0D94E583C}">
      <formula1>$U$2:$W$2</formula1>
    </dataValidation>
    <dataValidation type="list" showInputMessage="1" showErrorMessage="1" sqref="K4:K30 P4:P30 F4:F30" xr:uid="{CD0CB0DF-C96A-4DF0-8456-86D7E1E66B0D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D53"/>
  <sheetViews>
    <sheetView workbookViewId="0"/>
  </sheetViews>
  <sheetFormatPr defaultRowHeight="18.75" x14ac:dyDescent="0.4"/>
  <cols>
    <col min="1" max="1" width="9" style="43" customWidth="1"/>
    <col min="2" max="2" width="19.25" style="15" bestFit="1" customWidth="1"/>
    <col min="3" max="4" width="6.5" style="15" customWidth="1"/>
  </cols>
  <sheetData>
    <row r="1" spans="1:4" x14ac:dyDescent="0.4">
      <c r="A1" s="43" t="s">
        <v>28</v>
      </c>
      <c r="B1" s="15" t="s">
        <v>29</v>
      </c>
      <c r="C1" s="15" t="s">
        <v>30</v>
      </c>
      <c r="D1" s="15" t="s">
        <v>31</v>
      </c>
    </row>
    <row r="2" spans="1:4" x14ac:dyDescent="0.4">
      <c r="A2" s="43" t="s">
        <v>78</v>
      </c>
      <c r="B2" s="15" t="s">
        <v>133</v>
      </c>
      <c r="C2" s="15">
        <v>1</v>
      </c>
    </row>
    <row r="3" spans="1:4" x14ac:dyDescent="0.4">
      <c r="A3" s="43" t="s">
        <v>79</v>
      </c>
      <c r="B3" s="15" t="s">
        <v>32</v>
      </c>
      <c r="C3" s="15">
        <v>1</v>
      </c>
    </row>
    <row r="4" spans="1:4" x14ac:dyDescent="0.4">
      <c r="A4" s="43" t="s">
        <v>80</v>
      </c>
      <c r="B4" s="15" t="s">
        <v>33</v>
      </c>
      <c r="C4" s="15">
        <v>1</v>
      </c>
      <c r="D4" s="15">
        <v>1</v>
      </c>
    </row>
    <row r="5" spans="1:4" x14ac:dyDescent="0.4">
      <c r="A5" s="43" t="s">
        <v>81</v>
      </c>
      <c r="B5" s="15" t="s">
        <v>34</v>
      </c>
      <c r="C5" s="15">
        <v>1</v>
      </c>
    </row>
    <row r="6" spans="1:4" x14ac:dyDescent="0.4">
      <c r="A6" s="43" t="s">
        <v>82</v>
      </c>
      <c r="B6" s="15" t="s">
        <v>35</v>
      </c>
      <c r="C6" s="15">
        <v>1</v>
      </c>
      <c r="D6" s="15">
        <v>1</v>
      </c>
    </row>
    <row r="7" spans="1:4" x14ac:dyDescent="0.4">
      <c r="A7" s="43" t="s">
        <v>83</v>
      </c>
      <c r="B7" s="15" t="s">
        <v>36</v>
      </c>
      <c r="C7" s="15">
        <v>1</v>
      </c>
    </row>
    <row r="8" spans="1:4" x14ac:dyDescent="0.4">
      <c r="A8" s="43" t="s">
        <v>84</v>
      </c>
      <c r="B8" s="15" t="s">
        <v>37</v>
      </c>
      <c r="C8" s="15">
        <v>1</v>
      </c>
    </row>
    <row r="9" spans="1:4" x14ac:dyDescent="0.4">
      <c r="A9" s="43" t="s">
        <v>85</v>
      </c>
      <c r="B9" s="15" t="s">
        <v>38</v>
      </c>
      <c r="C9" s="15">
        <v>1</v>
      </c>
    </row>
    <row r="10" spans="1:4" x14ac:dyDescent="0.4">
      <c r="A10" s="43" t="s">
        <v>86</v>
      </c>
      <c r="B10" s="15" t="s">
        <v>130</v>
      </c>
      <c r="C10" s="15">
        <v>1</v>
      </c>
      <c r="D10" s="15">
        <v>1</v>
      </c>
    </row>
    <row r="11" spans="1:4" x14ac:dyDescent="0.4">
      <c r="A11" s="43" t="s">
        <v>87</v>
      </c>
      <c r="B11" s="15" t="s">
        <v>39</v>
      </c>
      <c r="C11" s="15">
        <v>1</v>
      </c>
      <c r="D11" s="15">
        <v>1</v>
      </c>
    </row>
    <row r="12" spans="1:4" x14ac:dyDescent="0.4">
      <c r="A12" s="43" t="s">
        <v>88</v>
      </c>
      <c r="B12" s="15" t="s">
        <v>40</v>
      </c>
      <c r="C12" s="15">
        <v>1</v>
      </c>
      <c r="D12" s="15">
        <v>1</v>
      </c>
    </row>
    <row r="13" spans="1:4" x14ac:dyDescent="0.4">
      <c r="A13" s="43" t="s">
        <v>89</v>
      </c>
      <c r="B13" s="15" t="s">
        <v>41</v>
      </c>
      <c r="C13" s="15">
        <v>1</v>
      </c>
      <c r="D13" s="15">
        <v>1</v>
      </c>
    </row>
    <row r="14" spans="1:4" x14ac:dyDescent="0.4">
      <c r="A14" s="43" t="s">
        <v>90</v>
      </c>
      <c r="B14" s="15" t="s">
        <v>42</v>
      </c>
      <c r="C14" s="15">
        <v>1</v>
      </c>
      <c r="D14" s="15">
        <v>1</v>
      </c>
    </row>
    <row r="15" spans="1:4" x14ac:dyDescent="0.4">
      <c r="A15" s="43" t="s">
        <v>91</v>
      </c>
      <c r="B15" s="15" t="s">
        <v>43</v>
      </c>
      <c r="C15" s="15">
        <v>1</v>
      </c>
      <c r="D15" s="15">
        <v>1</v>
      </c>
    </row>
    <row r="16" spans="1:4" x14ac:dyDescent="0.4">
      <c r="A16" s="43" t="s">
        <v>92</v>
      </c>
      <c r="B16" s="15" t="s">
        <v>44</v>
      </c>
      <c r="C16" s="15">
        <v>2</v>
      </c>
    </row>
    <row r="17" spans="1:4" x14ac:dyDescent="0.4">
      <c r="A17" s="43" t="s">
        <v>93</v>
      </c>
      <c r="B17" s="15" t="s">
        <v>45</v>
      </c>
      <c r="C17" s="15">
        <v>2</v>
      </c>
      <c r="D17" s="15">
        <v>1</v>
      </c>
    </row>
    <row r="18" spans="1:4" x14ac:dyDescent="0.4">
      <c r="A18" s="43" t="s">
        <v>94</v>
      </c>
      <c r="B18" s="15" t="s">
        <v>132</v>
      </c>
      <c r="C18" s="15">
        <v>2</v>
      </c>
      <c r="D18" s="15">
        <v>1</v>
      </c>
    </row>
    <row r="19" spans="1:4" x14ac:dyDescent="0.4">
      <c r="A19" s="43" t="s">
        <v>95</v>
      </c>
      <c r="B19" s="15" t="s">
        <v>46</v>
      </c>
      <c r="C19" s="15">
        <v>2</v>
      </c>
      <c r="D19" s="15">
        <v>1</v>
      </c>
    </row>
    <row r="20" spans="1:4" x14ac:dyDescent="0.4">
      <c r="A20" s="43" t="s">
        <v>96</v>
      </c>
      <c r="B20" s="15" t="s">
        <v>47</v>
      </c>
      <c r="C20" s="15">
        <v>2</v>
      </c>
      <c r="D20" s="15">
        <v>2</v>
      </c>
    </row>
    <row r="21" spans="1:4" x14ac:dyDescent="0.4">
      <c r="A21" s="43" t="s">
        <v>97</v>
      </c>
      <c r="B21" s="15" t="s">
        <v>48</v>
      </c>
      <c r="C21" s="15">
        <v>2</v>
      </c>
      <c r="D21" s="15">
        <v>2</v>
      </c>
    </row>
    <row r="22" spans="1:4" x14ac:dyDescent="0.4">
      <c r="A22" s="43" t="s">
        <v>98</v>
      </c>
      <c r="B22" s="15" t="s">
        <v>49</v>
      </c>
      <c r="C22" s="15">
        <v>2</v>
      </c>
      <c r="D22" s="15">
        <v>2</v>
      </c>
    </row>
    <row r="23" spans="1:4" x14ac:dyDescent="0.4">
      <c r="A23" s="43" t="s">
        <v>99</v>
      </c>
      <c r="B23" s="15" t="s">
        <v>50</v>
      </c>
      <c r="C23" s="15">
        <v>2</v>
      </c>
      <c r="D23" s="15">
        <v>2</v>
      </c>
    </row>
    <row r="24" spans="1:4" x14ac:dyDescent="0.4">
      <c r="A24" s="43" t="s">
        <v>100</v>
      </c>
      <c r="B24" s="15" t="s">
        <v>51</v>
      </c>
      <c r="C24" s="15">
        <v>2</v>
      </c>
      <c r="D24" s="15">
        <v>2</v>
      </c>
    </row>
    <row r="25" spans="1:4" x14ac:dyDescent="0.4">
      <c r="A25" s="43" t="s">
        <v>101</v>
      </c>
      <c r="B25" s="15" t="s">
        <v>52</v>
      </c>
      <c r="C25" s="15">
        <v>2</v>
      </c>
      <c r="D25" s="15">
        <v>2</v>
      </c>
    </row>
    <row r="26" spans="1:4" x14ac:dyDescent="0.4">
      <c r="A26" s="43" t="s">
        <v>102</v>
      </c>
      <c r="B26" s="15" t="s">
        <v>53</v>
      </c>
      <c r="C26" s="15">
        <v>2</v>
      </c>
    </row>
    <row r="27" spans="1:4" x14ac:dyDescent="0.4">
      <c r="A27" s="43" t="s">
        <v>103</v>
      </c>
      <c r="B27" s="15" t="s">
        <v>54</v>
      </c>
      <c r="C27" s="15">
        <v>3</v>
      </c>
    </row>
    <row r="28" spans="1:4" x14ac:dyDescent="0.4">
      <c r="A28" s="43" t="s">
        <v>104</v>
      </c>
      <c r="B28" s="15" t="s">
        <v>131</v>
      </c>
      <c r="C28" s="15">
        <v>3</v>
      </c>
      <c r="D28" s="15">
        <v>2</v>
      </c>
    </row>
    <row r="29" spans="1:4" x14ac:dyDescent="0.4">
      <c r="A29" s="43" t="s">
        <v>105</v>
      </c>
      <c r="B29" s="15" t="s">
        <v>55</v>
      </c>
      <c r="C29" s="15">
        <v>3</v>
      </c>
      <c r="D29" s="15">
        <v>2</v>
      </c>
    </row>
    <row r="30" spans="1:4" x14ac:dyDescent="0.4">
      <c r="A30" s="43" t="s">
        <v>106</v>
      </c>
      <c r="B30" s="15" t="s">
        <v>56</v>
      </c>
      <c r="C30" s="15">
        <v>5</v>
      </c>
    </row>
    <row r="31" spans="1:4" x14ac:dyDescent="0.4">
      <c r="A31" s="43" t="s">
        <v>107</v>
      </c>
      <c r="B31" s="15" t="s">
        <v>57</v>
      </c>
      <c r="C31" s="15">
        <v>6</v>
      </c>
      <c r="D31" s="15">
        <v>5</v>
      </c>
    </row>
    <row r="32" spans="1:4" x14ac:dyDescent="0.4">
      <c r="A32" s="43" t="s">
        <v>108</v>
      </c>
      <c r="B32" s="15" t="s">
        <v>58</v>
      </c>
      <c r="C32" s="15">
        <v>13</v>
      </c>
    </row>
    <row r="33" spans="1:4" x14ac:dyDescent="0.4">
      <c r="A33" s="43" t="s">
        <v>109</v>
      </c>
      <c r="B33" s="15" t="s">
        <v>59</v>
      </c>
      <c r="C33" s="15">
        <v>13</v>
      </c>
    </row>
    <row r="34" spans="1:4" x14ac:dyDescent="0.4">
      <c r="A34" s="43" t="s">
        <v>110</v>
      </c>
      <c r="B34" s="15" t="s">
        <v>60</v>
      </c>
      <c r="C34" s="15">
        <v>13</v>
      </c>
      <c r="D34" s="15">
        <v>13</v>
      </c>
    </row>
    <row r="35" spans="1:4" x14ac:dyDescent="0.4">
      <c r="A35" s="43" t="s">
        <v>111</v>
      </c>
      <c r="B35" s="15" t="s">
        <v>61</v>
      </c>
      <c r="C35" s="15">
        <v>13</v>
      </c>
      <c r="D35" s="15">
        <v>13</v>
      </c>
    </row>
    <row r="36" spans="1:4" x14ac:dyDescent="0.4">
      <c r="A36" s="43" t="s">
        <v>112</v>
      </c>
      <c r="B36" s="15" t="s">
        <v>62</v>
      </c>
      <c r="C36" s="15">
        <v>26</v>
      </c>
      <c r="D36" s="15">
        <v>26</v>
      </c>
    </row>
    <row r="37" spans="1:4" x14ac:dyDescent="0.4">
      <c r="A37" s="43" t="s">
        <v>113</v>
      </c>
      <c r="B37" s="15" t="s">
        <v>63</v>
      </c>
      <c r="C37" s="15">
        <v>13</v>
      </c>
      <c r="D37" s="15">
        <v>13</v>
      </c>
    </row>
    <row r="38" spans="1:4" x14ac:dyDescent="0.4">
      <c r="A38" s="43" t="s">
        <v>114</v>
      </c>
      <c r="B38" s="15" t="s">
        <v>64</v>
      </c>
      <c r="C38" s="15">
        <v>13</v>
      </c>
      <c r="D38" s="15">
        <v>13</v>
      </c>
    </row>
    <row r="39" spans="1:4" x14ac:dyDescent="0.4">
      <c r="A39" s="43" t="s">
        <v>115</v>
      </c>
      <c r="B39" s="15" t="s">
        <v>65</v>
      </c>
      <c r="C39" s="15">
        <v>13</v>
      </c>
      <c r="D39" s="15">
        <v>13</v>
      </c>
    </row>
    <row r="40" spans="1:4" x14ac:dyDescent="0.4">
      <c r="A40" s="43" t="s">
        <v>116</v>
      </c>
      <c r="B40" s="15" t="s">
        <v>66</v>
      </c>
      <c r="C40" s="15">
        <v>13</v>
      </c>
      <c r="D40" s="15">
        <v>13</v>
      </c>
    </row>
    <row r="41" spans="1:4" x14ac:dyDescent="0.4">
      <c r="A41" s="43" t="s">
        <v>117</v>
      </c>
      <c r="B41" s="15" t="s">
        <v>67</v>
      </c>
      <c r="C41" s="15">
        <v>13</v>
      </c>
    </row>
    <row r="42" spans="1:4" x14ac:dyDescent="0.4">
      <c r="A42" s="43" t="s">
        <v>118</v>
      </c>
      <c r="B42" s="15" t="s">
        <v>68</v>
      </c>
      <c r="C42" s="15">
        <v>13</v>
      </c>
    </row>
    <row r="43" spans="1:4" x14ac:dyDescent="0.4">
      <c r="A43" s="43" t="s">
        <v>119</v>
      </c>
      <c r="B43" s="15" t="s">
        <v>69</v>
      </c>
      <c r="C43" s="15">
        <v>13</v>
      </c>
    </row>
    <row r="44" spans="1:4" x14ac:dyDescent="0.4">
      <c r="A44" s="43" t="s">
        <v>120</v>
      </c>
      <c r="B44" s="15" t="s">
        <v>70</v>
      </c>
      <c r="C44" s="15">
        <v>13</v>
      </c>
    </row>
    <row r="45" spans="1:4" x14ac:dyDescent="0.4">
      <c r="A45" s="43" t="s">
        <v>121</v>
      </c>
      <c r="B45" s="15" t="s">
        <v>71</v>
      </c>
      <c r="C45" s="15">
        <v>26</v>
      </c>
    </row>
    <row r="46" spans="1:4" x14ac:dyDescent="0.4">
      <c r="A46" s="43" t="s">
        <v>122</v>
      </c>
      <c r="B46" s="15" t="s">
        <v>72</v>
      </c>
      <c r="C46" s="15">
        <v>26</v>
      </c>
    </row>
    <row r="47" spans="1:4" x14ac:dyDescent="0.4">
      <c r="A47" s="43" t="s">
        <v>123</v>
      </c>
      <c r="B47" s="15" t="s">
        <v>73</v>
      </c>
      <c r="C47" s="15">
        <v>26</v>
      </c>
    </row>
    <row r="48" spans="1:4" x14ac:dyDescent="0.4">
      <c r="A48" s="43" t="s">
        <v>124</v>
      </c>
      <c r="B48" s="15" t="s">
        <v>74</v>
      </c>
      <c r="C48" s="15">
        <v>13</v>
      </c>
    </row>
    <row r="49" spans="1:4" x14ac:dyDescent="0.4">
      <c r="A49" s="43" t="s">
        <v>125</v>
      </c>
      <c r="B49" s="15" t="s">
        <v>75</v>
      </c>
      <c r="C49" s="15">
        <v>13</v>
      </c>
    </row>
    <row r="50" spans="1:4" x14ac:dyDescent="0.4">
      <c r="A50" s="43" t="s">
        <v>126</v>
      </c>
      <c r="B50" s="15" t="s">
        <v>76</v>
      </c>
      <c r="C50" s="15">
        <v>13</v>
      </c>
    </row>
    <row r="51" spans="1:4" x14ac:dyDescent="0.4">
      <c r="A51" s="43" t="s">
        <v>127</v>
      </c>
      <c r="B51" s="15" t="s">
        <v>77</v>
      </c>
      <c r="C51" s="15">
        <v>13</v>
      </c>
    </row>
    <row r="52" spans="1:4" x14ac:dyDescent="0.4">
      <c r="A52" s="43" t="s">
        <v>135</v>
      </c>
      <c r="B52" s="15" t="s">
        <v>136</v>
      </c>
      <c r="C52" s="15">
        <v>2</v>
      </c>
    </row>
    <row r="53" spans="1:4" x14ac:dyDescent="0.4">
      <c r="A53" s="43" t="s">
        <v>137</v>
      </c>
      <c r="B53" s="15" t="s">
        <v>138</v>
      </c>
      <c r="C53" s="15">
        <v>1</v>
      </c>
      <c r="D53" s="15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8"/>
    <col min="13" max="13" width="9" style="38" customWidth="1"/>
    <col min="14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12000</v>
      </c>
      <c r="H2" s="38">
        <v>18000</v>
      </c>
      <c r="I2" s="38">
        <v>24000</v>
      </c>
      <c r="J2" s="38">
        <v>36000</v>
      </c>
      <c r="K2" s="38">
        <v>48000</v>
      </c>
      <c r="L2" s="38">
        <v>96000</v>
      </c>
      <c r="M2" s="38">
        <v>144000</v>
      </c>
    </row>
    <row r="3" spans="1:13" x14ac:dyDescent="0.4">
      <c r="A3" s="15">
        <v>20</v>
      </c>
      <c r="E3" s="38">
        <v>3900</v>
      </c>
      <c r="F3" s="38">
        <v>7700</v>
      </c>
    </row>
    <row r="4" spans="1:13" x14ac:dyDescent="0.4">
      <c r="A4" s="15">
        <v>25</v>
      </c>
      <c r="D4" s="38">
        <v>2400</v>
      </c>
      <c r="E4" s="38">
        <v>4800</v>
      </c>
      <c r="F4" s="38">
        <v>9600</v>
      </c>
    </row>
    <row r="5" spans="1:13" x14ac:dyDescent="0.4">
      <c r="A5" s="15">
        <v>30</v>
      </c>
      <c r="C5" s="38">
        <v>1500</v>
      </c>
      <c r="D5" s="38">
        <v>2900</v>
      </c>
      <c r="E5" s="38">
        <v>5800</v>
      </c>
      <c r="F5" s="38">
        <v>11600</v>
      </c>
    </row>
    <row r="6" spans="1:13" x14ac:dyDescent="0.4">
      <c r="A6" s="15">
        <v>40</v>
      </c>
      <c r="C6" s="38">
        <v>2000</v>
      </c>
      <c r="D6" s="38">
        <v>3900</v>
      </c>
      <c r="E6" s="38">
        <v>7700</v>
      </c>
      <c r="F6" s="38">
        <v>12000</v>
      </c>
    </row>
    <row r="7" spans="1:13" x14ac:dyDescent="0.4">
      <c r="A7" s="15">
        <v>50</v>
      </c>
      <c r="C7" s="38">
        <v>2400</v>
      </c>
      <c r="D7" s="38">
        <v>4800</v>
      </c>
      <c r="E7" s="38">
        <v>9600</v>
      </c>
      <c r="F7" s="38">
        <v>12000</v>
      </c>
    </row>
    <row r="8" spans="1:13" x14ac:dyDescent="0.4">
      <c r="A8" s="15">
        <v>60</v>
      </c>
      <c r="C8" s="38">
        <v>2900</v>
      </c>
      <c r="D8" s="38">
        <v>5800</v>
      </c>
      <c r="E8" s="38">
        <v>11600</v>
      </c>
      <c r="F8" s="38">
        <v>12000</v>
      </c>
    </row>
    <row r="9" spans="1:13" x14ac:dyDescent="0.4">
      <c r="A9" s="15">
        <v>70</v>
      </c>
      <c r="C9" s="38">
        <v>3400</v>
      </c>
      <c r="D9" s="38">
        <v>6800</v>
      </c>
      <c r="E9" s="38">
        <v>12000</v>
      </c>
      <c r="F9" s="38">
        <v>12000</v>
      </c>
    </row>
    <row r="10" spans="1:13" x14ac:dyDescent="0.4">
      <c r="A10" s="15">
        <v>80</v>
      </c>
      <c r="C10" s="38">
        <v>3900</v>
      </c>
      <c r="D10" s="38">
        <v>7700</v>
      </c>
      <c r="E10" s="38">
        <v>12000</v>
      </c>
      <c r="F10" s="38">
        <v>12000</v>
      </c>
    </row>
    <row r="11" spans="1:13" x14ac:dyDescent="0.4">
      <c r="A11" s="15">
        <v>90</v>
      </c>
      <c r="C11" s="38">
        <v>4400</v>
      </c>
      <c r="D11" s="38">
        <v>8700</v>
      </c>
      <c r="E11" s="38">
        <v>12000</v>
      </c>
      <c r="F11" s="38">
        <v>12000</v>
      </c>
    </row>
    <row r="12" spans="1:13" x14ac:dyDescent="0.4">
      <c r="A12" s="15">
        <v>100</v>
      </c>
      <c r="C12" s="38">
        <v>4800</v>
      </c>
      <c r="D12" s="38">
        <v>9600</v>
      </c>
      <c r="E12" s="38">
        <v>12000</v>
      </c>
      <c r="F12" s="38">
        <v>12000</v>
      </c>
    </row>
    <row r="13" spans="1:13" x14ac:dyDescent="0.4">
      <c r="A13" s="15">
        <v>110</v>
      </c>
      <c r="D13" s="38">
        <v>10600</v>
      </c>
      <c r="E13" s="38">
        <v>12000</v>
      </c>
      <c r="F13" s="38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12000</v>
      </c>
      <c r="H2" s="38">
        <v>18000</v>
      </c>
      <c r="I2" s="38">
        <v>24000</v>
      </c>
      <c r="J2" s="38">
        <v>36000</v>
      </c>
      <c r="K2" s="38">
        <v>48000</v>
      </c>
      <c r="L2" s="38">
        <v>96000</v>
      </c>
      <c r="M2" s="38">
        <v>144000</v>
      </c>
    </row>
    <row r="3" spans="1:13" x14ac:dyDescent="0.4">
      <c r="A3" s="15">
        <v>20</v>
      </c>
      <c r="C3" s="38" t="s">
        <v>11</v>
      </c>
      <c r="D3" s="38">
        <v>2200</v>
      </c>
      <c r="E3" s="38">
        <v>4000</v>
      </c>
      <c r="F3" s="38">
        <v>7800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4800</v>
      </c>
      <c r="F4" s="38">
        <v>9600</v>
      </c>
    </row>
    <row r="5" spans="1:13" x14ac:dyDescent="0.4">
      <c r="A5" s="15">
        <v>30</v>
      </c>
      <c r="C5" s="38">
        <v>1600</v>
      </c>
      <c r="D5" s="38">
        <v>3000</v>
      </c>
      <c r="E5" s="38">
        <v>6000</v>
      </c>
      <c r="F5" s="38">
        <v>11600</v>
      </c>
    </row>
    <row r="6" spans="1:13" x14ac:dyDescent="0.4">
      <c r="A6" s="15">
        <v>40</v>
      </c>
      <c r="C6" s="38">
        <v>2200</v>
      </c>
      <c r="D6" s="38">
        <v>4000</v>
      </c>
      <c r="E6" s="38">
        <v>7800</v>
      </c>
      <c r="F6" s="38">
        <v>12000</v>
      </c>
    </row>
    <row r="7" spans="1:13" x14ac:dyDescent="0.4">
      <c r="A7" s="15">
        <v>50</v>
      </c>
      <c r="C7" s="38">
        <v>2400</v>
      </c>
      <c r="D7" s="38">
        <v>4800</v>
      </c>
      <c r="E7" s="38">
        <v>9600</v>
      </c>
      <c r="F7" s="38">
        <v>12000</v>
      </c>
    </row>
    <row r="8" spans="1:13" x14ac:dyDescent="0.4">
      <c r="A8" s="15">
        <v>60</v>
      </c>
      <c r="C8" s="38">
        <v>3000</v>
      </c>
      <c r="D8" s="38">
        <v>6000</v>
      </c>
      <c r="E8" s="38">
        <v>11600</v>
      </c>
      <c r="F8" s="38">
        <v>12000</v>
      </c>
    </row>
    <row r="9" spans="1:13" x14ac:dyDescent="0.4">
      <c r="A9" s="15">
        <v>70</v>
      </c>
      <c r="C9" s="38">
        <v>3600</v>
      </c>
      <c r="D9" s="38">
        <v>7000</v>
      </c>
      <c r="E9" s="38">
        <v>12000</v>
      </c>
      <c r="F9" s="38">
        <v>12000</v>
      </c>
    </row>
    <row r="10" spans="1:13" x14ac:dyDescent="0.4">
      <c r="A10" s="15">
        <v>80</v>
      </c>
      <c r="C10" s="38">
        <v>4000</v>
      </c>
      <c r="D10" s="38">
        <v>7800</v>
      </c>
      <c r="E10" s="38">
        <v>12000</v>
      </c>
      <c r="F10" s="38">
        <v>12000</v>
      </c>
    </row>
    <row r="11" spans="1:13" x14ac:dyDescent="0.4">
      <c r="A11" s="15">
        <v>90</v>
      </c>
      <c r="C11" s="38">
        <v>4600</v>
      </c>
      <c r="D11" s="38">
        <v>8800</v>
      </c>
      <c r="E11" s="38">
        <v>12000</v>
      </c>
      <c r="F11" s="38">
        <v>12000</v>
      </c>
    </row>
    <row r="12" spans="1:13" x14ac:dyDescent="0.4">
      <c r="A12" s="15">
        <v>100</v>
      </c>
      <c r="C12" s="38">
        <v>4800</v>
      </c>
      <c r="D12" s="38">
        <v>9600</v>
      </c>
      <c r="E12" s="38">
        <v>12000</v>
      </c>
      <c r="F12" s="38">
        <v>12000</v>
      </c>
    </row>
    <row r="13" spans="1:13" x14ac:dyDescent="0.4">
      <c r="A13" s="15">
        <v>110</v>
      </c>
      <c r="C13" s="38" t="s">
        <v>11</v>
      </c>
      <c r="D13" s="38">
        <v>10800</v>
      </c>
      <c r="E13" s="38">
        <v>12000</v>
      </c>
      <c r="F13" s="38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-6000</v>
      </c>
      <c r="H2" s="38">
        <v>-9000</v>
      </c>
      <c r="I2" s="38">
        <v>-12000</v>
      </c>
      <c r="J2" s="38">
        <v>-18000</v>
      </c>
      <c r="K2" s="38">
        <v>-24000</v>
      </c>
      <c r="L2" s="38">
        <v>-48000</v>
      </c>
      <c r="M2" s="38">
        <v>-72000</v>
      </c>
    </row>
    <row r="3" spans="1:13" x14ac:dyDescent="0.4">
      <c r="A3" s="15">
        <v>20</v>
      </c>
      <c r="C3" s="38" t="s">
        <v>11</v>
      </c>
      <c r="D3" s="38">
        <v>-1100</v>
      </c>
      <c r="E3" s="38">
        <v>-2000</v>
      </c>
      <c r="F3" s="38">
        <v>-3900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-2400</v>
      </c>
      <c r="F4" s="38">
        <v>-4800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-800</v>
      </c>
      <c r="D5" s="38">
        <v>-1500</v>
      </c>
      <c r="E5" s="38">
        <v>-3000</v>
      </c>
      <c r="F5" s="38">
        <v>-5800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-1100</v>
      </c>
      <c r="D6" s="38">
        <v>-2000</v>
      </c>
      <c r="E6" s="38">
        <v>-3900</v>
      </c>
      <c r="F6" s="38">
        <v>-6000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-1200</v>
      </c>
      <c r="D7" s="38">
        <v>-2400</v>
      </c>
      <c r="E7" s="38">
        <v>-4800</v>
      </c>
      <c r="F7" s="38">
        <v>-6000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-1500</v>
      </c>
      <c r="D8" s="38">
        <v>-3000</v>
      </c>
      <c r="E8" s="38">
        <v>-5800</v>
      </c>
      <c r="F8" s="38">
        <v>-6000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-1800</v>
      </c>
      <c r="D9" s="38">
        <v>-3500</v>
      </c>
      <c r="E9" s="38">
        <v>-6000</v>
      </c>
      <c r="F9" s="38">
        <v>-6000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-2000</v>
      </c>
      <c r="D10" s="38">
        <v>-3900</v>
      </c>
      <c r="E10" s="38">
        <v>-6000</v>
      </c>
      <c r="F10" s="38">
        <v>-6000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-2300</v>
      </c>
      <c r="D11" s="38">
        <v>-4400</v>
      </c>
      <c r="E11" s="38">
        <v>-6000</v>
      </c>
      <c r="F11" s="38">
        <v>-6000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-2400</v>
      </c>
      <c r="D12" s="38">
        <v>-4800</v>
      </c>
      <c r="E12" s="38">
        <v>-6000</v>
      </c>
      <c r="F12" s="38">
        <v>-6000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-5400</v>
      </c>
      <c r="E13" s="38">
        <v>-6000</v>
      </c>
      <c r="F13" s="38">
        <v>-6000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8000</v>
      </c>
      <c r="H2" s="38">
        <v>12000</v>
      </c>
      <c r="I2" s="38">
        <v>16000</v>
      </c>
      <c r="J2" s="38">
        <v>24000</v>
      </c>
      <c r="K2" s="38">
        <v>32000</v>
      </c>
      <c r="L2" s="38">
        <v>64000</v>
      </c>
      <c r="M2" s="38">
        <v>96000</v>
      </c>
    </row>
    <row r="3" spans="1:13" x14ac:dyDescent="0.4">
      <c r="A3" s="15">
        <v>20</v>
      </c>
      <c r="C3" s="38" t="s">
        <v>11</v>
      </c>
      <c r="D3" s="38" t="s">
        <v>11</v>
      </c>
      <c r="E3" s="38">
        <v>2600</v>
      </c>
      <c r="F3" s="38">
        <v>5200</v>
      </c>
    </row>
    <row r="4" spans="1:13" x14ac:dyDescent="0.4">
      <c r="A4" s="15">
        <v>25</v>
      </c>
      <c r="C4" s="38" t="s">
        <v>11</v>
      </c>
      <c r="D4" s="38">
        <v>1600</v>
      </c>
      <c r="E4" s="38">
        <v>3200</v>
      </c>
      <c r="F4" s="38">
        <v>6400</v>
      </c>
    </row>
    <row r="5" spans="1:13" x14ac:dyDescent="0.4">
      <c r="A5" s="15">
        <v>30</v>
      </c>
      <c r="C5" s="38">
        <v>1000</v>
      </c>
      <c r="D5" s="38">
        <v>2000</v>
      </c>
      <c r="E5" s="38">
        <v>3900</v>
      </c>
      <c r="F5" s="38">
        <v>7700</v>
      </c>
    </row>
    <row r="6" spans="1:13" x14ac:dyDescent="0.4">
      <c r="A6" s="15">
        <v>40</v>
      </c>
      <c r="C6" s="38">
        <v>1300</v>
      </c>
      <c r="D6" s="38">
        <v>2600</v>
      </c>
      <c r="E6" s="38">
        <v>5200</v>
      </c>
      <c r="F6" s="38">
        <v>8000</v>
      </c>
    </row>
    <row r="7" spans="1:13" x14ac:dyDescent="0.4">
      <c r="A7" s="15">
        <v>50</v>
      </c>
      <c r="C7" s="38">
        <v>1600</v>
      </c>
      <c r="D7" s="38">
        <v>3200</v>
      </c>
      <c r="E7" s="38">
        <v>6400</v>
      </c>
      <c r="F7" s="38">
        <v>8000</v>
      </c>
    </row>
    <row r="8" spans="1:13" x14ac:dyDescent="0.4">
      <c r="A8" s="15">
        <v>60</v>
      </c>
      <c r="C8" s="38">
        <v>2000</v>
      </c>
      <c r="D8" s="38">
        <v>3900</v>
      </c>
      <c r="E8" s="38">
        <v>7700</v>
      </c>
      <c r="F8" s="38">
        <v>8000</v>
      </c>
    </row>
    <row r="9" spans="1:13" x14ac:dyDescent="0.4">
      <c r="A9" s="15">
        <v>70</v>
      </c>
      <c r="C9" s="38">
        <v>2300</v>
      </c>
      <c r="D9" s="38">
        <v>4500</v>
      </c>
      <c r="E9" s="38">
        <v>8000</v>
      </c>
      <c r="F9" s="38">
        <v>8000</v>
      </c>
    </row>
    <row r="10" spans="1:13" x14ac:dyDescent="0.4">
      <c r="A10" s="15">
        <v>80</v>
      </c>
      <c r="C10" s="38">
        <v>2600</v>
      </c>
      <c r="D10" s="38">
        <v>5200</v>
      </c>
      <c r="E10" s="38">
        <v>8000</v>
      </c>
      <c r="F10" s="38">
        <v>8000</v>
      </c>
    </row>
    <row r="11" spans="1:13" x14ac:dyDescent="0.4">
      <c r="A11" s="15">
        <v>90</v>
      </c>
      <c r="C11" s="38">
        <v>2900</v>
      </c>
      <c r="D11" s="38">
        <v>5800</v>
      </c>
      <c r="E11" s="38">
        <v>8000</v>
      </c>
      <c r="F11" s="38">
        <v>8000</v>
      </c>
    </row>
    <row r="12" spans="1:13" x14ac:dyDescent="0.4">
      <c r="A12" s="15">
        <v>100</v>
      </c>
      <c r="C12" s="38">
        <v>3200</v>
      </c>
      <c r="D12" s="38">
        <v>6400</v>
      </c>
      <c r="E12" s="38">
        <v>8000</v>
      </c>
      <c r="F12" s="38">
        <v>8000</v>
      </c>
    </row>
    <row r="13" spans="1:13" x14ac:dyDescent="0.4">
      <c r="A13" s="15">
        <v>110</v>
      </c>
      <c r="C13" s="38" t="s">
        <v>11</v>
      </c>
      <c r="D13" s="38">
        <v>7100</v>
      </c>
      <c r="E13" s="38">
        <v>8000</v>
      </c>
      <c r="F13" s="38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8000</v>
      </c>
      <c r="H2" s="38">
        <v>12000</v>
      </c>
      <c r="I2" s="38">
        <v>16000</v>
      </c>
      <c r="J2" s="38">
        <v>24000</v>
      </c>
      <c r="K2" s="38">
        <v>32000</v>
      </c>
      <c r="L2" s="38">
        <v>64000</v>
      </c>
      <c r="M2" s="38">
        <v>96000</v>
      </c>
    </row>
    <row r="3" spans="1:13" x14ac:dyDescent="0.4">
      <c r="A3" s="15">
        <v>20</v>
      </c>
      <c r="C3" s="38" t="s">
        <v>11</v>
      </c>
      <c r="D3" s="38">
        <v>1500</v>
      </c>
      <c r="E3" s="38">
        <v>2800</v>
      </c>
      <c r="F3" s="38">
        <v>5300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3200</v>
      </c>
      <c r="F4" s="38">
        <v>6400</v>
      </c>
    </row>
    <row r="5" spans="1:13" x14ac:dyDescent="0.4">
      <c r="A5" s="15">
        <v>30</v>
      </c>
      <c r="C5" s="38">
        <v>1200</v>
      </c>
      <c r="D5" s="38">
        <v>2100</v>
      </c>
      <c r="E5" s="38">
        <v>4000</v>
      </c>
      <c r="F5" s="38">
        <v>7700</v>
      </c>
    </row>
    <row r="6" spans="1:13" x14ac:dyDescent="0.4">
      <c r="A6" s="15">
        <v>40</v>
      </c>
      <c r="C6" s="38">
        <v>1500</v>
      </c>
      <c r="D6" s="38">
        <v>2800</v>
      </c>
      <c r="E6" s="38">
        <v>5300</v>
      </c>
      <c r="F6" s="38">
        <v>8000</v>
      </c>
    </row>
    <row r="7" spans="1:13" x14ac:dyDescent="0.4">
      <c r="A7" s="15">
        <v>50</v>
      </c>
      <c r="C7" s="38">
        <v>1600</v>
      </c>
      <c r="D7" s="38">
        <v>3200</v>
      </c>
      <c r="E7" s="38">
        <v>6400</v>
      </c>
      <c r="F7" s="38">
        <v>8000</v>
      </c>
    </row>
    <row r="8" spans="1:13" x14ac:dyDescent="0.4">
      <c r="A8" s="15">
        <v>60</v>
      </c>
      <c r="C8" s="38">
        <v>2100</v>
      </c>
      <c r="D8" s="38">
        <v>4000</v>
      </c>
      <c r="E8" s="38">
        <v>7700</v>
      </c>
      <c r="F8" s="38">
        <v>8000</v>
      </c>
    </row>
    <row r="9" spans="1:13" x14ac:dyDescent="0.4">
      <c r="A9" s="15">
        <v>70</v>
      </c>
      <c r="C9" s="38">
        <v>2400</v>
      </c>
      <c r="D9" s="38">
        <v>4700</v>
      </c>
      <c r="E9" s="38">
        <v>8000</v>
      </c>
      <c r="F9" s="38">
        <v>8000</v>
      </c>
    </row>
    <row r="10" spans="1:13" x14ac:dyDescent="0.4">
      <c r="A10" s="15">
        <v>80</v>
      </c>
      <c r="C10" s="38">
        <v>2800</v>
      </c>
      <c r="D10" s="38">
        <v>5300</v>
      </c>
      <c r="E10" s="38">
        <v>8000</v>
      </c>
      <c r="F10" s="38">
        <v>8000</v>
      </c>
    </row>
    <row r="11" spans="1:13" x14ac:dyDescent="0.4">
      <c r="A11" s="15">
        <v>90</v>
      </c>
      <c r="C11" s="38">
        <v>3100</v>
      </c>
      <c r="D11" s="38">
        <v>6000</v>
      </c>
      <c r="E11" s="38">
        <v>8000</v>
      </c>
      <c r="F11" s="38">
        <v>8000</v>
      </c>
    </row>
    <row r="12" spans="1:13" x14ac:dyDescent="0.4">
      <c r="A12" s="15">
        <v>100</v>
      </c>
      <c r="C12" s="38">
        <v>3200</v>
      </c>
      <c r="D12" s="38">
        <v>6400</v>
      </c>
      <c r="E12" s="38">
        <v>8000</v>
      </c>
      <c r="F12" s="38">
        <v>8000</v>
      </c>
    </row>
    <row r="13" spans="1:13" x14ac:dyDescent="0.4">
      <c r="A13" s="15">
        <v>110</v>
      </c>
      <c r="C13" s="38" t="s">
        <v>11</v>
      </c>
      <c r="D13" s="38">
        <v>7200</v>
      </c>
      <c r="E13" s="38">
        <v>8000</v>
      </c>
      <c r="F13" s="38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-3000</v>
      </c>
      <c r="H2" s="38">
        <v>-4500</v>
      </c>
      <c r="I2" s="38">
        <v>-6000</v>
      </c>
      <c r="J2" s="38">
        <v>-9000</v>
      </c>
      <c r="K2" s="38">
        <v>-12000</v>
      </c>
      <c r="L2" s="38">
        <v>-24000</v>
      </c>
      <c r="M2" s="38">
        <v>-36000</v>
      </c>
    </row>
    <row r="3" spans="1:13" x14ac:dyDescent="0.4">
      <c r="A3" s="15">
        <v>20</v>
      </c>
      <c r="C3" s="38" t="s">
        <v>11</v>
      </c>
      <c r="D3" s="38">
        <v>-600</v>
      </c>
      <c r="E3" s="38">
        <v>-1100</v>
      </c>
      <c r="F3" s="38">
        <v>-2000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-1200</v>
      </c>
      <c r="F4" s="38">
        <v>-2400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-500</v>
      </c>
      <c r="D5" s="38">
        <v>-800</v>
      </c>
      <c r="E5" s="38">
        <v>-1500</v>
      </c>
      <c r="F5" s="38">
        <v>-2900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-600</v>
      </c>
      <c r="D6" s="38">
        <v>-1100</v>
      </c>
      <c r="E6" s="38">
        <v>-2000</v>
      </c>
      <c r="F6" s="38">
        <v>-3000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-600</v>
      </c>
      <c r="D7" s="38">
        <v>-1200</v>
      </c>
      <c r="E7" s="38">
        <v>-2400</v>
      </c>
      <c r="F7" s="38">
        <v>-3000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-800</v>
      </c>
      <c r="D8" s="38">
        <v>-1500</v>
      </c>
      <c r="E8" s="38">
        <v>-2900</v>
      </c>
      <c r="F8" s="38">
        <v>-3000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-900</v>
      </c>
      <c r="D9" s="38">
        <v>-1800</v>
      </c>
      <c r="E9" s="38">
        <v>-3000</v>
      </c>
      <c r="F9" s="38">
        <v>-3000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-1100</v>
      </c>
      <c r="D10" s="38">
        <v>-2000</v>
      </c>
      <c r="E10" s="38">
        <v>-3000</v>
      </c>
      <c r="F10" s="38">
        <v>-3000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-1200</v>
      </c>
      <c r="D11" s="38">
        <v>-2300</v>
      </c>
      <c r="E11" s="38">
        <v>-3000</v>
      </c>
      <c r="F11" s="38">
        <v>-3000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-1200</v>
      </c>
      <c r="D12" s="38">
        <v>-2400</v>
      </c>
      <c r="E12" s="38">
        <v>-3000</v>
      </c>
      <c r="F12" s="38">
        <v>-3000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-2700</v>
      </c>
      <c r="E13" s="38">
        <v>-3000</v>
      </c>
      <c r="F13" s="38">
        <v>-3000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-5000</v>
      </c>
      <c r="H2" s="38">
        <v>-7500</v>
      </c>
      <c r="I2" s="38">
        <v>-10000</v>
      </c>
      <c r="J2" s="38">
        <v>-15000</v>
      </c>
      <c r="K2" s="38">
        <v>-20000</v>
      </c>
      <c r="L2" s="38">
        <v>-40000</v>
      </c>
      <c r="M2" s="38">
        <v>-60000</v>
      </c>
    </row>
    <row r="3" spans="1:13" x14ac:dyDescent="0.4">
      <c r="A3" s="15">
        <v>20</v>
      </c>
      <c r="C3" s="38" t="s">
        <v>11</v>
      </c>
      <c r="D3" s="38">
        <v>-900</v>
      </c>
      <c r="E3" s="38">
        <v>-1700</v>
      </c>
      <c r="F3" s="38">
        <v>-3300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-2000</v>
      </c>
      <c r="F4" s="38">
        <v>-4000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-700</v>
      </c>
      <c r="D5" s="38">
        <v>-1300</v>
      </c>
      <c r="E5" s="38">
        <v>-2500</v>
      </c>
      <c r="F5" s="38">
        <v>-4800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-900</v>
      </c>
      <c r="D6" s="38">
        <v>-1700</v>
      </c>
      <c r="E6" s="38">
        <v>-3300</v>
      </c>
      <c r="F6" s="38">
        <v>-5000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-1000</v>
      </c>
      <c r="D7" s="38">
        <v>-2000</v>
      </c>
      <c r="E7" s="38">
        <v>-4000</v>
      </c>
      <c r="F7" s="38">
        <v>-5000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-1300</v>
      </c>
      <c r="D8" s="38">
        <v>-2500</v>
      </c>
      <c r="E8" s="38">
        <v>-4800</v>
      </c>
      <c r="F8" s="38">
        <v>-5000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-1500</v>
      </c>
      <c r="D9" s="38">
        <v>-2900</v>
      </c>
      <c r="E9" s="38">
        <v>-5000</v>
      </c>
      <c r="F9" s="38">
        <v>-5000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-1700</v>
      </c>
      <c r="D10" s="38">
        <v>-3300</v>
      </c>
      <c r="E10" s="38">
        <v>-5000</v>
      </c>
      <c r="F10" s="38">
        <v>-5000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-1900</v>
      </c>
      <c r="D11" s="38">
        <v>-3700</v>
      </c>
      <c r="E11" s="38">
        <v>-5000</v>
      </c>
      <c r="F11" s="38">
        <v>-5000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-2000</v>
      </c>
      <c r="D12" s="38">
        <v>-4000</v>
      </c>
      <c r="E12" s="38">
        <v>-5000</v>
      </c>
      <c r="F12" s="38">
        <v>-5000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-4500</v>
      </c>
      <c r="E13" s="38">
        <v>-5000</v>
      </c>
      <c r="F13" s="38">
        <v>-5000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2019-04-02T02:53:57Z</dcterms:modified>
</cp:coreProperties>
</file>