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C29B142B-27D8-4CF8-9C91-E7086EA57857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U12" i="19" s="1"/>
  <c r="D12" i="19"/>
  <c r="C12" i="19"/>
  <c r="B12" i="19"/>
  <c r="A12" i="19" s="1"/>
  <c r="D11" i="19"/>
  <c r="C11" i="19"/>
  <c r="D10" i="19"/>
  <c r="C10" i="19"/>
  <c r="D9" i="19"/>
  <c r="C9" i="19"/>
  <c r="D8" i="19"/>
  <c r="C8" i="19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 s="1"/>
  <c r="T11" i="18"/>
  <c r="W11" i="18" s="1"/>
  <c r="O11" i="18"/>
  <c r="V11" i="18" s="1"/>
  <c r="J11" i="18"/>
  <c r="U11" i="18" s="1"/>
  <c r="D11" i="18"/>
  <c r="C11" i="18"/>
  <c r="B11" i="18"/>
  <c r="A11" i="18" s="1"/>
  <c r="T10" i="18"/>
  <c r="W10" i="18" s="1"/>
  <c r="O10" i="18"/>
  <c r="V10" i="18" s="1"/>
  <c r="J10" i="18"/>
  <c r="U10" i="18" s="1"/>
  <c r="D10" i="18"/>
  <c r="C10" i="18"/>
  <c r="B10" i="18"/>
  <c r="A10" i="18"/>
  <c r="T9" i="18"/>
  <c r="W9" i="18" s="1"/>
  <c r="O9" i="18"/>
  <c r="V9" i="18" s="1"/>
  <c r="J9" i="18"/>
  <c r="U9" i="18" s="1"/>
  <c r="D9" i="18"/>
  <c r="C9" i="18"/>
  <c r="B9" i="18"/>
  <c r="A9" i="18" s="1"/>
  <c r="D8" i="18"/>
  <c r="C8" i="18"/>
  <c r="D7" i="18"/>
  <c r="D6" i="18"/>
  <c r="C6" i="18"/>
  <c r="C7" i="18" s="1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19" l="1"/>
  <c r="V5" i="19"/>
  <c r="B7" i="19"/>
  <c r="A7" i="19" s="1"/>
  <c r="O7" i="19"/>
  <c r="V6" i="19"/>
  <c r="T5" i="19"/>
  <c r="A6" i="19"/>
  <c r="J6" i="19"/>
  <c r="A5" i="18"/>
  <c r="V5" i="18"/>
  <c r="B7" i="18"/>
  <c r="V6" i="18"/>
  <c r="O7" i="18"/>
  <c r="A6" i="18"/>
  <c r="J6" i="18"/>
  <c r="T5" i="18"/>
  <c r="O8" i="19" l="1"/>
  <c r="V7" i="19"/>
  <c r="W5" i="19"/>
  <c r="T6" i="19"/>
  <c r="U6" i="19"/>
  <c r="J7" i="19"/>
  <c r="B8" i="19"/>
  <c r="B8" i="18"/>
  <c r="A8" i="18" s="1"/>
  <c r="O8" i="18"/>
  <c r="V7" i="18"/>
  <c r="T6" i="18"/>
  <c r="W5" i="18"/>
  <c r="U6" i="18"/>
  <c r="J7" i="18"/>
  <c r="A7" i="18"/>
  <c r="B9" i="19" l="1"/>
  <c r="A9" i="19" s="1"/>
  <c r="W6" i="19"/>
  <c r="T7" i="19"/>
  <c r="U7" i="19"/>
  <c r="J8" i="19"/>
  <c r="A8" i="19"/>
  <c r="V8" i="19"/>
  <c r="O9" i="19"/>
  <c r="V8" i="18"/>
  <c r="U7" i="18"/>
  <c r="J8" i="18"/>
  <c r="W6" i="18"/>
  <c r="T7" i="18"/>
  <c r="W7" i="19" l="1"/>
  <c r="T8" i="19"/>
  <c r="U8" i="19"/>
  <c r="J9" i="19"/>
  <c r="O10" i="19"/>
  <c r="V9" i="19"/>
  <c r="B10" i="19"/>
  <c r="A10" i="19" s="1"/>
  <c r="U8" i="18"/>
  <c r="W7" i="18"/>
  <c r="T8" i="18"/>
  <c r="U9" i="19" l="1"/>
  <c r="J10" i="19"/>
  <c r="W8" i="19"/>
  <c r="T9" i="19"/>
  <c r="B11" i="19"/>
  <c r="A11" i="19" s="1"/>
  <c r="V10" i="19"/>
  <c r="O11" i="19"/>
  <c r="W8" i="18"/>
  <c r="V11" i="19" l="1"/>
  <c r="W9" i="19"/>
  <c r="T10" i="19"/>
  <c r="U10" i="19"/>
  <c r="J11" i="19"/>
  <c r="U11" i="19" l="1"/>
  <c r="W10" i="19"/>
  <c r="T11" i="19"/>
  <c r="W11" i="19" l="1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D11" i="17"/>
  <c r="C11" i="17"/>
  <c r="B11" i="17"/>
  <c r="A11" i="17"/>
  <c r="D10" i="17"/>
  <c r="C10" i="17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C10" i="16"/>
  <c r="D9" i="16"/>
  <c r="C9" i="16"/>
  <c r="D8" i="16"/>
  <c r="C8" i="16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7" l="1"/>
  <c r="V5" i="17"/>
  <c r="B7" i="17"/>
  <c r="V6" i="17"/>
  <c r="O7" i="17"/>
  <c r="T5" i="17"/>
  <c r="A6" i="17"/>
  <c r="J6" i="17"/>
  <c r="A5" i="16"/>
  <c r="V5" i="16"/>
  <c r="B7" i="16"/>
  <c r="A7" i="16" s="1"/>
  <c r="O7" i="16"/>
  <c r="V6" i="16"/>
  <c r="T5" i="16"/>
  <c r="A6" i="16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O8" i="17" l="1"/>
  <c r="V7" i="17"/>
  <c r="B8" i="17"/>
  <c r="U6" i="17"/>
  <c r="J7" i="17"/>
  <c r="W5" i="17"/>
  <c r="T6" i="17"/>
  <c r="A7" i="17"/>
  <c r="W5" i="16"/>
  <c r="T6" i="16"/>
  <c r="U6" i="16"/>
  <c r="J7" i="16"/>
  <c r="O8" i="16"/>
  <c r="V7" i="16"/>
  <c r="B8" i="16"/>
  <c r="A8" i="16" s="1"/>
  <c r="W3" i="1"/>
  <c r="V3" i="1"/>
  <c r="U3" i="1"/>
  <c r="B9" i="17" l="1"/>
  <c r="W6" i="17"/>
  <c r="T7" i="17"/>
  <c r="A8" i="17"/>
  <c r="U7" i="17"/>
  <c r="J8" i="17"/>
  <c r="V8" i="17"/>
  <c r="O9" i="17"/>
  <c r="V8" i="16"/>
  <c r="O9" i="16"/>
  <c r="B9" i="16"/>
  <c r="A9" i="16" s="1"/>
  <c r="U7" i="16"/>
  <c r="J8" i="16"/>
  <c r="W6" i="16"/>
  <c r="T7" i="16"/>
  <c r="B5" i="1"/>
  <c r="A5" i="1" s="1"/>
  <c r="D6" i="1"/>
  <c r="B6" i="1"/>
  <c r="A6" i="1" s="1"/>
  <c r="D5" i="1"/>
  <c r="A9" i="17" l="1"/>
  <c r="O10" i="17"/>
  <c r="V10" i="17" s="1"/>
  <c r="V9" i="17"/>
  <c r="W7" i="17"/>
  <c r="T8" i="17"/>
  <c r="U8" i="17"/>
  <c r="J9" i="17"/>
  <c r="B10" i="17"/>
  <c r="A10" i="17"/>
  <c r="B10" i="16"/>
  <c r="T8" i="16"/>
  <c r="W7" i="16"/>
  <c r="U8" i="16"/>
  <c r="J9" i="16"/>
  <c r="O10" i="16"/>
  <c r="V9" i="16"/>
  <c r="Y1" i="1"/>
  <c r="U9" i="17" l="1"/>
  <c r="J10" i="17"/>
  <c r="U10" i="17" s="1"/>
  <c r="W8" i="17"/>
  <c r="T9" i="17"/>
  <c r="B11" i="16"/>
  <c r="V10" i="16"/>
  <c r="O11" i="16"/>
  <c r="V11" i="16" s="1"/>
  <c r="W8" i="16"/>
  <c r="T9" i="16"/>
  <c r="U9" i="16"/>
  <c r="J10" i="16"/>
  <c r="A10" i="16"/>
  <c r="BO1" i="1"/>
  <c r="AT1" i="1"/>
  <c r="W9" i="17" l="1"/>
  <c r="T10" i="17"/>
  <c r="W10" i="17" s="1"/>
  <c r="A11" i="16"/>
  <c r="W9" i="16"/>
  <c r="T10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6" l="1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<sst xmlns="http://schemas.openxmlformats.org/spreadsheetml/2006/main" count="950" uniqueCount="155">
  <si>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</si>
  <si>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</si>
  <si>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</si>
  <si>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</si>
  <si>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</si>
  <si>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</si>
  <si>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</si>
  <si>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</si>
  <si>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</si>
  <si>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</si>
  <si>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</si>
  <si>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</si>
  <si>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</si>
  <si>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</si>
  <si>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</si>
  <si>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</si>
  <si>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</si>
  <si>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</si>
  <si>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</si>
  <si>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</si>
  <si>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</si>
  <si>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</si>
  <si>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</si>
  <si>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</si>
  <si>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</si>
  <si>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</si>
  <si>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</si>
  <si>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</si>
  <si>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</si>
  <si>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</si>
  <si>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</si>
  <si>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</si>
  <si>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</si>
  <si>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</si>
  <si>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</si>
  <si>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</si>
  <si>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</si>
  <si>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</si>
  <si>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</si>
  <si>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</si>
  <si>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</si>
  <si>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</si>
  <si>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</si>
  <si>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</si>
  <si>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</si>
  <si>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</si>
  <si>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</si>
  <si>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</si>
  <si>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</si>
  <si>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</si>
  <si>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</si>
  <si>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</si>
  <si>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</si>
  <si>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</si>
  <si>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</si>
  <si>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</si>
  <si>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</si>
  <si>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</si>
  <si>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</si>
  <si>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</si>
  <si>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</si>
  <si>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</si>
  <si>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</si>
  <si>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</si>
  <si>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</si>
  <si>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</si>
  <si>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</si>
  <si>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</si>
  <si>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</si>
  <si>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</si>
  <si>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</si>
  <si>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</si>
  <si>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</si>
  <si>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</si>
  <si>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</si>
  <si>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</si>
  <si>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</si>
  <si>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</si>
  <si>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</si>
  <si>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</si>
  <si>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</si>
  <si>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</si>
  <si>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</si>
  <si>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</si>
  <si>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</si>
  <si>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</si>
  <si>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</si>
  <si>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</si>
  <si>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</si>
  <si>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</si>
  <si>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</si>
  <si>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</si>
  <si>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</si>
  <si>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</si>
  <si>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</si>
  <si>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</si>
  <si>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</si>
  <si>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</si>
  <si>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</si>
  <si>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</si>
  <si>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</si>
  <si>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</si>
  <si>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</si>
  <si>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</si>
  <si>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</si>
  <si>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</si>
  <si>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</si>
  <si>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</si>
  <si>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</si>
  <si>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</si>
  <si>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</si>
  <si>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</si>
  <si>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</si>
  <si>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</si>
  <si>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</si>
  <si>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</si>
  <si>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</si>
  <si>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</si>
  <si>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</si>
  <si>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</si>
  <si>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</si>
  <si>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</si>
  <si>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</si>
  <si>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</si>
  <si>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</si>
  <si>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</si>
  <si>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</si>
  <si>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</si>
  <si>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</si>
  <si>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</si>
  <si>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</si>
  <si>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</si>
  <si>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</si>
  <si>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</si>
  <si>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</si>
  <si>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</si>
  <si>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</si>
  <si>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</si>
  <si>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</si>
  <si>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りくと</t>
  </si>
  <si>
    <t>りくと</t>
    <phoneticPr fontId="1"/>
  </si>
  <si>
    <t>ロン</t>
  </si>
  <si>
    <t>放銃</t>
  </si>
  <si>
    <t>ツモ支払</t>
  </si>
  <si>
    <t>ツモ</t>
  </si>
  <si>
    <t>*</t>
  </si>
  <si>
    <t>01</t>
  </si>
  <si>
    <t>02</t>
  </si>
  <si>
    <t>ただ</t>
  </si>
  <si>
    <t>ただ</t>
    <phoneticPr fontId="1"/>
  </si>
  <si>
    <t>T</t>
  </si>
  <si>
    <t>流局</t>
    <phoneticPr fontId="1"/>
  </si>
  <si>
    <t>N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</si>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</sst>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2600</v>
      </c>
      <c r="M4" s="9"/>
      <c r="N4" s="55">
        <v>0</v>
      </c>
      <c r="O4" s="21">
        <f>IF(COUNTA($F4,$K4,$P4)&gt;0,O3+SUM(L4:N4),"")</f>
        <v>37600</v>
      </c>
      <c r="P4" s="8" t="s">
        <v>142</v>
      </c>
      <c r="Q4" s="9">
        <v>-2600</v>
      </c>
      <c r="R4" s="9"/>
      <c r="S4" s="55">
        <v>0</v>
      </c>
      <c r="T4" s="21">
        <f>IF(COUNTA($F4,$K4,$P4)&gt;0,T3+SUM(Q4:S4),"")</f>
        <v>32400</v>
      </c>
      <c r="U4" s="60">
        <f t="shared" ref="U4:U30" si="0">IF($J4="","",ROUND(($J4-$J$3)/1000,1))</f>
        <v>0</v>
      </c>
      <c r="V4" s="61">
        <f t="shared" ref="V4:V30" si="1">IF($O4="","",ROUND(($O4-$O$3)/1000,1))</f>
        <v>2.6</v>
      </c>
      <c r="W4" s="62">
        <f t="shared" ref="W4:W30" si="2">IF($T4="","",ROUND(($T4-$T$3)/1000,1))</f>
        <v>-2.6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2</v>
      </c>
      <c r="AY4" s="36">
        <v>40</v>
      </c>
      <c r="AZ4" s="47" t="s">
        <v>83</v>
      </c>
      <c r="BA4" s="48" t="s">
        <v>81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143</v>
      </c>
      <c r="G5" s="9">
        <v>-1500</v>
      </c>
      <c r="H5" s="9"/>
      <c r="I5" s="55">
        <v>0</v>
      </c>
      <c r="J5" s="21">
        <f t="shared" ref="J5:J30" si="5">IF(COUNTA($F5,$K5,$P5)&gt;0,J4+SUM(G5:I5),"")</f>
        <v>33500</v>
      </c>
      <c r="K5" s="8" t="s">
        <v>144</v>
      </c>
      <c r="L5" s="9">
        <v>3000</v>
      </c>
      <c r="M5" s="9"/>
      <c r="N5" s="55">
        <v>0</v>
      </c>
      <c r="O5" s="21">
        <f t="shared" ref="O5:O30" si="6">IF(COUNTA($F5,$K5,$P5)&gt;0,O4+SUM(L5:N5),"")</f>
        <v>40600</v>
      </c>
      <c r="P5" s="8" t="s">
        <v>143</v>
      </c>
      <c r="Q5" s="9">
        <v>-1500</v>
      </c>
      <c r="R5" s="9"/>
      <c r="S5" s="55">
        <v>0</v>
      </c>
      <c r="T5" s="21">
        <f t="shared" ref="T5:T30" si="7">IF(COUNTA($F5,$K5,$P5)&gt;0,T4+SUM(Q5:S5),"")</f>
        <v>30900</v>
      </c>
      <c r="U5" s="60">
        <f t="shared" si="0"/>
        <v>-1.5</v>
      </c>
      <c r="V5" s="61">
        <f t="shared" si="1"/>
        <v>5.6</v>
      </c>
      <c r="W5" s="62">
        <f t="shared" si="2"/>
        <v>-4.0999999999999996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2</v>
      </c>
      <c r="AY5" s="36">
        <v>30</v>
      </c>
      <c r="AZ5" s="47" t="s">
        <v>87</v>
      </c>
      <c r="BA5" s="48" t="s">
        <v>82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137</v>
      </c>
      <c r="F6" s="8" t="s">
        <v>142</v>
      </c>
      <c r="G6" s="9">
        <v>-2000</v>
      </c>
      <c r="H6" s="9">
        <v>-1000</v>
      </c>
      <c r="I6" s="55">
        <v>-1000</v>
      </c>
      <c r="J6" s="21">
        <f t="shared" si="5"/>
        <v>29500</v>
      </c>
      <c r="K6" s="8"/>
      <c r="L6" s="9"/>
      <c r="M6" s="9"/>
      <c r="N6" s="55"/>
      <c r="O6" s="21">
        <f t="shared" si="6"/>
        <v>40600</v>
      </c>
      <c r="P6" s="8" t="s">
        <v>141</v>
      </c>
      <c r="Q6" s="9">
        <v>2000</v>
      </c>
      <c r="R6" s="9">
        <v>1000</v>
      </c>
      <c r="S6" s="55">
        <v>1000</v>
      </c>
      <c r="T6" s="21">
        <f t="shared" si="7"/>
        <v>34900</v>
      </c>
      <c r="U6" s="60">
        <f t="shared" si="0"/>
        <v>-5.5</v>
      </c>
      <c r="V6" s="61">
        <f t="shared" si="1"/>
        <v>5.6</v>
      </c>
      <c r="W6" s="62">
        <f t="shared" si="2"/>
        <v>-0.1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2</v>
      </c>
      <c r="BT6" s="36">
        <v>30</v>
      </c>
      <c r="BU6" s="47" t="s">
        <v>87</v>
      </c>
      <c r="BV6" s="48" t="s">
        <v>82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143</v>
      </c>
      <c r="G7" s="9">
        <v>-9000</v>
      </c>
      <c r="H7" s="9"/>
      <c r="I7" s="55">
        <v>0</v>
      </c>
      <c r="J7" s="21">
        <f t="shared" si="5"/>
        <v>20500</v>
      </c>
      <c r="K7" s="8" t="s">
        <v>143</v>
      </c>
      <c r="L7" s="9">
        <v>-9000</v>
      </c>
      <c r="M7" s="9">
        <v>-1000</v>
      </c>
      <c r="N7" s="55">
        <v>0</v>
      </c>
      <c r="O7" s="21">
        <f t="shared" si="6"/>
        <v>30600</v>
      </c>
      <c r="P7" s="8" t="s">
        <v>144</v>
      </c>
      <c r="Q7" s="9">
        <v>18000</v>
      </c>
      <c r="R7" s="9">
        <v>1000</v>
      </c>
      <c r="S7" s="55">
        <v>0</v>
      </c>
      <c r="T7" s="21">
        <f t="shared" si="7"/>
        <v>53900</v>
      </c>
      <c r="U7" s="60">
        <f t="shared" si="0"/>
        <v>-14.5</v>
      </c>
      <c r="V7" s="61">
        <f t="shared" si="1"/>
        <v>-4.4000000000000004</v>
      </c>
      <c r="W7" s="62">
        <f t="shared" si="2"/>
        <v>18.899999999999999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7</v>
      </c>
      <c r="BT7" s="36" t="s">
        <v>145</v>
      </c>
      <c r="BU7" s="47" t="s">
        <v>146</v>
      </c>
      <c r="BV7" s="48" t="s">
        <v>83</v>
      </c>
      <c r="BW7" s="48" t="s">
        <v>80</v>
      </c>
      <c r="BX7" s="48" t="s">
        <v>80</v>
      </c>
      <c r="BY7" s="48" t="s">
        <v>80</v>
      </c>
      <c r="BZ7" s="48" t="s">
        <v>80</v>
      </c>
      <c r="CA7" s="48" t="s">
        <v>82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139</v>
      </c>
      <c r="F8" s="8" t="s">
        <v>144</v>
      </c>
      <c r="G8" s="9">
        <v>12000</v>
      </c>
      <c r="H8" s="9"/>
      <c r="I8" s="55">
        <v>1000</v>
      </c>
      <c r="J8" s="21">
        <f t="shared" si="5"/>
        <v>33500</v>
      </c>
      <c r="K8" s="8" t="s">
        <v>143</v>
      </c>
      <c r="L8" s="9">
        <v>-4500</v>
      </c>
      <c r="M8" s="9"/>
      <c r="N8" s="55">
        <v>-500</v>
      </c>
      <c r="O8" s="21">
        <f t="shared" si="6"/>
        <v>25600</v>
      </c>
      <c r="P8" s="8" t="s">
        <v>143</v>
      </c>
      <c r="Q8" s="9">
        <v>-7500</v>
      </c>
      <c r="R8" s="9"/>
      <c r="S8" s="55">
        <v>-500</v>
      </c>
      <c r="T8" s="21">
        <f t="shared" si="7"/>
        <v>45900</v>
      </c>
      <c r="U8" s="60">
        <f t="shared" si="0"/>
        <v>-1.5</v>
      </c>
      <c r="V8" s="61">
        <f t="shared" si="1"/>
        <v>-9.4</v>
      </c>
      <c r="W8" s="62">
        <f t="shared" si="2"/>
        <v>10.9</v>
      </c>
      <c r="Y8" s="8"/>
      <c r="Z8" s="41"/>
      <c r="AA8" s="32">
        <v>1</v>
      </c>
      <c r="AB8" s="32"/>
      <c r="AC8" s="32">
        <v>7</v>
      </c>
      <c r="AD8" s="36" t="s">
        <v>145</v>
      </c>
      <c r="AE8" s="47" t="s">
        <v>146</v>
      </c>
      <c r="AF8" s="48" t="s">
        <v>83</v>
      </c>
      <c r="AG8" s="48" t="s">
        <v>87</v>
      </c>
      <c r="AH8" s="48" t="s">
        <v>80</v>
      </c>
      <c r="AI8" s="48" t="s">
        <v>80</v>
      </c>
      <c r="AJ8" s="48" t="s">
        <v>80</v>
      </c>
      <c r="AK8" s="48" t="s">
        <v>81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142</v>
      </c>
      <c r="G9" s="9">
        <v>-8000</v>
      </c>
      <c r="H9" s="9"/>
      <c r="I9" s="55">
        <v>0</v>
      </c>
      <c r="J9" s="21">
        <f t="shared" si="5"/>
        <v>25500</v>
      </c>
      <c r="K9" s="8" t="s">
        <v>141</v>
      </c>
      <c r="L9" s="9">
        <v>8000</v>
      </c>
      <c r="M9" s="9"/>
      <c r="N9" s="55">
        <v>0</v>
      </c>
      <c r="O9" s="21">
        <f t="shared" si="6"/>
        <v>33600</v>
      </c>
      <c r="P9" s="8"/>
      <c r="Q9" s="9"/>
      <c r="R9" s="9"/>
      <c r="S9" s="55"/>
      <c r="T9" s="21">
        <f t="shared" si="7"/>
        <v>45900</v>
      </c>
      <c r="U9" s="60">
        <f t="shared" si="0"/>
        <v>-9.5</v>
      </c>
      <c r="V9" s="61">
        <f t="shared" si="1"/>
        <v>-1.4</v>
      </c>
      <c r="W9" s="62">
        <f t="shared" si="2"/>
        <v>10.9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40</v>
      </c>
      <c r="AZ9" s="47" t="s">
        <v>146</v>
      </c>
      <c r="BA9" s="48" t="s">
        <v>147</v>
      </c>
      <c r="BB9" s="48" t="s">
        <v>82</v>
      </c>
      <c r="BC9" s="48" t="s">
        <v>80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142</v>
      </c>
      <c r="G10" s="9">
        <v>-6400</v>
      </c>
      <c r="H10" s="9"/>
      <c r="I10" s="55">
        <v>0</v>
      </c>
      <c r="J10" s="21">
        <f t="shared" si="5"/>
        <v>19100</v>
      </c>
      <c r="K10" s="8"/>
      <c r="L10" s="9"/>
      <c r="M10" s="9"/>
      <c r="N10" s="55"/>
      <c r="O10" s="21">
        <f t="shared" si="6"/>
        <v>33600</v>
      </c>
      <c r="P10" s="8" t="s">
        <v>141</v>
      </c>
      <c r="Q10" s="9">
        <v>6400</v>
      </c>
      <c r="R10" s="9"/>
      <c r="S10" s="55">
        <v>0</v>
      </c>
      <c r="T10" s="21">
        <f t="shared" si="7"/>
        <v>52300</v>
      </c>
      <c r="U10" s="60">
        <f t="shared" si="0"/>
        <v>-15.9</v>
      </c>
      <c r="V10" s="61">
        <f t="shared" si="1"/>
        <v>-1.4</v>
      </c>
      <c r="W10" s="62">
        <f t="shared" si="2"/>
        <v>17.3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25</v>
      </c>
      <c r="BU10" s="47" t="s">
        <v>146</v>
      </c>
      <c r="BV10" s="48" t="s">
        <v>147</v>
      </c>
      <c r="BW10" s="48" t="s">
        <v>102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139</v>
      </c>
      <c r="F11" s="8" t="s">
        <v>143</v>
      </c>
      <c r="G11" s="9">
        <v>-3000</v>
      </c>
      <c r="H11" s="9"/>
      <c r="I11" s="55">
        <v>0</v>
      </c>
      <c r="J11" s="21">
        <f t="shared" si="5"/>
        <v>16100</v>
      </c>
      <c r="K11" s="8" t="s">
        <v>144</v>
      </c>
      <c r="L11" s="9">
        <v>8000</v>
      </c>
      <c r="M11" s="9"/>
      <c r="N11" s="55">
        <v>0</v>
      </c>
      <c r="O11" s="21">
        <f t="shared" si="6"/>
        <v>41600</v>
      </c>
      <c r="P11" s="8" t="s">
        <v>143</v>
      </c>
      <c r="Q11" s="9">
        <v>-5000</v>
      </c>
      <c r="R11" s="9"/>
      <c r="S11" s="55">
        <v>0</v>
      </c>
      <c r="T11" s="21">
        <f t="shared" si="7"/>
        <v>47300</v>
      </c>
      <c r="U11" s="60">
        <f t="shared" si="0"/>
        <v>-18.899999999999999</v>
      </c>
      <c r="V11" s="61">
        <f t="shared" si="1"/>
        <v>6.6</v>
      </c>
      <c r="W11" s="62">
        <f t="shared" si="2"/>
        <v>12.3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5</v>
      </c>
      <c r="AY11" s="36" t="s">
        <v>145</v>
      </c>
      <c r="AZ11" s="47" t="s">
        <v>83</v>
      </c>
      <c r="BA11" s="48" t="s">
        <v>93</v>
      </c>
      <c r="BB11" s="48" t="s">
        <v>80</v>
      </c>
      <c r="BC11" s="48" t="s">
        <v>84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5761-463D-4803-8E9F-A28AAEC66C7C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149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ただ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たかの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151</v>
      </c>
      <c r="G4" s="9">
        <v>0</v>
      </c>
      <c r="H4" s="9"/>
      <c r="I4" s="55"/>
      <c r="J4" s="21">
        <f>IF(COUNTA($F4,$K4,$P4)&gt;0,J3+SUM(G4:I4),"")</f>
        <v>35000</v>
      </c>
      <c r="K4" s="8" t="s">
        <v>151</v>
      </c>
      <c r="L4" s="9">
        <v>0</v>
      </c>
      <c r="M4" s="9"/>
      <c r="N4" s="55"/>
      <c r="O4" s="21">
        <f>IF(COUNTA($F4,$K4,$P4)&gt;0,O3+SUM(L4:N4),"")</f>
        <v>35000</v>
      </c>
      <c r="P4" s="8" t="s">
        <v>151</v>
      </c>
      <c r="Q4" s="9">
        <v>0</v>
      </c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0</v>
      </c>
      <c r="V4" s="61">
        <f t="shared" ref="V4:V30" si="1">IF($O4="","",ROUND(($O4-$O$3)/1000,1))</f>
        <v>0</v>
      </c>
      <c r="W4" s="62">
        <f t="shared" ref="W4:W30" si="2">IF($T4="","",ROUND(($T4-$T$3)/1000,1))</f>
        <v>-1</v>
      </c>
      <c r="Y4" s="8" t="s">
        <v>150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150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150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">
        <v>137</v>
      </c>
      <c r="F5" s="8" t="s">
        <v>144</v>
      </c>
      <c r="G5" s="9">
        <v>8000</v>
      </c>
      <c r="H5" s="9">
        <v>1000</v>
      </c>
      <c r="I5" s="55">
        <v>1000</v>
      </c>
      <c r="J5" s="21">
        <f t="shared" ref="J5:J30" si="5">IF(COUNTA($F5,$K5,$P5)&gt;0,J4+SUM(G5:I5),"")</f>
        <v>45000</v>
      </c>
      <c r="K5" s="8" t="s">
        <v>143</v>
      </c>
      <c r="L5" s="9">
        <v>-5000</v>
      </c>
      <c r="M5" s="9"/>
      <c r="N5" s="55">
        <v>-500</v>
      </c>
      <c r="O5" s="21">
        <f t="shared" ref="O5:O30" si="6">IF(COUNTA($F5,$K5,$P5)&gt;0,O4+SUM(L5:N5),"")</f>
        <v>29500</v>
      </c>
      <c r="P5" s="8" t="s">
        <v>143</v>
      </c>
      <c r="Q5" s="9">
        <v>-3000</v>
      </c>
      <c r="R5" s="9"/>
      <c r="S5" s="55">
        <v>-500</v>
      </c>
      <c r="T5" s="21">
        <f t="shared" ref="T5:T30" si="7">IF(COUNTA($F5,$K5,$P5)&gt;0,T4+SUM(Q5:S5),"")</f>
        <v>30500</v>
      </c>
      <c r="U5" s="60">
        <f t="shared" si="0"/>
        <v>10</v>
      </c>
      <c r="V5" s="61">
        <f t="shared" si="1"/>
        <v>-5.5</v>
      </c>
      <c r="W5" s="62">
        <f t="shared" si="2"/>
        <v>-4.5</v>
      </c>
      <c r="Y5" s="8"/>
      <c r="Z5" s="41"/>
      <c r="AA5" s="32">
        <v>1</v>
      </c>
      <c r="AB5" s="32"/>
      <c r="AC5" s="32">
        <v>5</v>
      </c>
      <c r="AD5" s="36" t="s">
        <v>145</v>
      </c>
      <c r="AE5" s="47" t="s">
        <v>146</v>
      </c>
      <c r="AF5" s="48" t="s">
        <v>83</v>
      </c>
      <c r="AG5" s="48" t="s">
        <v>84</v>
      </c>
      <c r="AH5" s="48" t="s">
        <v>81</v>
      </c>
      <c r="AI5" s="48" t="s">
        <v>82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139</v>
      </c>
      <c r="F6" s="8" t="s">
        <v>144</v>
      </c>
      <c r="G6" s="9">
        <v>32000</v>
      </c>
      <c r="H6" s="9">
        <v>1000</v>
      </c>
      <c r="I6" s="55">
        <v>0</v>
      </c>
      <c r="J6" s="21">
        <f t="shared" si="5"/>
        <v>78000</v>
      </c>
      <c r="K6" s="8" t="s">
        <v>143</v>
      </c>
      <c r="L6" s="9">
        <v>-12000</v>
      </c>
      <c r="M6" s="9"/>
      <c r="N6" s="55">
        <v>0</v>
      </c>
      <c r="O6" s="21">
        <f t="shared" si="6"/>
        <v>17500</v>
      </c>
      <c r="P6" s="8" t="s">
        <v>143</v>
      </c>
      <c r="Q6" s="9">
        <v>-20000</v>
      </c>
      <c r="R6" s="9">
        <v>-1000</v>
      </c>
      <c r="S6" s="55">
        <v>0</v>
      </c>
      <c r="T6" s="21">
        <f t="shared" si="7"/>
        <v>9500</v>
      </c>
      <c r="U6" s="60">
        <f t="shared" si="0"/>
        <v>43</v>
      </c>
      <c r="V6" s="61">
        <f t="shared" si="1"/>
        <v>-17.5</v>
      </c>
      <c r="W6" s="62">
        <f t="shared" si="2"/>
        <v>-25.5</v>
      </c>
      <c r="Y6" s="8"/>
      <c r="Z6" s="41"/>
      <c r="AA6" s="32">
        <v>1</v>
      </c>
      <c r="AB6" s="32"/>
      <c r="AC6" s="32">
        <v>13</v>
      </c>
      <c r="AD6" s="36" t="s">
        <v>145</v>
      </c>
      <c r="AE6" s="47" t="s">
        <v>109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148</v>
      </c>
      <c r="F7" s="8" t="s">
        <v>143</v>
      </c>
      <c r="G7" s="9">
        <v>-7500</v>
      </c>
      <c r="H7" s="9"/>
      <c r="I7" s="55">
        <v>0</v>
      </c>
      <c r="J7" s="21">
        <f t="shared" si="5"/>
        <v>70500</v>
      </c>
      <c r="K7" s="8" t="s">
        <v>144</v>
      </c>
      <c r="L7" s="9">
        <v>12000</v>
      </c>
      <c r="M7" s="9"/>
      <c r="N7" s="55">
        <v>0</v>
      </c>
      <c r="O7" s="21">
        <f t="shared" si="6"/>
        <v>29500</v>
      </c>
      <c r="P7" s="8" t="s">
        <v>143</v>
      </c>
      <c r="Q7" s="9">
        <v>-4500</v>
      </c>
      <c r="R7" s="9"/>
      <c r="S7" s="55">
        <v>0</v>
      </c>
      <c r="T7" s="21">
        <f t="shared" si="7"/>
        <v>5000</v>
      </c>
      <c r="U7" s="60">
        <f t="shared" si="0"/>
        <v>35.5</v>
      </c>
      <c r="V7" s="61">
        <f t="shared" si="1"/>
        <v>-5.5</v>
      </c>
      <c r="W7" s="62">
        <f t="shared" si="2"/>
        <v>-30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6</v>
      </c>
      <c r="AY7" s="36" t="s">
        <v>145</v>
      </c>
      <c r="AZ7" s="47" t="s">
        <v>146</v>
      </c>
      <c r="BA7" s="48" t="s">
        <v>83</v>
      </c>
      <c r="BB7" s="48" t="s">
        <v>80</v>
      </c>
      <c r="BC7" s="48" t="s">
        <v>80</v>
      </c>
      <c r="BD7" s="48" t="s">
        <v>82</v>
      </c>
      <c r="BE7" s="48" t="s">
        <v>82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137</v>
      </c>
      <c r="F8" s="8"/>
      <c r="G8" s="9"/>
      <c r="H8" s="9"/>
      <c r="I8" s="55"/>
      <c r="J8" s="21">
        <f t="shared" si="5"/>
        <v>70500</v>
      </c>
      <c r="K8" s="8" t="s">
        <v>142</v>
      </c>
      <c r="L8" s="9">
        <v>-16000</v>
      </c>
      <c r="M8" s="9"/>
      <c r="N8" s="55">
        <v>0</v>
      </c>
      <c r="O8" s="21">
        <f t="shared" si="6"/>
        <v>13500</v>
      </c>
      <c r="P8" s="8" t="s">
        <v>141</v>
      </c>
      <c r="Q8" s="9">
        <v>16000</v>
      </c>
      <c r="R8" s="9"/>
      <c r="S8" s="55">
        <v>0</v>
      </c>
      <c r="T8" s="21">
        <f t="shared" si="7"/>
        <v>21000</v>
      </c>
      <c r="U8" s="60">
        <f t="shared" si="0"/>
        <v>35.5</v>
      </c>
      <c r="V8" s="61">
        <f t="shared" si="1"/>
        <v>-21.5</v>
      </c>
      <c r="W8" s="62">
        <f t="shared" si="2"/>
        <v>-14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9</v>
      </c>
      <c r="BT8" s="36" t="s">
        <v>145</v>
      </c>
      <c r="BU8" s="47" t="s">
        <v>146</v>
      </c>
      <c r="BV8" s="48" t="s">
        <v>105</v>
      </c>
      <c r="BW8" s="48" t="s">
        <v>82</v>
      </c>
      <c r="BX8" s="48" t="s">
        <v>80</v>
      </c>
      <c r="BY8" s="48" t="s">
        <v>80</v>
      </c>
      <c r="BZ8" s="48" t="s">
        <v>80</v>
      </c>
      <c r="CA8" s="48" t="s">
        <v>85</v>
      </c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151</v>
      </c>
      <c r="G9" s="9">
        <v>1500</v>
      </c>
      <c r="H9" s="9">
        <v>-1000</v>
      </c>
      <c r="I9" s="55"/>
      <c r="J9" s="21">
        <f t="shared" si="5"/>
        <v>71000</v>
      </c>
      <c r="K9" s="8" t="s">
        <v>151</v>
      </c>
      <c r="L9" s="9">
        <v>-3000</v>
      </c>
      <c r="M9" s="9"/>
      <c r="N9" s="55"/>
      <c r="O9" s="21">
        <f t="shared" si="6"/>
        <v>10500</v>
      </c>
      <c r="P9" s="8" t="s">
        <v>151</v>
      </c>
      <c r="Q9" s="9">
        <v>1500</v>
      </c>
      <c r="R9" s="9"/>
      <c r="S9" s="55"/>
      <c r="T9" s="21">
        <f t="shared" si="7"/>
        <v>22500</v>
      </c>
      <c r="U9" s="60">
        <f t="shared" si="0"/>
        <v>36</v>
      </c>
      <c r="V9" s="61">
        <f t="shared" si="1"/>
        <v>-24.5</v>
      </c>
      <c r="W9" s="62">
        <f t="shared" si="2"/>
        <v>-12.5</v>
      </c>
      <c r="Y9" s="8" t="s">
        <v>150</v>
      </c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152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150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1</v>
      </c>
      <c r="E10" s="4" t="s">
        <v>139</v>
      </c>
      <c r="F10" s="8"/>
      <c r="G10" s="9"/>
      <c r="H10" s="9"/>
      <c r="I10" s="55"/>
      <c r="J10" s="21">
        <f t="shared" si="5"/>
        <v>71000</v>
      </c>
      <c r="K10" s="8" t="s">
        <v>141</v>
      </c>
      <c r="L10" s="9">
        <v>2000</v>
      </c>
      <c r="M10" s="9">
        <v>1000</v>
      </c>
      <c r="N10" s="55">
        <v>1000</v>
      </c>
      <c r="O10" s="21">
        <f t="shared" si="6"/>
        <v>14500</v>
      </c>
      <c r="P10" s="8" t="s">
        <v>142</v>
      </c>
      <c r="Q10" s="9">
        <v>-2000</v>
      </c>
      <c r="R10" s="9"/>
      <c r="S10" s="55">
        <v>-1000</v>
      </c>
      <c r="T10" s="21">
        <f t="shared" si="7"/>
        <v>19500</v>
      </c>
      <c r="U10" s="60">
        <f t="shared" si="0"/>
        <v>36</v>
      </c>
      <c r="V10" s="61">
        <f t="shared" si="1"/>
        <v>-20.5</v>
      </c>
      <c r="W10" s="62">
        <f t="shared" si="2"/>
        <v>-15.5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82</v>
      </c>
      <c r="BA10" s="48" t="s">
        <v>87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119A04FA-C2D0-41F2-AB26-950BF90211F6}">
      <formula1>$U$2:$W$2</formula1>
    </dataValidation>
    <dataValidation type="list" showInputMessage="1" showErrorMessage="1" sqref="K4:K30 P4:P30 F4:F30" xr:uid="{CF5ADB88-5353-42C6-8D0B-1A2A72EBD0B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93C9A-9737-48F9-B31A-4021B56D722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143</v>
      </c>
      <c r="G4" s="9">
        <v>-3000</v>
      </c>
      <c r="H4" s="9">
        <v>-1000</v>
      </c>
      <c r="I4" s="55">
        <v>0</v>
      </c>
      <c r="J4" s="21">
        <f>IF(COUNTA($F4,$K4,$P4)&gt;0,J3+SUM(G4:I4),"")</f>
        <v>31000</v>
      </c>
      <c r="K4" s="8" t="s">
        <v>143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144</v>
      </c>
      <c r="Q4" s="9">
        <v>8000</v>
      </c>
      <c r="R4" s="9">
        <v>1000</v>
      </c>
      <c r="S4" s="55">
        <v>0</v>
      </c>
      <c r="T4" s="21">
        <f>IF(COUNTA($F4,$K4,$P4)&gt;0,T3+SUM(Q4:S4),"")</f>
        <v>44000</v>
      </c>
      <c r="U4" s="60">
        <f t="shared" ref="U4:U30" si="0">IF($J4="","",ROUND(($J4-$J$3)/1000,1))</f>
        <v>-4</v>
      </c>
      <c r="V4" s="61">
        <f t="shared" ref="V4:V30" si="1">IF($O4="","",ROUND(($O4-$O$3)/1000,1))</f>
        <v>-5</v>
      </c>
      <c r="W4" s="62">
        <f t="shared" ref="W4:W30" si="2">IF($T4="","",ROUND(($T4-$T$3)/1000,1))</f>
        <v>9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4</v>
      </c>
      <c r="BT4" s="36">
        <v>30</v>
      </c>
      <c r="BU4" s="47" t="s">
        <v>99</v>
      </c>
      <c r="BV4" s="48" t="s">
        <v>97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148</v>
      </c>
      <c r="F5" s="8" t="s">
        <v>141</v>
      </c>
      <c r="G5" s="9">
        <v>8000</v>
      </c>
      <c r="H5" s="9">
        <v>1000</v>
      </c>
      <c r="I5" s="55">
        <v>0</v>
      </c>
      <c r="J5" s="21">
        <f t="shared" ref="J5:J30" si="5">IF(COUNTA($F5,$K5,$P5)&gt;0,J4+SUM(G5:I5),"")</f>
        <v>40000</v>
      </c>
      <c r="K5" s="8" t="s">
        <v>142</v>
      </c>
      <c r="L5" s="9">
        <v>-8000</v>
      </c>
      <c r="M5" s="9"/>
      <c r="N5" s="55">
        <v>0</v>
      </c>
      <c r="O5" s="21">
        <f t="shared" ref="O5:O30" si="6">IF(COUNTA($F5,$K5,$P5)&gt;0,O4+SUM(L5:N5),"")</f>
        <v>22000</v>
      </c>
      <c r="P5" s="8"/>
      <c r="Q5" s="9"/>
      <c r="R5" s="9">
        <v>-1000</v>
      </c>
      <c r="S5" s="55"/>
      <c r="T5" s="21">
        <f t="shared" ref="T5:T30" si="7">IF(COUNTA($F5,$K5,$P5)&gt;0,T4+SUM(Q5:S5),"")</f>
        <v>43000</v>
      </c>
      <c r="U5" s="60">
        <f t="shared" si="0"/>
        <v>5</v>
      </c>
      <c r="V5" s="61">
        <f t="shared" si="1"/>
        <v>-13</v>
      </c>
      <c r="W5" s="62">
        <f t="shared" si="2"/>
        <v>8</v>
      </c>
      <c r="Y5" s="8"/>
      <c r="Z5" s="41"/>
      <c r="AA5" s="32">
        <v>1</v>
      </c>
      <c r="AB5" s="32"/>
      <c r="AC5" s="32">
        <v>4</v>
      </c>
      <c r="AD5" s="36">
        <v>40</v>
      </c>
      <c r="AE5" s="47" t="s">
        <v>146</v>
      </c>
      <c r="AF5" s="48" t="s">
        <v>82</v>
      </c>
      <c r="AG5" s="48" t="s">
        <v>80</v>
      </c>
      <c r="AH5" s="48" t="s">
        <v>81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141</v>
      </c>
      <c r="G6" s="9">
        <v>7700</v>
      </c>
      <c r="H6" s="9"/>
      <c r="I6" s="55">
        <v>0</v>
      </c>
      <c r="J6" s="21">
        <f t="shared" si="5"/>
        <v>47700</v>
      </c>
      <c r="K6" s="8"/>
      <c r="L6" s="9"/>
      <c r="M6" s="9"/>
      <c r="N6" s="55"/>
      <c r="O6" s="21">
        <f t="shared" si="6"/>
        <v>22000</v>
      </c>
      <c r="P6" s="8" t="s">
        <v>142</v>
      </c>
      <c r="Q6" s="9">
        <v>-7700</v>
      </c>
      <c r="R6" s="9"/>
      <c r="S6" s="55">
        <v>0</v>
      </c>
      <c r="T6" s="21">
        <f t="shared" si="7"/>
        <v>35300</v>
      </c>
      <c r="U6" s="60">
        <f t="shared" si="0"/>
        <v>12.7</v>
      </c>
      <c r="V6" s="61">
        <f t="shared" si="1"/>
        <v>-13</v>
      </c>
      <c r="W6" s="62">
        <f t="shared" si="2"/>
        <v>0.3</v>
      </c>
      <c r="Y6" s="8"/>
      <c r="Z6" s="41"/>
      <c r="AA6" s="32"/>
      <c r="AB6" s="32"/>
      <c r="AC6" s="32">
        <v>3</v>
      </c>
      <c r="AD6" s="36">
        <v>40</v>
      </c>
      <c r="AE6" s="47" t="s">
        <v>93</v>
      </c>
      <c r="AF6" s="48" t="s">
        <v>80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135</v>
      </c>
      <c r="F7" s="8"/>
      <c r="G7" s="9"/>
      <c r="H7" s="9"/>
      <c r="I7" s="55"/>
      <c r="J7" s="21">
        <f t="shared" si="5"/>
        <v>47700</v>
      </c>
      <c r="K7" s="8" t="s">
        <v>142</v>
      </c>
      <c r="L7" s="9">
        <v>-8000</v>
      </c>
      <c r="M7" s="9"/>
      <c r="N7" s="55">
        <v>-1000</v>
      </c>
      <c r="O7" s="21">
        <f t="shared" si="6"/>
        <v>13000</v>
      </c>
      <c r="P7" s="8" t="s">
        <v>141</v>
      </c>
      <c r="Q7" s="9">
        <v>8000</v>
      </c>
      <c r="R7" s="9"/>
      <c r="S7" s="55">
        <v>1000</v>
      </c>
      <c r="T7" s="21">
        <f t="shared" si="7"/>
        <v>44300</v>
      </c>
      <c r="U7" s="60">
        <f t="shared" si="0"/>
        <v>12.7</v>
      </c>
      <c r="V7" s="61">
        <f t="shared" si="1"/>
        <v>-22</v>
      </c>
      <c r="W7" s="62">
        <f t="shared" si="2"/>
        <v>9.3000000000000007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4</v>
      </c>
      <c r="BT7" s="36">
        <v>30</v>
      </c>
      <c r="BU7" s="47" t="s">
        <v>105</v>
      </c>
      <c r="BV7" s="48" t="s">
        <v>87</v>
      </c>
      <c r="BW7" s="48" t="s">
        <v>87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137</v>
      </c>
      <c r="F8" s="8" t="s">
        <v>144</v>
      </c>
      <c r="G8" s="9">
        <v>24000</v>
      </c>
      <c r="H8" s="9"/>
      <c r="I8" s="55">
        <v>0</v>
      </c>
      <c r="J8" s="21">
        <f t="shared" si="5"/>
        <v>71700</v>
      </c>
      <c r="K8" s="8" t="s">
        <v>143</v>
      </c>
      <c r="L8" s="9">
        <v>-15000</v>
      </c>
      <c r="M8" s="9"/>
      <c r="N8" s="55">
        <v>0</v>
      </c>
      <c r="O8" s="21">
        <f t="shared" si="6"/>
        <v>-2000</v>
      </c>
      <c r="P8" s="8" t="s">
        <v>143</v>
      </c>
      <c r="Q8" s="9">
        <v>-9000</v>
      </c>
      <c r="R8" s="9"/>
      <c r="S8" s="55">
        <v>0</v>
      </c>
      <c r="T8" s="21">
        <f t="shared" si="7"/>
        <v>35300</v>
      </c>
      <c r="U8" s="60">
        <f t="shared" si="0"/>
        <v>36.700000000000003</v>
      </c>
      <c r="V8" s="61">
        <f t="shared" si="1"/>
        <v>-37</v>
      </c>
      <c r="W8" s="62">
        <f t="shared" si="2"/>
        <v>0.3</v>
      </c>
      <c r="Y8" s="8"/>
      <c r="Z8" s="41"/>
      <c r="AA8" s="32">
        <v>1</v>
      </c>
      <c r="AB8" s="32"/>
      <c r="AC8" s="32">
        <v>11</v>
      </c>
      <c r="AD8" s="36" t="s">
        <v>145</v>
      </c>
      <c r="AE8" s="47" t="s">
        <v>146</v>
      </c>
      <c r="AF8" s="48" t="s">
        <v>83</v>
      </c>
      <c r="AG8" s="48" t="s">
        <v>107</v>
      </c>
      <c r="AH8" s="48" t="s">
        <v>82</v>
      </c>
      <c r="AI8" s="48" t="s">
        <v>82</v>
      </c>
      <c r="AJ8" s="48" t="s">
        <v>82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839FEB7A-2B94-4677-84E7-4473B79707E1}">
      <formula1>"ロン,ツモ,放銃,ツモ支払,流局,チョンボ"</formula1>
    </dataValidation>
    <dataValidation type="list" allowBlank="1" showInputMessage="1" showErrorMessage="1" sqref="E4:E30" xr:uid="{C1840101-D163-4CF3-BC5E-97C86298058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8B82D-4D68-4BC0-AF01-DAF6DF11E7F6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149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144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143</v>
      </c>
      <c r="L4" s="9">
        <v>-6000</v>
      </c>
      <c r="M4" s="9"/>
      <c r="N4" s="55">
        <v>0</v>
      </c>
      <c r="O4" s="21">
        <f>IF(COUNTA($F4,$K4,$P4)&gt;0,O3+SUM(L4:N4),"")</f>
        <v>29000</v>
      </c>
      <c r="P4" s="8" t="s">
        <v>143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 t="shared" ref="U4:U30" si="0">IF($J4="","",ROUND(($J4-$J$3)/1000,1))</f>
        <v>12</v>
      </c>
      <c r="V4" s="61">
        <f t="shared" ref="V4:V30" si="1">IF($O4="","",ROUND(($O4-$O$3)/1000,1))</f>
        <v>-6</v>
      </c>
      <c r="W4" s="62">
        <f t="shared" ref="W4:W30" si="2">IF($T4="","",ROUND(($T4-$T$3)/1000,1))</f>
        <v>-6</v>
      </c>
      <c r="Y4" s="8"/>
      <c r="Z4" s="41"/>
      <c r="AA4" s="32">
        <v>1</v>
      </c>
      <c r="AB4" s="32"/>
      <c r="AC4" s="32">
        <v>5</v>
      </c>
      <c r="AD4" s="36" t="s">
        <v>145</v>
      </c>
      <c r="AE4" s="47" t="s">
        <v>146</v>
      </c>
      <c r="AF4" s="48" t="s">
        <v>83</v>
      </c>
      <c r="AG4" s="48" t="s">
        <v>82</v>
      </c>
      <c r="AH4" s="48" t="s">
        <v>82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5800</v>
      </c>
      <c r="H5" s="9">
        <v>1000</v>
      </c>
      <c r="I5" s="55">
        <v>1000</v>
      </c>
      <c r="J5" s="21">
        <f t="shared" ref="J5:J30" si="5">IF(COUNTA($F5,$K5,$P5)&gt;0,J4+SUM(G5:I5),"")</f>
        <v>54800</v>
      </c>
      <c r="K5" s="8" t="s">
        <v>142</v>
      </c>
      <c r="L5" s="9">
        <v>-5800</v>
      </c>
      <c r="M5" s="9">
        <v>-1000</v>
      </c>
      <c r="N5" s="55">
        <v>-1000</v>
      </c>
      <c r="O5" s="21">
        <f t="shared" ref="O5:O30" si="6">IF(COUNTA($F5,$K5,$P5)&gt;0,O4+SUM(L5:N5),"")</f>
        <v>21200</v>
      </c>
      <c r="P5" s="8"/>
      <c r="Q5" s="9"/>
      <c r="R5" s="9"/>
      <c r="S5" s="55"/>
      <c r="T5" s="21">
        <f t="shared" ref="T5:T30" si="7">IF(COUNTA($F5,$K5,$P5)&gt;0,T4+SUM(Q5:S5),"")</f>
        <v>29000</v>
      </c>
      <c r="U5" s="60">
        <f t="shared" si="0"/>
        <v>19.8</v>
      </c>
      <c r="V5" s="61">
        <f t="shared" si="1"/>
        <v>-13.8</v>
      </c>
      <c r="W5" s="62">
        <f t="shared" si="2"/>
        <v>-6</v>
      </c>
      <c r="Y5" s="8"/>
      <c r="Z5" s="41"/>
      <c r="AA5" s="32">
        <v>1</v>
      </c>
      <c r="AB5" s="32"/>
      <c r="AC5" s="32">
        <v>3</v>
      </c>
      <c r="AD5" s="36">
        <v>30</v>
      </c>
      <c r="AE5" s="47" t="s">
        <v>146</v>
      </c>
      <c r="AF5" s="48" t="s">
        <v>84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135</v>
      </c>
      <c r="F6" s="8"/>
      <c r="G6" s="9"/>
      <c r="H6" s="9"/>
      <c r="I6" s="55"/>
      <c r="J6" s="21">
        <f t="shared" si="5"/>
        <v>54800</v>
      </c>
      <c r="K6" s="8" t="s">
        <v>141</v>
      </c>
      <c r="L6" s="9">
        <v>8000</v>
      </c>
      <c r="M6" s="9"/>
      <c r="N6" s="55">
        <v>2000</v>
      </c>
      <c r="O6" s="21">
        <f t="shared" si="6"/>
        <v>31200</v>
      </c>
      <c r="P6" s="8" t="s">
        <v>142</v>
      </c>
      <c r="Q6" s="9">
        <v>-8000</v>
      </c>
      <c r="R6" s="9"/>
      <c r="S6" s="55">
        <v>-2000</v>
      </c>
      <c r="T6" s="21">
        <f t="shared" si="7"/>
        <v>19000</v>
      </c>
      <c r="U6" s="60">
        <f t="shared" si="0"/>
        <v>19.8</v>
      </c>
      <c r="V6" s="61">
        <f t="shared" si="1"/>
        <v>-3.8</v>
      </c>
      <c r="W6" s="62">
        <f t="shared" si="2"/>
        <v>-16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30</v>
      </c>
      <c r="AZ6" s="47" t="s">
        <v>146</v>
      </c>
      <c r="BA6" s="48" t="s">
        <v>84</v>
      </c>
      <c r="BB6" s="48" t="s">
        <v>80</v>
      </c>
      <c r="BC6" s="48" t="s">
        <v>81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148</v>
      </c>
      <c r="F7" s="8"/>
      <c r="G7" s="9"/>
      <c r="H7" s="9"/>
      <c r="I7" s="55"/>
      <c r="J7" s="21">
        <f t="shared" si="5"/>
        <v>54800</v>
      </c>
      <c r="K7" s="8" t="s">
        <v>142</v>
      </c>
      <c r="L7" s="9">
        <v>-3200</v>
      </c>
      <c r="M7" s="9">
        <v>-1000</v>
      </c>
      <c r="N7" s="55">
        <v>0</v>
      </c>
      <c r="O7" s="21">
        <f t="shared" si="6"/>
        <v>27000</v>
      </c>
      <c r="P7" s="8" t="s">
        <v>141</v>
      </c>
      <c r="Q7" s="9">
        <v>3200</v>
      </c>
      <c r="R7" s="9">
        <v>1000</v>
      </c>
      <c r="S7" s="55">
        <v>0</v>
      </c>
      <c r="T7" s="21">
        <f t="shared" si="7"/>
        <v>23200</v>
      </c>
      <c r="U7" s="60">
        <f t="shared" si="0"/>
        <v>19.8</v>
      </c>
      <c r="V7" s="61">
        <f t="shared" si="1"/>
        <v>-8</v>
      </c>
      <c r="W7" s="62">
        <f t="shared" si="2"/>
        <v>-11.8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25</v>
      </c>
      <c r="BU7" s="47" t="s">
        <v>146</v>
      </c>
      <c r="BV7" s="48" t="s">
        <v>102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139</v>
      </c>
      <c r="F8" s="8"/>
      <c r="G8" s="9"/>
      <c r="H8" s="9"/>
      <c r="I8" s="55"/>
      <c r="J8" s="21">
        <f t="shared" si="5"/>
        <v>54800</v>
      </c>
      <c r="K8" s="8" t="s">
        <v>141</v>
      </c>
      <c r="L8" s="9">
        <v>8000</v>
      </c>
      <c r="M8" s="9"/>
      <c r="N8" s="55">
        <v>0</v>
      </c>
      <c r="O8" s="21">
        <f t="shared" si="6"/>
        <v>35000</v>
      </c>
      <c r="P8" s="8" t="s">
        <v>142</v>
      </c>
      <c r="Q8" s="9">
        <v>-8000</v>
      </c>
      <c r="R8" s="9"/>
      <c r="S8" s="55">
        <v>0</v>
      </c>
      <c r="T8" s="21">
        <f t="shared" si="7"/>
        <v>15200</v>
      </c>
      <c r="U8" s="60">
        <f t="shared" si="0"/>
        <v>19.8</v>
      </c>
      <c r="V8" s="61">
        <f t="shared" si="1"/>
        <v>0</v>
      </c>
      <c r="W8" s="62">
        <f t="shared" si="2"/>
        <v>-19.8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4</v>
      </c>
      <c r="AY8" s="36">
        <v>30</v>
      </c>
      <c r="AZ8" s="47" t="s">
        <v>146</v>
      </c>
      <c r="BA8" s="48" t="s">
        <v>84</v>
      </c>
      <c r="BB8" s="48" t="s">
        <v>82</v>
      </c>
      <c r="BC8" s="48" t="s">
        <v>82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143</v>
      </c>
      <c r="G9" s="9">
        <v>-5000</v>
      </c>
      <c r="H9" s="9"/>
      <c r="I9" s="55">
        <v>0</v>
      </c>
      <c r="J9" s="21">
        <f t="shared" si="5"/>
        <v>49800</v>
      </c>
      <c r="K9" s="8" t="s">
        <v>143</v>
      </c>
      <c r="L9" s="9">
        <v>-3000</v>
      </c>
      <c r="M9" s="9"/>
      <c r="N9" s="55">
        <v>0</v>
      </c>
      <c r="O9" s="21">
        <f t="shared" si="6"/>
        <v>32000</v>
      </c>
      <c r="P9" s="8" t="s">
        <v>144</v>
      </c>
      <c r="Q9" s="9">
        <v>8000</v>
      </c>
      <c r="R9" s="9"/>
      <c r="S9" s="55">
        <v>0</v>
      </c>
      <c r="T9" s="21">
        <f t="shared" si="7"/>
        <v>23200</v>
      </c>
      <c r="U9" s="60">
        <f t="shared" si="0"/>
        <v>14.8</v>
      </c>
      <c r="V9" s="61">
        <f t="shared" si="1"/>
        <v>-3</v>
      </c>
      <c r="W9" s="62">
        <f t="shared" si="2"/>
        <v>-11.8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5</v>
      </c>
      <c r="BT9" s="36" t="s">
        <v>145</v>
      </c>
      <c r="BU9" s="47" t="s">
        <v>146</v>
      </c>
      <c r="BV9" s="48" t="s">
        <v>83</v>
      </c>
      <c r="BW9" s="48" t="s">
        <v>147</v>
      </c>
      <c r="BX9" s="48" t="s">
        <v>82</v>
      </c>
      <c r="BY9" s="48" t="s">
        <v>80</v>
      </c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148</v>
      </c>
      <c r="F10" s="8" t="s">
        <v>143</v>
      </c>
      <c r="G10" s="9">
        <v>-6000</v>
      </c>
      <c r="H10" s="9"/>
      <c r="I10" s="55">
        <v>0</v>
      </c>
      <c r="J10" s="21">
        <f t="shared" si="5"/>
        <v>43800</v>
      </c>
      <c r="K10" s="8" t="s">
        <v>143</v>
      </c>
      <c r="L10" s="9">
        <v>-10000</v>
      </c>
      <c r="M10" s="9"/>
      <c r="N10" s="55">
        <v>0</v>
      </c>
      <c r="O10" s="21">
        <f t="shared" si="6"/>
        <v>22000</v>
      </c>
      <c r="P10" s="8" t="s">
        <v>144</v>
      </c>
      <c r="Q10" s="9">
        <v>16000</v>
      </c>
      <c r="R10" s="9"/>
      <c r="S10" s="55">
        <v>0</v>
      </c>
      <c r="T10" s="21">
        <f t="shared" si="7"/>
        <v>39200</v>
      </c>
      <c r="U10" s="60">
        <f t="shared" si="0"/>
        <v>8.8000000000000007</v>
      </c>
      <c r="V10" s="61">
        <f t="shared" si="1"/>
        <v>-13</v>
      </c>
      <c r="W10" s="62">
        <f t="shared" si="2"/>
        <v>4.2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8</v>
      </c>
      <c r="BT10" s="36" t="s">
        <v>145</v>
      </c>
      <c r="BU10" s="47" t="s">
        <v>146</v>
      </c>
      <c r="BV10" s="48" t="s">
        <v>83</v>
      </c>
      <c r="BW10" s="48" t="s">
        <v>147</v>
      </c>
      <c r="BX10" s="48" t="s">
        <v>87</v>
      </c>
      <c r="BY10" s="48" t="s">
        <v>82</v>
      </c>
      <c r="BZ10" s="48" t="s">
        <v>82</v>
      </c>
      <c r="CA10" s="48" t="s">
        <v>82</v>
      </c>
      <c r="CB10" s="48" t="s">
        <v>85</v>
      </c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139</v>
      </c>
      <c r="F11" s="8" t="s">
        <v>141</v>
      </c>
      <c r="G11" s="9">
        <v>2600</v>
      </c>
      <c r="H11" s="9">
        <v>1000</v>
      </c>
      <c r="I11" s="55">
        <v>0</v>
      </c>
      <c r="J11" s="21">
        <f t="shared" si="5"/>
        <v>47400</v>
      </c>
      <c r="K11" s="8" t="s">
        <v>142</v>
      </c>
      <c r="L11" s="9">
        <v>-2600</v>
      </c>
      <c r="M11" s="9">
        <v>-1000</v>
      </c>
      <c r="N11" s="55">
        <v>0</v>
      </c>
      <c r="O11" s="21">
        <f t="shared" si="6"/>
        <v>18400</v>
      </c>
      <c r="P11" s="8"/>
      <c r="Q11" s="9"/>
      <c r="R11" s="9"/>
      <c r="S11" s="55"/>
      <c r="T11" s="21">
        <f t="shared" si="7"/>
        <v>39200</v>
      </c>
      <c r="U11" s="60">
        <f t="shared" si="0"/>
        <v>12.4</v>
      </c>
      <c r="V11" s="61">
        <f t="shared" si="1"/>
        <v>-16.600000000000001</v>
      </c>
      <c r="W11" s="62">
        <f t="shared" si="2"/>
        <v>4.2</v>
      </c>
      <c r="Y11" s="8"/>
      <c r="Z11" s="41"/>
      <c r="AA11" s="32">
        <v>1</v>
      </c>
      <c r="AB11" s="32"/>
      <c r="AC11" s="32">
        <v>2</v>
      </c>
      <c r="AD11" s="36">
        <v>40</v>
      </c>
      <c r="AE11" s="47" t="s">
        <v>146</v>
      </c>
      <c r="AF11" s="48" t="s">
        <v>147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11201882-79B8-43E9-B56A-14B33CAC3795}">
      <formula1>$U$2:$W$2</formula1>
    </dataValidation>
    <dataValidation type="list" showInputMessage="1" showErrorMessage="1" sqref="K4:K30 P4:P30 F4:F30" xr:uid="{BE7DE1D0-8CB3-4FE0-8B80-1463F3C99F0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5BF7-1C4D-4EA7-9735-9E4057CF3668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149</v>
      </c>
      <c r="L1" s="80"/>
      <c r="M1" s="80"/>
      <c r="N1" s="89"/>
      <c r="O1" s="81"/>
      <c r="P1" s="78" t="s">
        <v>154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れんたろう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れんたろう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143</v>
      </c>
      <c r="G4" s="9">
        <v>-7500</v>
      </c>
      <c r="H4" s="9">
        <v>-1000</v>
      </c>
      <c r="I4" s="55">
        <v>0</v>
      </c>
      <c r="J4" s="21">
        <f>IF(COUNTA($F4,$K4,$P4)&gt;0,J3+SUM(G4:I4),"")</f>
        <v>26500</v>
      </c>
      <c r="K4" s="8" t="s">
        <v>144</v>
      </c>
      <c r="L4" s="9">
        <v>12000</v>
      </c>
      <c r="M4" s="9">
        <v>1000</v>
      </c>
      <c r="N4" s="55">
        <v>0</v>
      </c>
      <c r="O4" s="21">
        <f>IF(COUNTA($F4,$K4,$P4)&gt;0,O3+SUM(L4:N4),"")</f>
        <v>48000</v>
      </c>
      <c r="P4" s="8" t="s">
        <v>143</v>
      </c>
      <c r="Q4" s="9">
        <v>-4500</v>
      </c>
      <c r="R4" s="9"/>
      <c r="S4" s="55">
        <v>0</v>
      </c>
      <c r="T4" s="21">
        <f>IF(COUNTA($F4,$K4,$P4)&gt;0,T3+SUM(Q4:S4),"")</f>
        <v>30500</v>
      </c>
      <c r="U4" s="60">
        <f t="shared" ref="U4:U30" si="0">IF($J4="","",ROUND(($J4-$J$3)/1000,1))</f>
        <v>-8.5</v>
      </c>
      <c r="V4" s="61">
        <f t="shared" ref="V4:V30" si="1">IF($O4="","",ROUND(($O4-$O$3)/1000,1))</f>
        <v>13</v>
      </c>
      <c r="W4" s="62">
        <f t="shared" ref="W4:W30" si="2">IF($T4="","",ROUND(($T4-$T$3)/1000,1))</f>
        <v>-4.5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6</v>
      </c>
      <c r="AY4" s="36" t="s">
        <v>145</v>
      </c>
      <c r="AZ4" s="47" t="s">
        <v>83</v>
      </c>
      <c r="BA4" s="48" t="s">
        <v>146</v>
      </c>
      <c r="BB4" s="48" t="s">
        <v>147</v>
      </c>
      <c r="BC4" s="48" t="s">
        <v>84</v>
      </c>
      <c r="BD4" s="48" t="s">
        <v>85</v>
      </c>
      <c r="BE4" s="48" t="s">
        <v>80</v>
      </c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148</v>
      </c>
      <c r="F5" s="8"/>
      <c r="G5" s="9"/>
      <c r="H5" s="9"/>
      <c r="I5" s="55"/>
      <c r="J5" s="21">
        <f t="shared" ref="J5:J30" si="5">IF(COUNTA($F5,$K5,$P5)&gt;0,J4+SUM(G5:I5),"")</f>
        <v>26500</v>
      </c>
      <c r="K5" s="8" t="s">
        <v>141</v>
      </c>
      <c r="L5" s="9">
        <v>2900</v>
      </c>
      <c r="M5" s="9"/>
      <c r="N5" s="55">
        <v>0</v>
      </c>
      <c r="O5" s="21">
        <f t="shared" ref="O5:O30" si="6">IF(COUNTA($F5,$K5,$P5)&gt;0,O4+SUM(L5:N5),"")</f>
        <v>50900</v>
      </c>
      <c r="P5" s="8" t="s">
        <v>142</v>
      </c>
      <c r="Q5" s="9">
        <v>-2900</v>
      </c>
      <c r="R5" s="9"/>
      <c r="S5" s="55">
        <v>0</v>
      </c>
      <c r="T5" s="21">
        <f t="shared" ref="T5:T30" si="7">IF(COUNTA($F5,$K5,$P5)&gt;0,T4+SUM(Q5:S5),"")</f>
        <v>27600</v>
      </c>
      <c r="U5" s="60">
        <f t="shared" si="0"/>
        <v>-8.5</v>
      </c>
      <c r="V5" s="61">
        <f t="shared" si="1"/>
        <v>15.9</v>
      </c>
      <c r="W5" s="62">
        <f t="shared" si="2"/>
        <v>-7.4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2</v>
      </c>
      <c r="AY5" s="36">
        <v>30</v>
      </c>
      <c r="AZ5" s="47" t="s">
        <v>87</v>
      </c>
      <c r="BA5" s="48" t="s">
        <v>87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148</v>
      </c>
      <c r="F6" s="8" t="s">
        <v>142</v>
      </c>
      <c r="G6" s="9">
        <v>-12000</v>
      </c>
      <c r="H6" s="9"/>
      <c r="I6" s="55">
        <v>-1000</v>
      </c>
      <c r="J6" s="21">
        <f t="shared" si="5"/>
        <v>13500</v>
      </c>
      <c r="K6" s="8" t="s">
        <v>141</v>
      </c>
      <c r="L6" s="9">
        <v>12000</v>
      </c>
      <c r="M6" s="9"/>
      <c r="N6" s="55">
        <v>1000</v>
      </c>
      <c r="O6" s="21">
        <f t="shared" si="6"/>
        <v>63900</v>
      </c>
      <c r="P6" s="8"/>
      <c r="Q6" s="9"/>
      <c r="R6" s="9"/>
      <c r="S6" s="55"/>
      <c r="T6" s="21">
        <f t="shared" si="7"/>
        <v>27600</v>
      </c>
      <c r="U6" s="60">
        <f t="shared" si="0"/>
        <v>-21.5</v>
      </c>
      <c r="V6" s="61">
        <f t="shared" si="1"/>
        <v>28.9</v>
      </c>
      <c r="W6" s="62">
        <f t="shared" si="2"/>
        <v>-7.4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4</v>
      </c>
      <c r="AY6" s="36">
        <v>30</v>
      </c>
      <c r="AZ6" s="47" t="s">
        <v>146</v>
      </c>
      <c r="BA6" s="48" t="s">
        <v>84</v>
      </c>
      <c r="BB6" s="48" t="s">
        <v>82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">
        <v>148</v>
      </c>
      <c r="F7" s="8" t="s">
        <v>141</v>
      </c>
      <c r="G7" s="9">
        <v>8000</v>
      </c>
      <c r="H7" s="9"/>
      <c r="I7" s="55">
        <v>2000</v>
      </c>
      <c r="J7" s="21">
        <f t="shared" si="5"/>
        <v>23500</v>
      </c>
      <c r="K7" s="8" t="s">
        <v>142</v>
      </c>
      <c r="L7" s="9">
        <v>-8000</v>
      </c>
      <c r="M7" s="9"/>
      <c r="N7" s="55">
        <v>-2000</v>
      </c>
      <c r="O7" s="21">
        <f t="shared" si="6"/>
        <v>53900</v>
      </c>
      <c r="P7" s="8"/>
      <c r="Q7" s="9"/>
      <c r="R7" s="9"/>
      <c r="S7" s="55"/>
      <c r="T7" s="21">
        <f t="shared" si="7"/>
        <v>27600</v>
      </c>
      <c r="U7" s="60">
        <f t="shared" si="0"/>
        <v>-11.5</v>
      </c>
      <c r="V7" s="61">
        <f t="shared" si="1"/>
        <v>18.899999999999999</v>
      </c>
      <c r="W7" s="62">
        <f t="shared" si="2"/>
        <v>-7.4</v>
      </c>
      <c r="Y7" s="8"/>
      <c r="Z7" s="41"/>
      <c r="AA7" s="32"/>
      <c r="AB7" s="32">
        <v>1</v>
      </c>
      <c r="AC7" s="32">
        <v>5</v>
      </c>
      <c r="AD7" s="36" t="s">
        <v>145</v>
      </c>
      <c r="AE7" s="47" t="s">
        <v>87</v>
      </c>
      <c r="AF7" s="48" t="s">
        <v>87</v>
      </c>
      <c r="AG7" s="48" t="s">
        <v>105</v>
      </c>
      <c r="AH7" s="48" t="s">
        <v>82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153</v>
      </c>
      <c r="F8" s="8" t="s">
        <v>151</v>
      </c>
      <c r="G8" s="9">
        <v>-3000</v>
      </c>
      <c r="H8" s="9"/>
      <c r="I8" s="55"/>
      <c r="J8" s="21">
        <f t="shared" si="5"/>
        <v>20500</v>
      </c>
      <c r="K8" s="8" t="s">
        <v>151</v>
      </c>
      <c r="L8" s="9">
        <v>1500</v>
      </c>
      <c r="M8" s="9"/>
      <c r="N8" s="55"/>
      <c r="O8" s="21">
        <f t="shared" si="6"/>
        <v>55400</v>
      </c>
      <c r="P8" s="8" t="s">
        <v>151</v>
      </c>
      <c r="Q8" s="9">
        <v>1500</v>
      </c>
      <c r="R8" s="9"/>
      <c r="S8" s="55"/>
      <c r="T8" s="21">
        <f t="shared" si="7"/>
        <v>29100</v>
      </c>
      <c r="U8" s="60">
        <f t="shared" si="0"/>
        <v>-14.5</v>
      </c>
      <c r="V8" s="61">
        <f t="shared" si="1"/>
        <v>20.399999999999999</v>
      </c>
      <c r="W8" s="62">
        <f t="shared" si="2"/>
        <v>-5.9</v>
      </c>
      <c r="Y8" s="8" t="s">
        <v>152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150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150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1</v>
      </c>
      <c r="D9" s="18">
        <f t="shared" si="4"/>
        <v>0</v>
      </c>
      <c r="E9" s="4" t="s">
        <v>153</v>
      </c>
      <c r="F9" s="8" t="s">
        <v>144</v>
      </c>
      <c r="G9" s="9">
        <v>16000</v>
      </c>
      <c r="H9" s="9">
        <v>1000</v>
      </c>
      <c r="I9" s="55">
        <v>1000</v>
      </c>
      <c r="J9" s="21">
        <f t="shared" si="5"/>
        <v>38500</v>
      </c>
      <c r="K9" s="8" t="s">
        <v>143</v>
      </c>
      <c r="L9" s="9">
        <v>-6000</v>
      </c>
      <c r="M9" s="9">
        <v>-1000</v>
      </c>
      <c r="N9" s="55">
        <v>-500</v>
      </c>
      <c r="O9" s="21">
        <f t="shared" si="6"/>
        <v>47900</v>
      </c>
      <c r="P9" s="8" t="s">
        <v>143</v>
      </c>
      <c r="Q9" s="9">
        <v>-10000</v>
      </c>
      <c r="R9" s="9"/>
      <c r="S9" s="55">
        <v>-500</v>
      </c>
      <c r="T9" s="21">
        <f t="shared" si="7"/>
        <v>18600</v>
      </c>
      <c r="U9" s="60">
        <f t="shared" si="0"/>
        <v>3.5</v>
      </c>
      <c r="V9" s="61">
        <f t="shared" si="1"/>
        <v>12.9</v>
      </c>
      <c r="W9" s="62">
        <f t="shared" si="2"/>
        <v>-16.399999999999999</v>
      </c>
      <c r="Y9" s="8"/>
      <c r="Z9" s="41"/>
      <c r="AA9" s="32">
        <v>1</v>
      </c>
      <c r="AB9" s="32"/>
      <c r="AC9" s="32">
        <v>10</v>
      </c>
      <c r="AD9" s="36" t="s">
        <v>145</v>
      </c>
      <c r="AE9" s="47" t="s">
        <v>146</v>
      </c>
      <c r="AF9" s="48" t="s">
        <v>83</v>
      </c>
      <c r="AG9" s="48" t="s">
        <v>90</v>
      </c>
      <c r="AH9" s="48" t="s">
        <v>82</v>
      </c>
      <c r="AI9" s="48" t="s">
        <v>82</v>
      </c>
      <c r="AJ9" s="48" t="s">
        <v>82</v>
      </c>
      <c r="AK9" s="48" t="s">
        <v>81</v>
      </c>
      <c r="AL9" s="48" t="s">
        <v>81</v>
      </c>
      <c r="AM9" s="48" t="s">
        <v>81</v>
      </c>
      <c r="AN9" s="48" t="s">
        <v>81</v>
      </c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144</v>
      </c>
      <c r="G10" s="9">
        <v>12000</v>
      </c>
      <c r="H10" s="9"/>
      <c r="I10" s="55">
        <v>0</v>
      </c>
      <c r="J10" s="21">
        <f t="shared" si="5"/>
        <v>50500</v>
      </c>
      <c r="K10" s="8" t="s">
        <v>143</v>
      </c>
      <c r="L10" s="9">
        <v>-6000</v>
      </c>
      <c r="M10" s="9"/>
      <c r="N10" s="55">
        <v>0</v>
      </c>
      <c r="O10" s="21">
        <f t="shared" si="6"/>
        <v>41900</v>
      </c>
      <c r="P10" s="8" t="s">
        <v>143</v>
      </c>
      <c r="Q10" s="9">
        <v>-6000</v>
      </c>
      <c r="R10" s="9"/>
      <c r="S10" s="55">
        <v>0</v>
      </c>
      <c r="T10" s="21">
        <f t="shared" si="7"/>
        <v>12600</v>
      </c>
      <c r="U10" s="60">
        <f t="shared" si="0"/>
        <v>15.5</v>
      </c>
      <c r="V10" s="61">
        <f t="shared" si="1"/>
        <v>6.9</v>
      </c>
      <c r="W10" s="62">
        <f t="shared" si="2"/>
        <v>-22.4</v>
      </c>
      <c r="Y10" s="8"/>
      <c r="Z10" s="41"/>
      <c r="AA10" s="32">
        <v>1</v>
      </c>
      <c r="AB10" s="32"/>
      <c r="AC10" s="32">
        <v>4</v>
      </c>
      <c r="AD10" s="36">
        <v>30</v>
      </c>
      <c r="AE10" s="47" t="s">
        <v>146</v>
      </c>
      <c r="AF10" s="48" t="s">
        <v>83</v>
      </c>
      <c r="AG10" s="48" t="s">
        <v>147</v>
      </c>
      <c r="AH10" s="48" t="s">
        <v>87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1</v>
      </c>
      <c r="D11" s="18">
        <f t="shared" si="4"/>
        <v>0</v>
      </c>
      <c r="E11" s="4" t="s">
        <v>135</v>
      </c>
      <c r="F11" s="8" t="s">
        <v>151</v>
      </c>
      <c r="G11" s="9">
        <v>-1500</v>
      </c>
      <c r="H11" s="9"/>
      <c r="I11" s="55"/>
      <c r="J11" s="21">
        <f t="shared" si="5"/>
        <v>49000</v>
      </c>
      <c r="K11" s="8" t="s">
        <v>151</v>
      </c>
      <c r="L11" s="9">
        <v>-1500</v>
      </c>
      <c r="M11" s="9"/>
      <c r="N11" s="55"/>
      <c r="O11" s="21">
        <f t="shared" si="6"/>
        <v>40400</v>
      </c>
      <c r="P11" s="8" t="s">
        <v>151</v>
      </c>
      <c r="Q11" s="9">
        <v>3000</v>
      </c>
      <c r="R11" s="9">
        <v>-1000</v>
      </c>
      <c r="S11" s="55"/>
      <c r="T11" s="21">
        <f t="shared" si="7"/>
        <v>14600</v>
      </c>
      <c r="U11" s="60">
        <f t="shared" si="0"/>
        <v>14</v>
      </c>
      <c r="V11" s="61">
        <f t="shared" si="1"/>
        <v>5.4</v>
      </c>
      <c r="W11" s="62">
        <f t="shared" si="2"/>
        <v>-20.399999999999999</v>
      </c>
      <c r="Y11" s="8" t="s">
        <v>152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152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150</v>
      </c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2</v>
      </c>
      <c r="D12" s="18">
        <f t="shared" si="4"/>
        <v>1</v>
      </c>
      <c r="E12" s="4" t="s">
        <v>148</v>
      </c>
      <c r="F12" s="8"/>
      <c r="G12" s="9"/>
      <c r="H12" s="9"/>
      <c r="I12" s="55"/>
      <c r="J12" s="21">
        <f t="shared" si="5"/>
        <v>49000</v>
      </c>
      <c r="K12" s="8" t="s">
        <v>141</v>
      </c>
      <c r="L12" s="9">
        <v>18000</v>
      </c>
      <c r="M12" s="9">
        <v>2000</v>
      </c>
      <c r="N12" s="55">
        <v>2000</v>
      </c>
      <c r="O12" s="21">
        <f t="shared" si="6"/>
        <v>62400</v>
      </c>
      <c r="P12" s="8" t="s">
        <v>142</v>
      </c>
      <c r="Q12" s="9">
        <v>-18000</v>
      </c>
      <c r="R12" s="9">
        <v>-1000</v>
      </c>
      <c r="S12" s="55">
        <v>-2000</v>
      </c>
      <c r="T12" s="21">
        <f t="shared" si="7"/>
        <v>-6400</v>
      </c>
      <c r="U12" s="60">
        <f t="shared" si="0"/>
        <v>14</v>
      </c>
      <c r="V12" s="61">
        <f t="shared" si="1"/>
        <v>27.4</v>
      </c>
      <c r="W12" s="62">
        <f t="shared" si="2"/>
        <v>-41.4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6</v>
      </c>
      <c r="AY12" s="36" t="s">
        <v>145</v>
      </c>
      <c r="AZ12" s="47" t="s">
        <v>105</v>
      </c>
      <c r="BA12" s="48" t="s">
        <v>87</v>
      </c>
      <c r="BB12" s="48" t="s">
        <v>87</v>
      </c>
      <c r="BC12" s="48" t="s">
        <v>99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718929B-5B5A-444C-9473-5E3CFA26BFC3}">
      <formula1>"ロン,ツモ,放銃,ツモ支払,流局,チョンボ"</formula1>
    </dataValidation>
    <dataValidation type="list" allowBlank="1" showInputMessage="1" showErrorMessage="1" sqref="E4:E30" xr:uid="{9A650CC8-983E-40E7-8F77-AC82C6982C2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2019-02-08T17:43:05Z</dcterms:modified>
</cp:coreProperties>
</file>