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0F3E75D5-FDC0-48BF-88E5-ED6C85780DF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16" r:id="rId2"/>
    <sheet name="Sheet3" sheetId="17" r:id="rId3"/>
    <sheet name="Sheet4" sheetId="18" r:id="rId4"/>
    <sheet name="Sheet5" sheetId="19" r:id="rId5"/>
    <sheet name="Sheet6" sheetId="21" r:id="rId6"/>
    <sheet name="Sheet7" sheetId="22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S30" i="22" s="1"/>
  <c r="B30" i="22"/>
  <c r="A30" i="22"/>
  <c r="T29" i="22"/>
  <c r="W29" i="22" s="1"/>
  <c r="O29" i="22"/>
  <c r="V29" i="22" s="1"/>
  <c r="J29" i="22"/>
  <c r="U29" i="22" s="1"/>
  <c r="D29" i="22"/>
  <c r="C29" i="22"/>
  <c r="N29" i="22" s="1"/>
  <c r="B29" i="22"/>
  <c r="A29" i="22"/>
  <c r="T28" i="22"/>
  <c r="W28" i="22" s="1"/>
  <c r="O28" i="22"/>
  <c r="V28" i="22" s="1"/>
  <c r="J28" i="22"/>
  <c r="U28" i="22" s="1"/>
  <c r="D28" i="22"/>
  <c r="C28" i="22"/>
  <c r="N28" i="22" s="1"/>
  <c r="B28" i="22"/>
  <c r="A28" i="22"/>
  <c r="T27" i="22"/>
  <c r="W27" i="22" s="1"/>
  <c r="O27" i="22"/>
  <c r="V27" i="22" s="1"/>
  <c r="J27" i="22"/>
  <c r="U27" i="22" s="1"/>
  <c r="D27" i="22"/>
  <c r="C27" i="22"/>
  <c r="N27" i="22" s="1"/>
  <c r="B27" i="22"/>
  <c r="A27" i="22"/>
  <c r="T26" i="22"/>
  <c r="W26" i="22" s="1"/>
  <c r="O26" i="22"/>
  <c r="V26" i="22" s="1"/>
  <c r="J26" i="22"/>
  <c r="U26" i="22" s="1"/>
  <c r="D26" i="22"/>
  <c r="C26" i="22"/>
  <c r="S26" i="22" s="1"/>
  <c r="B26" i="22"/>
  <c r="A26" i="22"/>
  <c r="T25" i="22"/>
  <c r="W25" i="22" s="1"/>
  <c r="O25" i="22"/>
  <c r="V25" i="22" s="1"/>
  <c r="J25" i="22"/>
  <c r="U25" i="22" s="1"/>
  <c r="D25" i="22"/>
  <c r="C25" i="22"/>
  <c r="S25" i="22" s="1"/>
  <c r="B25" i="22"/>
  <c r="A25" i="22"/>
  <c r="T24" i="22"/>
  <c r="W24" i="22" s="1"/>
  <c r="O24" i="22"/>
  <c r="V24" i="22" s="1"/>
  <c r="J24" i="22"/>
  <c r="U24" i="22" s="1"/>
  <c r="D24" i="22"/>
  <c r="C24" i="22"/>
  <c r="N24" i="22" s="1"/>
  <c r="B24" i="22"/>
  <c r="A24" i="22"/>
  <c r="T23" i="22"/>
  <c r="W23" i="22" s="1"/>
  <c r="O23" i="22"/>
  <c r="V23" i="22" s="1"/>
  <c r="J23" i="22"/>
  <c r="U23" i="22" s="1"/>
  <c r="D23" i="22"/>
  <c r="C23" i="22"/>
  <c r="N23" i="22" s="1"/>
  <c r="B23" i="22"/>
  <c r="A23" i="22"/>
  <c r="T22" i="22"/>
  <c r="W22" i="22" s="1"/>
  <c r="O22" i="22"/>
  <c r="V22" i="22" s="1"/>
  <c r="J22" i="22"/>
  <c r="U22" i="22" s="1"/>
  <c r="D22" i="22"/>
  <c r="C22" i="22"/>
  <c r="S22" i="22" s="1"/>
  <c r="B22" i="22"/>
  <c r="A22" i="22"/>
  <c r="T21" i="22"/>
  <c r="W21" i="22" s="1"/>
  <c r="O21" i="22"/>
  <c r="V21" i="22" s="1"/>
  <c r="J21" i="22"/>
  <c r="U21" i="22" s="1"/>
  <c r="D21" i="22"/>
  <c r="C21" i="22"/>
  <c r="S21" i="22" s="1"/>
  <c r="B21" i="22"/>
  <c r="A21" i="22"/>
  <c r="T20" i="22"/>
  <c r="W20" i="22" s="1"/>
  <c r="O20" i="22"/>
  <c r="V20" i="22" s="1"/>
  <c r="J20" i="22"/>
  <c r="U20" i="22" s="1"/>
  <c r="D20" i="22"/>
  <c r="C20" i="22"/>
  <c r="N20" i="22" s="1"/>
  <c r="B20" i="22"/>
  <c r="A20" i="22"/>
  <c r="T19" i="22"/>
  <c r="W19" i="22" s="1"/>
  <c r="O19" i="22"/>
  <c r="V19" i="22" s="1"/>
  <c r="J19" i="22"/>
  <c r="U19" i="22" s="1"/>
  <c r="D19" i="22"/>
  <c r="C19" i="22"/>
  <c r="N19" i="22" s="1"/>
  <c r="B19" i="22"/>
  <c r="A19" i="22"/>
  <c r="T18" i="22"/>
  <c r="W18" i="22" s="1"/>
  <c r="O18" i="22"/>
  <c r="V18" i="22" s="1"/>
  <c r="J18" i="22"/>
  <c r="U18" i="22" s="1"/>
  <c r="D18" i="22"/>
  <c r="C18" i="22"/>
  <c r="S18" i="22" s="1"/>
  <c r="B18" i="22"/>
  <c r="A18" i="22"/>
  <c r="T17" i="22"/>
  <c r="W17" i="22" s="1"/>
  <c r="O17" i="22"/>
  <c r="V17" i="22" s="1"/>
  <c r="J17" i="22"/>
  <c r="U17" i="22" s="1"/>
  <c r="D17" i="22"/>
  <c r="C17" i="22"/>
  <c r="S17" i="22" s="1"/>
  <c r="B17" i="22"/>
  <c r="A17" i="22" s="1"/>
  <c r="O16" i="22"/>
  <c r="V16" i="22" s="1"/>
  <c r="D16" i="22"/>
  <c r="C16" i="22"/>
  <c r="N16" i="22" s="1"/>
  <c r="B16" i="22"/>
  <c r="A16" i="22" s="1"/>
  <c r="O15" i="22"/>
  <c r="V15" i="22" s="1"/>
  <c r="D15" i="22"/>
  <c r="C15" i="22"/>
  <c r="N15" i="22" s="1"/>
  <c r="B15" i="22"/>
  <c r="A15" i="22" s="1"/>
  <c r="T14" i="22"/>
  <c r="W14" i="22" s="1"/>
  <c r="D14" i="22"/>
  <c r="C14" i="22"/>
  <c r="S14" i="22" s="1"/>
  <c r="B14" i="22"/>
  <c r="A14" i="22" s="1"/>
  <c r="T13" i="22"/>
  <c r="W13" i="22" s="1"/>
  <c r="D13" i="22"/>
  <c r="C13" i="22"/>
  <c r="S13" i="22" s="1"/>
  <c r="B13" i="22"/>
  <c r="A13" i="22"/>
  <c r="O12" i="22"/>
  <c r="V12" i="22" s="1"/>
  <c r="J12" i="22"/>
  <c r="U12" i="22" s="1"/>
  <c r="D12" i="22"/>
  <c r="C12" i="22"/>
  <c r="N12" i="22" s="1"/>
  <c r="B12" i="22"/>
  <c r="A12" i="22" s="1"/>
  <c r="D11" i="22"/>
  <c r="C11" i="22"/>
  <c r="N11" i="22" s="1"/>
  <c r="O11" i="22" s="1"/>
  <c r="V11" i="22" s="1"/>
  <c r="D10" i="22"/>
  <c r="C10" i="22"/>
  <c r="S10" i="22" s="1"/>
  <c r="D9" i="22"/>
  <c r="C9" i="22"/>
  <c r="S9" i="22" s="1"/>
  <c r="D8" i="22"/>
  <c r="C8" i="22"/>
  <c r="N8" i="22" s="1"/>
  <c r="D7" i="22"/>
  <c r="D6" i="22"/>
  <c r="C6" i="22"/>
  <c r="S6" i="22" s="1"/>
  <c r="B6" i="22"/>
  <c r="D5" i="22"/>
  <c r="C5" i="22"/>
  <c r="B5" i="22"/>
  <c r="A5" i="22"/>
  <c r="S4" i="22"/>
  <c r="T4" i="22" s="1"/>
  <c r="N4" i="22"/>
  <c r="O4" i="22" s="1"/>
  <c r="I4" i="22"/>
  <c r="J4" i="22" s="1"/>
  <c r="W3" i="22"/>
  <c r="V3" i="22"/>
  <c r="U3" i="22"/>
  <c r="W2" i="22"/>
  <c r="V2" i="22"/>
  <c r="U2" i="22"/>
  <c r="BO1" i="22"/>
  <c r="AT1" i="22"/>
  <c r="Y1" i="22"/>
  <c r="A6" i="22" l="1"/>
  <c r="O5" i="22"/>
  <c r="V5" i="22" s="1"/>
  <c r="S24" i="22"/>
  <c r="I24" i="22"/>
  <c r="I8" i="22"/>
  <c r="S8" i="22"/>
  <c r="S16" i="22"/>
  <c r="T16" i="22" s="1"/>
  <c r="W16" i="22" s="1"/>
  <c r="S28" i="22"/>
  <c r="I16" i="22"/>
  <c r="J16" i="22" s="1"/>
  <c r="U16" i="22" s="1"/>
  <c r="S20" i="22"/>
  <c r="S12" i="22"/>
  <c r="T12" i="22" s="1"/>
  <c r="W12" i="22" s="1"/>
  <c r="I12" i="22"/>
  <c r="I20" i="22"/>
  <c r="I28" i="22"/>
  <c r="I11" i="22"/>
  <c r="J11" i="22" s="1"/>
  <c r="U11" i="22" s="1"/>
  <c r="I15" i="22"/>
  <c r="J15" i="22" s="1"/>
  <c r="U15" i="22" s="1"/>
  <c r="I19" i="22"/>
  <c r="I23" i="22"/>
  <c r="I27" i="22"/>
  <c r="S11" i="22"/>
  <c r="T11" i="22" s="1"/>
  <c r="W11" i="22" s="1"/>
  <c r="S15" i="22"/>
  <c r="T15" i="22" s="1"/>
  <c r="W15" i="22" s="1"/>
  <c r="S19" i="22"/>
  <c r="S23" i="22"/>
  <c r="S27" i="22"/>
  <c r="W4" i="22"/>
  <c r="I5" i="22"/>
  <c r="J5" i="22" s="1"/>
  <c r="S5" i="22"/>
  <c r="T5" i="22" s="1"/>
  <c r="B7" i="22"/>
  <c r="A7" i="22" s="1"/>
  <c r="U4" i="22"/>
  <c r="V4" i="22"/>
  <c r="N9" i="22"/>
  <c r="N13" i="22"/>
  <c r="O13" i="22" s="1"/>
  <c r="V13" i="22" s="1"/>
  <c r="N21" i="22"/>
  <c r="N6" i="22"/>
  <c r="O6" i="22" s="1"/>
  <c r="N22" i="22"/>
  <c r="N30" i="22"/>
  <c r="N25" i="22"/>
  <c r="N18" i="22"/>
  <c r="N26" i="22"/>
  <c r="I17" i="22"/>
  <c r="I21" i="22"/>
  <c r="I25" i="22"/>
  <c r="I29" i="22"/>
  <c r="S29" i="22"/>
  <c r="N17" i="22"/>
  <c r="N10" i="22"/>
  <c r="N14" i="22"/>
  <c r="O14" i="22" s="1"/>
  <c r="V14" i="22" s="1"/>
  <c r="C7" i="22"/>
  <c r="I9" i="22"/>
  <c r="I13" i="22"/>
  <c r="J13" i="22" s="1"/>
  <c r="U13" i="22" s="1"/>
  <c r="I6" i="22"/>
  <c r="I10" i="22"/>
  <c r="I14" i="22"/>
  <c r="J14" i="22" s="1"/>
  <c r="U14" i="22" s="1"/>
  <c r="I18" i="22"/>
  <c r="I22" i="22"/>
  <c r="I26" i="22"/>
  <c r="I30" i="22"/>
  <c r="V6" i="22" l="1"/>
  <c r="W5" i="22"/>
  <c r="T6" i="22"/>
  <c r="J6" i="22"/>
  <c r="U5" i="22"/>
  <c r="N7" i="22"/>
  <c r="O7" i="22" s="1"/>
  <c r="I7" i="22"/>
  <c r="S7" i="22"/>
  <c r="B8" i="22"/>
  <c r="A8" i="22" s="1"/>
  <c r="V7" i="22" l="1"/>
  <c r="O8" i="22"/>
  <c r="W6" i="22"/>
  <c r="T7" i="22"/>
  <c r="B9" i="22"/>
  <c r="A9" i="22" s="1"/>
  <c r="U6" i="22"/>
  <c r="J7" i="22"/>
  <c r="J8" i="22" l="1"/>
  <c r="U7" i="22"/>
  <c r="O9" i="22"/>
  <c r="V8" i="22"/>
  <c r="T8" i="22"/>
  <c r="W7" i="22"/>
  <c r="B10" i="22"/>
  <c r="A10" i="22" s="1"/>
  <c r="B11" i="22" l="1"/>
  <c r="A11" i="22" s="1"/>
  <c r="O10" i="22"/>
  <c r="V10" i="22" s="1"/>
  <c r="V9" i="22"/>
  <c r="T9" i="22"/>
  <c r="W8" i="22"/>
  <c r="J9" i="22"/>
  <c r="U8" i="22"/>
  <c r="W9" i="22" l="1"/>
  <c r="T10" i="22"/>
  <c r="W10" i="22" s="1"/>
  <c r="J10" i="22"/>
  <c r="U10" i="22" s="1"/>
  <c r="U9" i="22"/>
  <c r="T30" i="21" l="1"/>
  <c r="W30" i="21" s="1"/>
  <c r="O30" i="21"/>
  <c r="V30" i="21" s="1"/>
  <c r="J30" i="21"/>
  <c r="U30" i="21" s="1"/>
  <c r="D30" i="21"/>
  <c r="C30" i="21"/>
  <c r="S30" i="21" s="1"/>
  <c r="B30" i="21"/>
  <c r="A30" i="21"/>
  <c r="T29" i="21"/>
  <c r="W29" i="21" s="1"/>
  <c r="O29" i="21"/>
  <c r="V29" i="21" s="1"/>
  <c r="J29" i="21"/>
  <c r="U29" i="21" s="1"/>
  <c r="D29" i="21"/>
  <c r="C29" i="21"/>
  <c r="S29" i="21" s="1"/>
  <c r="B29" i="21"/>
  <c r="A29" i="21"/>
  <c r="T28" i="21"/>
  <c r="W28" i="21" s="1"/>
  <c r="O28" i="21"/>
  <c r="V28" i="21" s="1"/>
  <c r="J28" i="21"/>
  <c r="U28" i="21" s="1"/>
  <c r="D28" i="21"/>
  <c r="C28" i="21"/>
  <c r="N28" i="21" s="1"/>
  <c r="B28" i="21"/>
  <c r="A28" i="21"/>
  <c r="T27" i="21"/>
  <c r="W27" i="21" s="1"/>
  <c r="O27" i="21"/>
  <c r="V27" i="21" s="1"/>
  <c r="J27" i="21"/>
  <c r="U27" i="21" s="1"/>
  <c r="D27" i="21"/>
  <c r="C27" i="21"/>
  <c r="N27" i="21" s="1"/>
  <c r="B27" i="21"/>
  <c r="A27" i="21"/>
  <c r="T26" i="21"/>
  <c r="W26" i="21" s="1"/>
  <c r="O26" i="21"/>
  <c r="V26" i="21" s="1"/>
  <c r="J26" i="21"/>
  <c r="U26" i="21" s="1"/>
  <c r="D26" i="21"/>
  <c r="C26" i="21"/>
  <c r="S26" i="21" s="1"/>
  <c r="B26" i="21"/>
  <c r="A26" i="21"/>
  <c r="T25" i="21"/>
  <c r="W25" i="21" s="1"/>
  <c r="O25" i="21"/>
  <c r="V25" i="21" s="1"/>
  <c r="J25" i="21"/>
  <c r="U25" i="21" s="1"/>
  <c r="D25" i="21"/>
  <c r="C25" i="21"/>
  <c r="S25" i="21" s="1"/>
  <c r="B25" i="21"/>
  <c r="A25" i="21"/>
  <c r="T24" i="21"/>
  <c r="W24" i="21" s="1"/>
  <c r="O24" i="21"/>
  <c r="V24" i="21" s="1"/>
  <c r="J24" i="21"/>
  <c r="U24" i="21" s="1"/>
  <c r="D24" i="21"/>
  <c r="C24" i="21"/>
  <c r="N24" i="21" s="1"/>
  <c r="B24" i="21"/>
  <c r="A24" i="21"/>
  <c r="T23" i="21"/>
  <c r="W23" i="21" s="1"/>
  <c r="O23" i="21"/>
  <c r="V23" i="21" s="1"/>
  <c r="J23" i="21"/>
  <c r="U23" i="21" s="1"/>
  <c r="D23" i="21"/>
  <c r="C23" i="21"/>
  <c r="N23" i="21" s="1"/>
  <c r="B23" i="21"/>
  <c r="A23" i="21"/>
  <c r="T22" i="21"/>
  <c r="W22" i="21" s="1"/>
  <c r="O22" i="21"/>
  <c r="V22" i="21" s="1"/>
  <c r="J22" i="21"/>
  <c r="U22" i="21" s="1"/>
  <c r="D22" i="21"/>
  <c r="C22" i="21"/>
  <c r="S22" i="21" s="1"/>
  <c r="B22" i="21"/>
  <c r="A22" i="21"/>
  <c r="T21" i="21"/>
  <c r="W21" i="21" s="1"/>
  <c r="O21" i="21"/>
  <c r="V21" i="21" s="1"/>
  <c r="J21" i="21"/>
  <c r="U21" i="21" s="1"/>
  <c r="D21" i="21"/>
  <c r="C21" i="21"/>
  <c r="N21" i="21" s="1"/>
  <c r="B21" i="21"/>
  <c r="A21" i="21"/>
  <c r="T20" i="21"/>
  <c r="W20" i="21" s="1"/>
  <c r="O20" i="21"/>
  <c r="V20" i="21" s="1"/>
  <c r="J20" i="21"/>
  <c r="U20" i="21" s="1"/>
  <c r="D20" i="21"/>
  <c r="C20" i="21"/>
  <c r="N20" i="21" s="1"/>
  <c r="B20" i="21"/>
  <c r="A20" i="21"/>
  <c r="T19" i="21"/>
  <c r="W19" i="21" s="1"/>
  <c r="O19" i="21"/>
  <c r="V19" i="21" s="1"/>
  <c r="J19" i="21"/>
  <c r="U19" i="21" s="1"/>
  <c r="D19" i="21"/>
  <c r="C19" i="21"/>
  <c r="N19" i="21" s="1"/>
  <c r="B19" i="21"/>
  <c r="A19" i="21"/>
  <c r="T18" i="21"/>
  <c r="W18" i="21" s="1"/>
  <c r="O18" i="21"/>
  <c r="V18" i="21" s="1"/>
  <c r="J18" i="21"/>
  <c r="U18" i="21" s="1"/>
  <c r="D18" i="21"/>
  <c r="C18" i="21"/>
  <c r="S18" i="21" s="1"/>
  <c r="B18" i="21"/>
  <c r="A18" i="21"/>
  <c r="T17" i="21"/>
  <c r="W17" i="21" s="1"/>
  <c r="O17" i="21"/>
  <c r="V17" i="21" s="1"/>
  <c r="J17" i="21"/>
  <c r="U17" i="21" s="1"/>
  <c r="D17" i="21"/>
  <c r="C17" i="21"/>
  <c r="S17" i="21" s="1"/>
  <c r="B17" i="21"/>
  <c r="A17" i="21"/>
  <c r="T16" i="21"/>
  <c r="W16" i="21" s="1"/>
  <c r="O16" i="21"/>
  <c r="V16" i="21" s="1"/>
  <c r="J16" i="21"/>
  <c r="U16" i="21" s="1"/>
  <c r="D16" i="21"/>
  <c r="C16" i="21"/>
  <c r="N16" i="21" s="1"/>
  <c r="B16" i="21"/>
  <c r="A16" i="21"/>
  <c r="D15" i="21"/>
  <c r="C15" i="21"/>
  <c r="N15" i="21" s="1"/>
  <c r="D14" i="21"/>
  <c r="D13" i="21"/>
  <c r="C13" i="21"/>
  <c r="S13" i="21" s="1"/>
  <c r="D12" i="21"/>
  <c r="C12" i="21"/>
  <c r="N12" i="21" s="1"/>
  <c r="D11" i="21"/>
  <c r="D10" i="21"/>
  <c r="C10" i="21"/>
  <c r="S10" i="21" s="1"/>
  <c r="D9" i="21"/>
  <c r="D8" i="21"/>
  <c r="D7" i="21"/>
  <c r="C6" i="21"/>
  <c r="S6" i="21" s="1"/>
  <c r="B6" i="21"/>
  <c r="B7" i="21" s="1"/>
  <c r="D5" i="21"/>
  <c r="D6" i="21" s="1"/>
  <c r="C5" i="21"/>
  <c r="B5" i="21"/>
  <c r="A5" i="21"/>
  <c r="S4" i="21"/>
  <c r="T4" i="21" s="1"/>
  <c r="N4" i="21"/>
  <c r="O4" i="21" s="1"/>
  <c r="V4" i="21" s="1"/>
  <c r="I4" i="21"/>
  <c r="J4" i="21" s="1"/>
  <c r="W3" i="21"/>
  <c r="V3" i="21"/>
  <c r="U3" i="21"/>
  <c r="W2" i="21"/>
  <c r="V2" i="21"/>
  <c r="U2" i="21"/>
  <c r="BO1" i="21"/>
  <c r="AT1" i="21"/>
  <c r="Y1" i="21"/>
  <c r="S12" i="21" l="1"/>
  <c r="I12" i="21"/>
  <c r="I16" i="21"/>
  <c r="S24" i="21"/>
  <c r="I24" i="21"/>
  <c r="S28" i="21"/>
  <c r="S19" i="21"/>
  <c r="S20" i="21"/>
  <c r="I28" i="21"/>
  <c r="I15" i="21"/>
  <c r="I19" i="21"/>
  <c r="S15" i="21"/>
  <c r="S27" i="21"/>
  <c r="S16" i="21"/>
  <c r="I20" i="21"/>
  <c r="S23" i="21"/>
  <c r="I27" i="21"/>
  <c r="I23" i="21"/>
  <c r="S5" i="21"/>
  <c r="T5" i="21" s="1"/>
  <c r="I5" i="21"/>
  <c r="J5" i="21" s="1"/>
  <c r="U4" i="21"/>
  <c r="W4" i="21"/>
  <c r="B8" i="21"/>
  <c r="A7" i="21"/>
  <c r="A8" i="21" s="1"/>
  <c r="N5" i="21"/>
  <c r="O5" i="21" s="1"/>
  <c r="A6" i="21"/>
  <c r="N13" i="21"/>
  <c r="N17" i="21"/>
  <c r="N29" i="21"/>
  <c r="N22" i="21"/>
  <c r="N30" i="21"/>
  <c r="N25" i="21"/>
  <c r="N6" i="21"/>
  <c r="C14" i="21"/>
  <c r="N18" i="21"/>
  <c r="C7" i="21"/>
  <c r="C11" i="21"/>
  <c r="I13" i="21"/>
  <c r="I17" i="21"/>
  <c r="I21" i="21"/>
  <c r="S21" i="21"/>
  <c r="I25" i="21"/>
  <c r="I29" i="21"/>
  <c r="N10" i="21"/>
  <c r="N26" i="21"/>
  <c r="I6" i="21"/>
  <c r="I10" i="21"/>
  <c r="I18" i="21"/>
  <c r="I22" i="21"/>
  <c r="I26" i="21"/>
  <c r="I30" i="21"/>
  <c r="S14" i="21" l="1"/>
  <c r="I14" i="21"/>
  <c r="N14" i="21"/>
  <c r="B9" i="21"/>
  <c r="A9" i="21"/>
  <c r="S11" i="21"/>
  <c r="N11" i="21"/>
  <c r="I11" i="21"/>
  <c r="O6" i="21"/>
  <c r="V5" i="21"/>
  <c r="U5" i="21"/>
  <c r="J6" i="21"/>
  <c r="C8" i="21"/>
  <c r="N7" i="21"/>
  <c r="S7" i="21"/>
  <c r="I7" i="21"/>
  <c r="W5" i="21"/>
  <c r="T6" i="21"/>
  <c r="J7" i="21" l="1"/>
  <c r="U6" i="21"/>
  <c r="B10" i="21"/>
  <c r="A10" i="21" s="1"/>
  <c r="W6" i="21"/>
  <c r="T7" i="21"/>
  <c r="N8" i="21"/>
  <c r="S8" i="21"/>
  <c r="I8" i="21"/>
  <c r="C9" i="21"/>
  <c r="O7" i="21"/>
  <c r="V6" i="21"/>
  <c r="B11" i="21" l="1"/>
  <c r="A11" i="21" s="1"/>
  <c r="V7" i="21"/>
  <c r="O8" i="21"/>
  <c r="S9" i="21"/>
  <c r="I9" i="21"/>
  <c r="N9" i="21"/>
  <c r="T8" i="21"/>
  <c r="W7" i="21"/>
  <c r="J8" i="21"/>
  <c r="U7" i="21"/>
  <c r="T9" i="21" l="1"/>
  <c r="W8" i="21"/>
  <c r="O9" i="21"/>
  <c r="V8" i="21"/>
  <c r="J9" i="21"/>
  <c r="U8" i="21"/>
  <c r="B12" i="21"/>
  <c r="A12" i="21" s="1"/>
  <c r="J10" i="21" l="1"/>
  <c r="U9" i="21"/>
  <c r="T10" i="21"/>
  <c r="W9" i="21"/>
  <c r="B13" i="21"/>
  <c r="V9" i="21"/>
  <c r="O10" i="21"/>
  <c r="J11" i="21" l="1"/>
  <c r="U10" i="21"/>
  <c r="O11" i="21"/>
  <c r="V10" i="21"/>
  <c r="B14" i="21"/>
  <c r="W10" i="21"/>
  <c r="T11" i="21"/>
  <c r="A13" i="21"/>
  <c r="A14" i="21" s="1"/>
  <c r="T12" i="21" l="1"/>
  <c r="W11" i="21"/>
  <c r="V11" i="21"/>
  <c r="O12" i="21"/>
  <c r="B15" i="21"/>
  <c r="A15" i="21" s="1"/>
  <c r="J12" i="21"/>
  <c r="U11" i="21"/>
  <c r="V12" i="21" l="1"/>
  <c r="O13" i="21"/>
  <c r="J13" i="21"/>
  <c r="U12" i="21"/>
  <c r="T13" i="21"/>
  <c r="W12" i="21"/>
  <c r="U13" i="21" l="1"/>
  <c r="J14" i="21"/>
  <c r="O14" i="21"/>
  <c r="V13" i="21"/>
  <c r="W13" i="21"/>
  <c r="T14" i="21"/>
  <c r="O15" i="21" l="1"/>
  <c r="V15" i="21" s="1"/>
  <c r="V14" i="21"/>
  <c r="W14" i="21"/>
  <c r="T15" i="21"/>
  <c r="W15" i="21" s="1"/>
  <c r="J15" i="21"/>
  <c r="U15" i="21" s="1"/>
  <c r="U14" i="21"/>
  <c r="T30" i="20" l="1"/>
  <c r="W30" i="20" s="1"/>
  <c r="O30" i="20"/>
  <c r="V30" i="20" s="1"/>
  <c r="J30" i="20"/>
  <c r="U30" i="20" s="1"/>
  <c r="D30" i="20"/>
  <c r="C30" i="20"/>
  <c r="S30" i="20" s="1"/>
  <c r="B30" i="20"/>
  <c r="A30" i="20"/>
  <c r="W29" i="20"/>
  <c r="U29" i="20"/>
  <c r="T29" i="20"/>
  <c r="O29" i="20"/>
  <c r="V29" i="20" s="1"/>
  <c r="J29" i="20"/>
  <c r="D29" i="20"/>
  <c r="C29" i="20"/>
  <c r="S29" i="20" s="1"/>
  <c r="B29" i="20"/>
  <c r="A29" i="20"/>
  <c r="W28" i="20"/>
  <c r="T28" i="20"/>
  <c r="S28" i="20"/>
  <c r="O28" i="20"/>
  <c r="V28" i="20" s="1"/>
  <c r="J28" i="20"/>
  <c r="U28" i="20" s="1"/>
  <c r="I28" i="20"/>
  <c r="D28" i="20"/>
  <c r="C28" i="20"/>
  <c r="N28" i="20" s="1"/>
  <c r="B28" i="20"/>
  <c r="A28" i="20"/>
  <c r="W27" i="20"/>
  <c r="T27" i="20"/>
  <c r="S27" i="20"/>
  <c r="O27" i="20"/>
  <c r="V27" i="20" s="1"/>
  <c r="J27" i="20"/>
  <c r="U27" i="20" s="1"/>
  <c r="I27" i="20"/>
  <c r="D27" i="20"/>
  <c r="C27" i="20"/>
  <c r="N27" i="20" s="1"/>
  <c r="B27" i="20"/>
  <c r="A27" i="20"/>
  <c r="T26" i="20"/>
  <c r="W26" i="20" s="1"/>
  <c r="O26" i="20"/>
  <c r="V26" i="20" s="1"/>
  <c r="J26" i="20"/>
  <c r="U26" i="20" s="1"/>
  <c r="D26" i="20"/>
  <c r="C26" i="20"/>
  <c r="S26" i="20" s="1"/>
  <c r="B26" i="20"/>
  <c r="A26" i="20"/>
  <c r="W25" i="20"/>
  <c r="U25" i="20"/>
  <c r="T25" i="20"/>
  <c r="O25" i="20"/>
  <c r="V25" i="20" s="1"/>
  <c r="J25" i="20"/>
  <c r="D25" i="20"/>
  <c r="C25" i="20"/>
  <c r="S25" i="20" s="1"/>
  <c r="B25" i="20"/>
  <c r="A25" i="20"/>
  <c r="W24" i="20"/>
  <c r="T24" i="20"/>
  <c r="S24" i="20"/>
  <c r="O24" i="20"/>
  <c r="V24" i="20" s="1"/>
  <c r="J24" i="20"/>
  <c r="U24" i="20" s="1"/>
  <c r="I24" i="20"/>
  <c r="D24" i="20"/>
  <c r="C24" i="20"/>
  <c r="N24" i="20" s="1"/>
  <c r="B24" i="20"/>
  <c r="A24" i="20"/>
  <c r="W23" i="20"/>
  <c r="T23" i="20"/>
  <c r="S23" i="20"/>
  <c r="O23" i="20"/>
  <c r="V23" i="20" s="1"/>
  <c r="J23" i="20"/>
  <c r="U23" i="20" s="1"/>
  <c r="I23" i="20"/>
  <c r="D23" i="20"/>
  <c r="C23" i="20"/>
  <c r="N23" i="20" s="1"/>
  <c r="B23" i="20"/>
  <c r="A23" i="20"/>
  <c r="T22" i="20"/>
  <c r="W22" i="20" s="1"/>
  <c r="O22" i="20"/>
  <c r="V22" i="20" s="1"/>
  <c r="J22" i="20"/>
  <c r="U22" i="20" s="1"/>
  <c r="D22" i="20"/>
  <c r="C22" i="20"/>
  <c r="S22" i="20" s="1"/>
  <c r="B22" i="20"/>
  <c r="A22" i="20"/>
  <c r="W21" i="20"/>
  <c r="U21" i="20"/>
  <c r="T21" i="20"/>
  <c r="O21" i="20"/>
  <c r="V21" i="20" s="1"/>
  <c r="J21" i="20"/>
  <c r="D21" i="20"/>
  <c r="C21" i="20"/>
  <c r="S21" i="20" s="1"/>
  <c r="B21" i="20"/>
  <c r="A21" i="20"/>
  <c r="W20" i="20"/>
  <c r="T20" i="20"/>
  <c r="S20" i="20"/>
  <c r="O20" i="20"/>
  <c r="V20" i="20" s="1"/>
  <c r="J20" i="20"/>
  <c r="U20" i="20" s="1"/>
  <c r="I20" i="20"/>
  <c r="D20" i="20"/>
  <c r="C20" i="20"/>
  <c r="N20" i="20" s="1"/>
  <c r="B20" i="20"/>
  <c r="A20" i="20"/>
  <c r="W19" i="20"/>
  <c r="T19" i="20"/>
  <c r="S19" i="20"/>
  <c r="O19" i="20"/>
  <c r="V19" i="20" s="1"/>
  <c r="J19" i="20"/>
  <c r="U19" i="20" s="1"/>
  <c r="I19" i="20"/>
  <c r="D19" i="20"/>
  <c r="C19" i="20"/>
  <c r="N19" i="20" s="1"/>
  <c r="B19" i="20"/>
  <c r="A19" i="20"/>
  <c r="T18" i="20"/>
  <c r="W18" i="20" s="1"/>
  <c r="O18" i="20"/>
  <c r="V18" i="20" s="1"/>
  <c r="J18" i="20"/>
  <c r="U18" i="20" s="1"/>
  <c r="D18" i="20"/>
  <c r="C18" i="20"/>
  <c r="S18" i="20" s="1"/>
  <c r="B18" i="20"/>
  <c r="A18" i="20"/>
  <c r="W17" i="20"/>
  <c r="U17" i="20"/>
  <c r="T17" i="20"/>
  <c r="O17" i="20"/>
  <c r="V17" i="20" s="1"/>
  <c r="J17" i="20"/>
  <c r="D17" i="20"/>
  <c r="C17" i="20"/>
  <c r="N17" i="20" s="1"/>
  <c r="B17" i="20"/>
  <c r="A17" i="20"/>
  <c r="W16" i="20"/>
  <c r="T16" i="20"/>
  <c r="S16" i="20"/>
  <c r="O16" i="20"/>
  <c r="V16" i="20" s="1"/>
  <c r="J16" i="20"/>
  <c r="U16" i="20" s="1"/>
  <c r="I16" i="20"/>
  <c r="D16" i="20"/>
  <c r="C16" i="20"/>
  <c r="N16" i="20" s="1"/>
  <c r="B16" i="20"/>
  <c r="A16" i="20"/>
  <c r="W15" i="20"/>
  <c r="T15" i="20"/>
  <c r="S15" i="20"/>
  <c r="O15" i="20"/>
  <c r="V15" i="20" s="1"/>
  <c r="J15" i="20"/>
  <c r="U15" i="20" s="1"/>
  <c r="I15" i="20"/>
  <c r="D15" i="20"/>
  <c r="C15" i="20"/>
  <c r="N15" i="20" s="1"/>
  <c r="B15" i="20"/>
  <c r="A15" i="20"/>
  <c r="T14" i="20"/>
  <c r="W14" i="20" s="1"/>
  <c r="O14" i="20"/>
  <c r="V14" i="20" s="1"/>
  <c r="J14" i="20"/>
  <c r="U14" i="20" s="1"/>
  <c r="D14" i="20"/>
  <c r="C14" i="20"/>
  <c r="S14" i="20" s="1"/>
  <c r="B14" i="20"/>
  <c r="A14" i="20"/>
  <c r="W13" i="20"/>
  <c r="U13" i="20"/>
  <c r="T13" i="20"/>
  <c r="O13" i="20"/>
  <c r="V13" i="20" s="1"/>
  <c r="J13" i="20"/>
  <c r="D13" i="20"/>
  <c r="C13" i="20"/>
  <c r="S13" i="20" s="1"/>
  <c r="B13" i="20"/>
  <c r="A13" i="20"/>
  <c r="W12" i="20"/>
  <c r="T12" i="20"/>
  <c r="S12" i="20"/>
  <c r="O12" i="20"/>
  <c r="V12" i="20" s="1"/>
  <c r="J12" i="20"/>
  <c r="U12" i="20" s="1"/>
  <c r="I12" i="20"/>
  <c r="D12" i="20"/>
  <c r="C12" i="20"/>
  <c r="N12" i="20" s="1"/>
  <c r="B12" i="20"/>
  <c r="A12" i="20"/>
  <c r="S11" i="20"/>
  <c r="I11" i="20"/>
  <c r="D11" i="20"/>
  <c r="C11" i="20"/>
  <c r="N11" i="20" s="1"/>
  <c r="D10" i="20"/>
  <c r="C10" i="20"/>
  <c r="S10" i="20" s="1"/>
  <c r="D9" i="20"/>
  <c r="D8" i="20"/>
  <c r="S7" i="20"/>
  <c r="I7" i="20"/>
  <c r="D7" i="20"/>
  <c r="C7" i="20"/>
  <c r="C8" i="20" s="1"/>
  <c r="D6" i="20"/>
  <c r="C6" i="20"/>
  <c r="S6" i="20" s="1"/>
  <c r="B6" i="20"/>
  <c r="D5" i="20"/>
  <c r="C5" i="20"/>
  <c r="N5" i="20" s="1"/>
  <c r="B5" i="20"/>
  <c r="A6" i="20" s="1"/>
  <c r="A5" i="20"/>
  <c r="S4" i="20"/>
  <c r="T4" i="20" s="1"/>
  <c r="O4" i="20"/>
  <c r="V4" i="20" s="1"/>
  <c r="N4" i="20"/>
  <c r="I4" i="20"/>
  <c r="J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S30" i="19" s="1"/>
  <c r="B30" i="19"/>
  <c r="A30" i="19"/>
  <c r="T29" i="19"/>
  <c r="W29" i="19" s="1"/>
  <c r="O29" i="19"/>
  <c r="V29" i="19" s="1"/>
  <c r="J29" i="19"/>
  <c r="U29" i="19" s="1"/>
  <c r="D29" i="19"/>
  <c r="C29" i="19"/>
  <c r="N29" i="19" s="1"/>
  <c r="B29" i="19"/>
  <c r="A29" i="19"/>
  <c r="T28" i="19"/>
  <c r="W28" i="19" s="1"/>
  <c r="O28" i="19"/>
  <c r="V28" i="19" s="1"/>
  <c r="J28" i="19"/>
  <c r="U28" i="19" s="1"/>
  <c r="D28" i="19"/>
  <c r="C28" i="19"/>
  <c r="N28" i="19" s="1"/>
  <c r="B28" i="19"/>
  <c r="A28" i="19"/>
  <c r="T27" i="19"/>
  <c r="W27" i="19" s="1"/>
  <c r="O27" i="19"/>
  <c r="V27" i="19" s="1"/>
  <c r="J27" i="19"/>
  <c r="U27" i="19" s="1"/>
  <c r="D27" i="19"/>
  <c r="C27" i="19"/>
  <c r="N27" i="19" s="1"/>
  <c r="B27" i="19"/>
  <c r="A27" i="19"/>
  <c r="T26" i="19"/>
  <c r="W26" i="19" s="1"/>
  <c r="O26" i="19"/>
  <c r="V26" i="19" s="1"/>
  <c r="J26" i="19"/>
  <c r="U26" i="19" s="1"/>
  <c r="D26" i="19"/>
  <c r="C26" i="19"/>
  <c r="S26" i="19" s="1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N24" i="19" s="1"/>
  <c r="B24" i="19"/>
  <c r="A24" i="19"/>
  <c r="T23" i="19"/>
  <c r="W23" i="19" s="1"/>
  <c r="O23" i="19"/>
  <c r="V23" i="19" s="1"/>
  <c r="J23" i="19"/>
  <c r="U23" i="19" s="1"/>
  <c r="D23" i="19"/>
  <c r="C23" i="19"/>
  <c r="N23" i="19" s="1"/>
  <c r="B23" i="19"/>
  <c r="A23" i="19"/>
  <c r="T22" i="19"/>
  <c r="W22" i="19" s="1"/>
  <c r="O22" i="19"/>
  <c r="V22" i="19" s="1"/>
  <c r="J22" i="19"/>
  <c r="U22" i="19" s="1"/>
  <c r="D22" i="19"/>
  <c r="C22" i="19"/>
  <c r="N22" i="19" s="1"/>
  <c r="B22" i="19"/>
  <c r="A22" i="19"/>
  <c r="T21" i="19"/>
  <c r="W21" i="19" s="1"/>
  <c r="O21" i="19"/>
  <c r="V21" i="19" s="1"/>
  <c r="J21" i="19"/>
  <c r="U21" i="19" s="1"/>
  <c r="D21" i="19"/>
  <c r="C21" i="19"/>
  <c r="N21" i="19" s="1"/>
  <c r="B21" i="19"/>
  <c r="A21" i="19"/>
  <c r="T20" i="19"/>
  <c r="W20" i="19" s="1"/>
  <c r="O20" i="19"/>
  <c r="V20" i="19" s="1"/>
  <c r="J20" i="19"/>
  <c r="U20" i="19" s="1"/>
  <c r="D20" i="19"/>
  <c r="C20" i="19"/>
  <c r="N20" i="19" s="1"/>
  <c r="B20" i="19"/>
  <c r="A20" i="19"/>
  <c r="T19" i="19"/>
  <c r="W19" i="19" s="1"/>
  <c r="O19" i="19"/>
  <c r="V19" i="19" s="1"/>
  <c r="J19" i="19"/>
  <c r="U19" i="19" s="1"/>
  <c r="D19" i="19"/>
  <c r="C19" i="19"/>
  <c r="N19" i="19" s="1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N17" i="19" s="1"/>
  <c r="B17" i="19"/>
  <c r="A17" i="19"/>
  <c r="D16" i="19"/>
  <c r="C16" i="19"/>
  <c r="N16" i="19" s="1"/>
  <c r="O16" i="19" s="1"/>
  <c r="V16" i="19" s="1"/>
  <c r="B16" i="19"/>
  <c r="A16" i="19" s="1"/>
  <c r="D15" i="19"/>
  <c r="C15" i="19"/>
  <c r="N15" i="19" s="1"/>
  <c r="O15" i="19" s="1"/>
  <c r="V15" i="19" s="1"/>
  <c r="B15" i="19"/>
  <c r="A15" i="19" s="1"/>
  <c r="J14" i="19"/>
  <c r="U14" i="19" s="1"/>
  <c r="D14" i="19"/>
  <c r="C14" i="19"/>
  <c r="B14" i="19"/>
  <c r="A14" i="19"/>
  <c r="O13" i="19"/>
  <c r="V13" i="19" s="1"/>
  <c r="J13" i="19"/>
  <c r="U13" i="19" s="1"/>
  <c r="D13" i="19"/>
  <c r="C13" i="19"/>
  <c r="N13" i="19" s="1"/>
  <c r="B13" i="19"/>
  <c r="A13" i="19" s="1"/>
  <c r="D12" i="19"/>
  <c r="C12" i="19"/>
  <c r="N12" i="19" s="1"/>
  <c r="O12" i="19" s="1"/>
  <c r="V12" i="19" s="1"/>
  <c r="B12" i="19"/>
  <c r="A12" i="19" s="1"/>
  <c r="D11" i="19"/>
  <c r="C11" i="19"/>
  <c r="N11" i="19" s="1"/>
  <c r="O11" i="19" s="1"/>
  <c r="V11" i="19" s="1"/>
  <c r="B11" i="19"/>
  <c r="A11" i="19"/>
  <c r="D10" i="19"/>
  <c r="C10" i="19"/>
  <c r="B10" i="19"/>
  <c r="A10" i="19" s="1"/>
  <c r="O9" i="19"/>
  <c r="V9" i="19" s="1"/>
  <c r="D9" i="19"/>
  <c r="C9" i="19"/>
  <c r="N9" i="19" s="1"/>
  <c r="B9" i="19"/>
  <c r="A9" i="19"/>
  <c r="O8" i="19"/>
  <c r="V8" i="19" s="1"/>
  <c r="D8" i="19"/>
  <c r="C8" i="19"/>
  <c r="N8" i="19" s="1"/>
  <c r="B8" i="19"/>
  <c r="A8" i="19" s="1"/>
  <c r="D7" i="19"/>
  <c r="C7" i="19"/>
  <c r="N7" i="19" s="1"/>
  <c r="O7" i="19" s="1"/>
  <c r="V7" i="19" s="1"/>
  <c r="B7" i="19"/>
  <c r="A7" i="19" s="1"/>
  <c r="C6" i="19"/>
  <c r="B6" i="19"/>
  <c r="N5" i="19"/>
  <c r="D5" i="19"/>
  <c r="D6" i="19" s="1"/>
  <c r="C5" i="19"/>
  <c r="B5" i="19"/>
  <c r="A5" i="19"/>
  <c r="S4" i="19"/>
  <c r="T4" i="19" s="1"/>
  <c r="O4" i="19"/>
  <c r="N4" i="19"/>
  <c r="I4" i="19"/>
  <c r="J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N30" i="18"/>
  <c r="J30" i="18"/>
  <c r="U30" i="18" s="1"/>
  <c r="D30" i="18"/>
  <c r="C30" i="18"/>
  <c r="B30" i="18"/>
  <c r="A30" i="18"/>
  <c r="U29" i="18"/>
  <c r="T29" i="18"/>
  <c r="W29" i="18" s="1"/>
  <c r="O29" i="18"/>
  <c r="V29" i="18" s="1"/>
  <c r="J29" i="18"/>
  <c r="D29" i="18"/>
  <c r="C29" i="18"/>
  <c r="B29" i="18"/>
  <c r="A29" i="18"/>
  <c r="W28" i="18"/>
  <c r="V28" i="18"/>
  <c r="T28" i="18"/>
  <c r="S28" i="18"/>
  <c r="O28" i="18"/>
  <c r="J28" i="18"/>
  <c r="U28" i="18" s="1"/>
  <c r="I28" i="18"/>
  <c r="D28" i="18"/>
  <c r="C28" i="18"/>
  <c r="N28" i="18" s="1"/>
  <c r="B28" i="18"/>
  <c r="A28" i="18"/>
  <c r="T27" i="18"/>
  <c r="W27" i="18" s="1"/>
  <c r="S27" i="18"/>
  <c r="O27" i="18"/>
  <c r="V27" i="18" s="1"/>
  <c r="J27" i="18"/>
  <c r="U27" i="18" s="1"/>
  <c r="I27" i="18"/>
  <c r="D27" i="18"/>
  <c r="C27" i="18"/>
  <c r="N27" i="18" s="1"/>
  <c r="B27" i="18"/>
  <c r="A27" i="18"/>
  <c r="T26" i="18"/>
  <c r="W26" i="18" s="1"/>
  <c r="O26" i="18"/>
  <c r="V26" i="18" s="1"/>
  <c r="N26" i="18"/>
  <c r="J26" i="18"/>
  <c r="U26" i="18" s="1"/>
  <c r="D26" i="18"/>
  <c r="C26" i="18"/>
  <c r="B26" i="18"/>
  <c r="A26" i="18"/>
  <c r="U25" i="18"/>
  <c r="T25" i="18"/>
  <c r="W25" i="18" s="1"/>
  <c r="O25" i="18"/>
  <c r="V25" i="18" s="1"/>
  <c r="J25" i="18"/>
  <c r="D25" i="18"/>
  <c r="C25" i="18"/>
  <c r="B25" i="18"/>
  <c r="A25" i="18"/>
  <c r="W24" i="18"/>
  <c r="V24" i="18"/>
  <c r="T24" i="18"/>
  <c r="S24" i="18"/>
  <c r="O24" i="18"/>
  <c r="J24" i="18"/>
  <c r="U24" i="18" s="1"/>
  <c r="I24" i="18"/>
  <c r="D24" i="18"/>
  <c r="C24" i="18"/>
  <c r="N24" i="18" s="1"/>
  <c r="B24" i="18"/>
  <c r="A24" i="18"/>
  <c r="T23" i="18"/>
  <c r="W23" i="18" s="1"/>
  <c r="S23" i="18"/>
  <c r="O23" i="18"/>
  <c r="V23" i="18" s="1"/>
  <c r="J23" i="18"/>
  <c r="U23" i="18" s="1"/>
  <c r="I23" i="18"/>
  <c r="D23" i="18"/>
  <c r="C23" i="18"/>
  <c r="N23" i="18" s="1"/>
  <c r="B23" i="18"/>
  <c r="A23" i="18"/>
  <c r="T22" i="18"/>
  <c r="W22" i="18" s="1"/>
  <c r="O22" i="18"/>
  <c r="V22" i="18" s="1"/>
  <c r="N22" i="18"/>
  <c r="J22" i="18"/>
  <c r="U22" i="18" s="1"/>
  <c r="D22" i="18"/>
  <c r="C22" i="18"/>
  <c r="B22" i="18"/>
  <c r="A22" i="18"/>
  <c r="U21" i="18"/>
  <c r="T21" i="18"/>
  <c r="W21" i="18" s="1"/>
  <c r="O21" i="18"/>
  <c r="V21" i="18" s="1"/>
  <c r="J21" i="18"/>
  <c r="D21" i="18"/>
  <c r="C21" i="18"/>
  <c r="B21" i="18"/>
  <c r="A21" i="18"/>
  <c r="W20" i="18"/>
  <c r="V20" i="18"/>
  <c r="T20" i="18"/>
  <c r="S20" i="18"/>
  <c r="O20" i="18"/>
  <c r="J20" i="18"/>
  <c r="U20" i="18" s="1"/>
  <c r="I20" i="18"/>
  <c r="D20" i="18"/>
  <c r="C20" i="18"/>
  <c r="N20" i="18" s="1"/>
  <c r="B20" i="18"/>
  <c r="A20" i="18"/>
  <c r="T19" i="18"/>
  <c r="W19" i="18" s="1"/>
  <c r="S19" i="18"/>
  <c r="O19" i="18"/>
  <c r="V19" i="18" s="1"/>
  <c r="J19" i="18"/>
  <c r="U19" i="18" s="1"/>
  <c r="I19" i="18"/>
  <c r="D19" i="18"/>
  <c r="C19" i="18"/>
  <c r="N19" i="18" s="1"/>
  <c r="B19" i="18"/>
  <c r="A19" i="18"/>
  <c r="T18" i="18"/>
  <c r="W18" i="18" s="1"/>
  <c r="O18" i="18"/>
  <c r="V18" i="18" s="1"/>
  <c r="N18" i="18"/>
  <c r="J18" i="18"/>
  <c r="U18" i="18" s="1"/>
  <c r="D18" i="18"/>
  <c r="C18" i="18"/>
  <c r="B18" i="18"/>
  <c r="A18" i="18"/>
  <c r="W17" i="18"/>
  <c r="U17" i="18"/>
  <c r="T17" i="18"/>
  <c r="O17" i="18"/>
  <c r="V17" i="18" s="1"/>
  <c r="J17" i="18"/>
  <c r="D17" i="18"/>
  <c r="C17" i="18"/>
  <c r="N17" i="18" s="1"/>
  <c r="B17" i="18"/>
  <c r="A17" i="18"/>
  <c r="W16" i="18"/>
  <c r="T16" i="18"/>
  <c r="S16" i="18"/>
  <c r="O16" i="18"/>
  <c r="V16" i="18" s="1"/>
  <c r="J16" i="18"/>
  <c r="U16" i="18" s="1"/>
  <c r="I16" i="18"/>
  <c r="D16" i="18"/>
  <c r="C16" i="18"/>
  <c r="N16" i="18" s="1"/>
  <c r="B16" i="18"/>
  <c r="A16" i="18"/>
  <c r="T15" i="18"/>
  <c r="W15" i="18" s="1"/>
  <c r="S15" i="18"/>
  <c r="O15" i="18"/>
  <c r="V15" i="18" s="1"/>
  <c r="J15" i="18"/>
  <c r="U15" i="18" s="1"/>
  <c r="I15" i="18"/>
  <c r="D15" i="18"/>
  <c r="C15" i="18"/>
  <c r="N15" i="18" s="1"/>
  <c r="B15" i="18"/>
  <c r="A15" i="18"/>
  <c r="T14" i="18"/>
  <c r="W14" i="18" s="1"/>
  <c r="O14" i="18"/>
  <c r="V14" i="18" s="1"/>
  <c r="N14" i="18"/>
  <c r="J14" i="18"/>
  <c r="U14" i="18" s="1"/>
  <c r="D14" i="18"/>
  <c r="C14" i="18"/>
  <c r="B14" i="18"/>
  <c r="A14" i="18"/>
  <c r="U13" i="18"/>
  <c r="T13" i="18"/>
  <c r="W13" i="18" s="1"/>
  <c r="O13" i="18"/>
  <c r="V13" i="18" s="1"/>
  <c r="J13" i="18"/>
  <c r="D13" i="18"/>
  <c r="C13" i="18"/>
  <c r="N13" i="18" s="1"/>
  <c r="B13" i="18"/>
  <c r="A13" i="18"/>
  <c r="W12" i="18"/>
  <c r="T12" i="18"/>
  <c r="S12" i="18"/>
  <c r="O12" i="18"/>
  <c r="V12" i="18" s="1"/>
  <c r="J12" i="18"/>
  <c r="U12" i="18" s="1"/>
  <c r="I12" i="18"/>
  <c r="D12" i="18"/>
  <c r="C12" i="18"/>
  <c r="N12" i="18" s="1"/>
  <c r="B12" i="18"/>
  <c r="A12" i="18"/>
  <c r="T11" i="18"/>
  <c r="W11" i="18" s="1"/>
  <c r="S11" i="18"/>
  <c r="O11" i="18"/>
  <c r="V11" i="18" s="1"/>
  <c r="J11" i="18"/>
  <c r="U11" i="18" s="1"/>
  <c r="I11" i="18"/>
  <c r="D11" i="18"/>
  <c r="C11" i="18"/>
  <c r="N11" i="18" s="1"/>
  <c r="B11" i="18"/>
  <c r="A11" i="18"/>
  <c r="N10" i="18"/>
  <c r="D10" i="18"/>
  <c r="C10" i="18"/>
  <c r="N9" i="18"/>
  <c r="C9" i="18"/>
  <c r="S8" i="18"/>
  <c r="I8" i="18"/>
  <c r="D8" i="18"/>
  <c r="D9" i="18" s="1"/>
  <c r="C8" i="18"/>
  <c r="N8" i="18" s="1"/>
  <c r="S7" i="18"/>
  <c r="I7" i="18"/>
  <c r="D7" i="18"/>
  <c r="C7" i="18"/>
  <c r="N7" i="18" s="1"/>
  <c r="D6" i="18"/>
  <c r="C6" i="18"/>
  <c r="B6" i="18"/>
  <c r="D5" i="18"/>
  <c r="C5" i="18"/>
  <c r="B5" i="18"/>
  <c r="S4" i="18"/>
  <c r="T4" i="18" s="1"/>
  <c r="O4" i="18"/>
  <c r="V4" i="18" s="1"/>
  <c r="N4" i="18"/>
  <c r="I4" i="18"/>
  <c r="J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N30" i="17"/>
  <c r="J30" i="17"/>
  <c r="U30" i="17" s="1"/>
  <c r="D30" i="17"/>
  <c r="C30" i="17"/>
  <c r="B30" i="17"/>
  <c r="A30" i="17"/>
  <c r="U29" i="17"/>
  <c r="T29" i="17"/>
  <c r="W29" i="17" s="1"/>
  <c r="O29" i="17"/>
  <c r="V29" i="17" s="1"/>
  <c r="J29" i="17"/>
  <c r="D29" i="17"/>
  <c r="C29" i="17"/>
  <c r="B29" i="17"/>
  <c r="A29" i="17"/>
  <c r="W28" i="17"/>
  <c r="U28" i="17"/>
  <c r="T28" i="17"/>
  <c r="S28" i="17"/>
  <c r="O28" i="17"/>
  <c r="V28" i="17" s="1"/>
  <c r="J28" i="17"/>
  <c r="I28" i="17"/>
  <c r="D28" i="17"/>
  <c r="C28" i="17"/>
  <c r="N28" i="17" s="1"/>
  <c r="B28" i="17"/>
  <c r="A28" i="17"/>
  <c r="T27" i="17"/>
  <c r="W27" i="17" s="1"/>
  <c r="S27" i="17"/>
  <c r="O27" i="17"/>
  <c r="V27" i="17" s="1"/>
  <c r="J27" i="17"/>
  <c r="U27" i="17" s="1"/>
  <c r="I27" i="17"/>
  <c r="D27" i="17"/>
  <c r="C27" i="17"/>
  <c r="N27" i="17" s="1"/>
  <c r="B27" i="17"/>
  <c r="A27" i="17"/>
  <c r="T26" i="17"/>
  <c r="W26" i="17" s="1"/>
  <c r="O26" i="17"/>
  <c r="V26" i="17" s="1"/>
  <c r="N26" i="17"/>
  <c r="J26" i="17"/>
  <c r="U26" i="17" s="1"/>
  <c r="D26" i="17"/>
  <c r="C26" i="17"/>
  <c r="B26" i="17"/>
  <c r="A26" i="17"/>
  <c r="V25" i="17"/>
  <c r="U25" i="17"/>
  <c r="T25" i="17"/>
  <c r="W25" i="17" s="1"/>
  <c r="O25" i="17"/>
  <c r="N25" i="17"/>
  <c r="J25" i="17"/>
  <c r="D25" i="17"/>
  <c r="C25" i="17"/>
  <c r="B25" i="17"/>
  <c r="A25" i="17"/>
  <c r="W24" i="17"/>
  <c r="U24" i="17"/>
  <c r="T24" i="17"/>
  <c r="S24" i="17"/>
  <c r="O24" i="17"/>
  <c r="V24" i="17" s="1"/>
  <c r="J24" i="17"/>
  <c r="I24" i="17"/>
  <c r="D24" i="17"/>
  <c r="C24" i="17"/>
  <c r="N24" i="17" s="1"/>
  <c r="B24" i="17"/>
  <c r="A24" i="17"/>
  <c r="W23" i="17"/>
  <c r="T23" i="17"/>
  <c r="S23" i="17"/>
  <c r="O23" i="17"/>
  <c r="V23" i="17" s="1"/>
  <c r="J23" i="17"/>
  <c r="U23" i="17" s="1"/>
  <c r="I23" i="17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V21" i="17"/>
  <c r="U21" i="17"/>
  <c r="T21" i="17"/>
  <c r="W21" i="17" s="1"/>
  <c r="O21" i="17"/>
  <c r="N21" i="17"/>
  <c r="J21" i="17"/>
  <c r="D21" i="17"/>
  <c r="C21" i="17"/>
  <c r="B21" i="17"/>
  <c r="A21" i="17"/>
  <c r="W20" i="17"/>
  <c r="U20" i="17"/>
  <c r="T20" i="17"/>
  <c r="S20" i="17"/>
  <c r="O20" i="17"/>
  <c r="V20" i="17" s="1"/>
  <c r="J20" i="17"/>
  <c r="I20" i="17"/>
  <c r="D20" i="17"/>
  <c r="C20" i="17"/>
  <c r="N20" i="17" s="1"/>
  <c r="B20" i="17"/>
  <c r="A20" i="17"/>
  <c r="T19" i="17"/>
  <c r="W19" i="17" s="1"/>
  <c r="S19" i="17"/>
  <c r="O19" i="17"/>
  <c r="V19" i="17" s="1"/>
  <c r="J19" i="17"/>
  <c r="U19" i="17" s="1"/>
  <c r="I19" i="17"/>
  <c r="D19" i="17"/>
  <c r="C19" i="17"/>
  <c r="N19" i="17" s="1"/>
  <c r="B19" i="17"/>
  <c r="A19" i="17"/>
  <c r="T18" i="17"/>
  <c r="W18" i="17" s="1"/>
  <c r="O18" i="17"/>
  <c r="V18" i="17" s="1"/>
  <c r="N18" i="17"/>
  <c r="J18" i="17"/>
  <c r="U18" i="17" s="1"/>
  <c r="D18" i="17"/>
  <c r="C18" i="17"/>
  <c r="B18" i="17"/>
  <c r="A18" i="17"/>
  <c r="V17" i="17"/>
  <c r="U17" i="17"/>
  <c r="T17" i="17"/>
  <c r="W17" i="17" s="1"/>
  <c r="O17" i="17"/>
  <c r="N17" i="17"/>
  <c r="J17" i="17"/>
  <c r="D17" i="17"/>
  <c r="C17" i="17"/>
  <c r="B17" i="17"/>
  <c r="A17" i="17"/>
  <c r="W16" i="17"/>
  <c r="U16" i="17"/>
  <c r="T16" i="17"/>
  <c r="S16" i="17"/>
  <c r="O16" i="17"/>
  <c r="V16" i="17" s="1"/>
  <c r="J16" i="17"/>
  <c r="I16" i="17"/>
  <c r="D16" i="17"/>
  <c r="C16" i="17"/>
  <c r="N16" i="17" s="1"/>
  <c r="B16" i="17"/>
  <c r="A16" i="17"/>
  <c r="T15" i="17"/>
  <c r="W15" i="17" s="1"/>
  <c r="S15" i="17"/>
  <c r="O15" i="17"/>
  <c r="V15" i="17" s="1"/>
  <c r="J15" i="17"/>
  <c r="U15" i="17" s="1"/>
  <c r="I15" i="17"/>
  <c r="D15" i="17"/>
  <c r="C15" i="17"/>
  <c r="N15" i="17" s="1"/>
  <c r="B15" i="17"/>
  <c r="A15" i="17"/>
  <c r="T14" i="17"/>
  <c r="W14" i="17" s="1"/>
  <c r="O14" i="17"/>
  <c r="V14" i="17" s="1"/>
  <c r="N14" i="17"/>
  <c r="J14" i="17"/>
  <c r="U14" i="17" s="1"/>
  <c r="D14" i="17"/>
  <c r="C14" i="17"/>
  <c r="B14" i="17"/>
  <c r="A14" i="17"/>
  <c r="U13" i="17"/>
  <c r="T13" i="17"/>
  <c r="W13" i="17" s="1"/>
  <c r="O13" i="17"/>
  <c r="V13" i="17" s="1"/>
  <c r="J13" i="17"/>
  <c r="D13" i="17"/>
  <c r="C13" i="17"/>
  <c r="B13" i="17"/>
  <c r="A13" i="17"/>
  <c r="W12" i="17"/>
  <c r="U12" i="17"/>
  <c r="T12" i="17"/>
  <c r="S12" i="17"/>
  <c r="O12" i="17"/>
  <c r="V12" i="17" s="1"/>
  <c r="J12" i="17"/>
  <c r="I12" i="17"/>
  <c r="D12" i="17"/>
  <c r="C12" i="17"/>
  <c r="N12" i="17" s="1"/>
  <c r="B12" i="17"/>
  <c r="A12" i="17"/>
  <c r="T11" i="17"/>
  <c r="W11" i="17" s="1"/>
  <c r="S11" i="17"/>
  <c r="O11" i="17"/>
  <c r="V11" i="17" s="1"/>
  <c r="J11" i="17"/>
  <c r="U11" i="17" s="1"/>
  <c r="I11" i="17"/>
  <c r="D11" i="17"/>
  <c r="C11" i="17"/>
  <c r="N11" i="17" s="1"/>
  <c r="B11" i="17"/>
  <c r="A11" i="17"/>
  <c r="T10" i="17"/>
  <c r="W10" i="17" s="1"/>
  <c r="O10" i="17"/>
  <c r="V10" i="17" s="1"/>
  <c r="N10" i="17"/>
  <c r="J10" i="17"/>
  <c r="U10" i="17" s="1"/>
  <c r="D10" i="17"/>
  <c r="C10" i="17"/>
  <c r="B10" i="17"/>
  <c r="A10" i="17"/>
  <c r="D9" i="17"/>
  <c r="C9" i="17"/>
  <c r="S8" i="17"/>
  <c r="I8" i="17"/>
  <c r="D8" i="17"/>
  <c r="C8" i="17"/>
  <c r="N8" i="17" s="1"/>
  <c r="S7" i="17"/>
  <c r="I7" i="17"/>
  <c r="D7" i="17"/>
  <c r="C7" i="17"/>
  <c r="N7" i="17" s="1"/>
  <c r="N6" i="17"/>
  <c r="D6" i="17"/>
  <c r="C6" i="17"/>
  <c r="B6" i="17"/>
  <c r="B7" i="17" s="1"/>
  <c r="N5" i="17"/>
  <c r="D5" i="17"/>
  <c r="C5" i="17"/>
  <c r="B5" i="17"/>
  <c r="W4" i="17"/>
  <c r="V4" i="17"/>
  <c r="S4" i="17"/>
  <c r="T4" i="17" s="1"/>
  <c r="O4" i="17"/>
  <c r="O5" i="17" s="1"/>
  <c r="N4" i="17"/>
  <c r="I4" i="17"/>
  <c r="J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V29" i="16"/>
  <c r="U29" i="16"/>
  <c r="T29" i="16"/>
  <c r="W29" i="16" s="1"/>
  <c r="O29" i="16"/>
  <c r="N29" i="16"/>
  <c r="J29" i="16"/>
  <c r="D29" i="16"/>
  <c r="C29" i="16"/>
  <c r="B29" i="16"/>
  <c r="A29" i="16"/>
  <c r="W28" i="16"/>
  <c r="U28" i="16"/>
  <c r="T28" i="16"/>
  <c r="S28" i="16"/>
  <c r="O28" i="16"/>
  <c r="V28" i="16" s="1"/>
  <c r="J28" i="16"/>
  <c r="I28" i="16"/>
  <c r="D28" i="16"/>
  <c r="C28" i="16"/>
  <c r="N28" i="16" s="1"/>
  <c r="B28" i="16"/>
  <c r="A28" i="16"/>
  <c r="T27" i="16"/>
  <c r="W27" i="16" s="1"/>
  <c r="S27" i="16"/>
  <c r="O27" i="16"/>
  <c r="V27" i="16" s="1"/>
  <c r="J27" i="16"/>
  <c r="U27" i="16" s="1"/>
  <c r="I27" i="16"/>
  <c r="D27" i="16"/>
  <c r="C27" i="16"/>
  <c r="N27" i="16" s="1"/>
  <c r="B27" i="16"/>
  <c r="A27" i="16"/>
  <c r="T26" i="16"/>
  <c r="W26" i="16" s="1"/>
  <c r="O26" i="16"/>
  <c r="V26" i="16" s="1"/>
  <c r="N26" i="16"/>
  <c r="J26" i="16"/>
  <c r="U26" i="16" s="1"/>
  <c r="D26" i="16"/>
  <c r="C26" i="16"/>
  <c r="B26" i="16"/>
  <c r="A26" i="16"/>
  <c r="V25" i="16"/>
  <c r="U25" i="16"/>
  <c r="T25" i="16"/>
  <c r="W25" i="16" s="1"/>
  <c r="O25" i="16"/>
  <c r="N25" i="16"/>
  <c r="J25" i="16"/>
  <c r="D25" i="16"/>
  <c r="C25" i="16"/>
  <c r="B25" i="16"/>
  <c r="A25" i="16"/>
  <c r="W24" i="16"/>
  <c r="U24" i="16"/>
  <c r="T24" i="16"/>
  <c r="S24" i="16"/>
  <c r="O24" i="16"/>
  <c r="V24" i="16" s="1"/>
  <c r="J24" i="16"/>
  <c r="I24" i="16"/>
  <c r="D24" i="16"/>
  <c r="C24" i="16"/>
  <c r="N24" i="16" s="1"/>
  <c r="B24" i="16"/>
  <c r="A24" i="16"/>
  <c r="T23" i="16"/>
  <c r="W23" i="16" s="1"/>
  <c r="S23" i="16"/>
  <c r="O23" i="16"/>
  <c r="V23" i="16" s="1"/>
  <c r="J23" i="16"/>
  <c r="U23" i="16" s="1"/>
  <c r="I23" i="16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S22" i="16" s="1"/>
  <c r="B22" i="16"/>
  <c r="A22" i="16"/>
  <c r="V21" i="16"/>
  <c r="T21" i="16"/>
  <c r="W21" i="16" s="1"/>
  <c r="O21" i="16"/>
  <c r="N21" i="16"/>
  <c r="J21" i="16"/>
  <c r="U21" i="16" s="1"/>
  <c r="D21" i="16"/>
  <c r="C21" i="16"/>
  <c r="B21" i="16"/>
  <c r="A21" i="16"/>
  <c r="W20" i="16"/>
  <c r="U20" i="16"/>
  <c r="T20" i="16"/>
  <c r="S20" i="16"/>
  <c r="O20" i="16"/>
  <c r="V20" i="16" s="1"/>
  <c r="J20" i="16"/>
  <c r="I20" i="16"/>
  <c r="D20" i="16"/>
  <c r="C20" i="16"/>
  <c r="N20" i="16" s="1"/>
  <c r="B20" i="16"/>
  <c r="A20" i="16"/>
  <c r="V19" i="16"/>
  <c r="T19" i="16"/>
  <c r="W19" i="16" s="1"/>
  <c r="S19" i="16"/>
  <c r="O19" i="16"/>
  <c r="J19" i="16"/>
  <c r="U19" i="16" s="1"/>
  <c r="I19" i="16"/>
  <c r="D19" i="16"/>
  <c r="C19" i="16"/>
  <c r="N19" i="16" s="1"/>
  <c r="B19" i="16"/>
  <c r="A19" i="16"/>
  <c r="W18" i="16"/>
  <c r="T18" i="16"/>
  <c r="S18" i="16"/>
  <c r="O18" i="16"/>
  <c r="V18" i="16" s="1"/>
  <c r="J18" i="16"/>
  <c r="U18" i="16" s="1"/>
  <c r="I18" i="16"/>
  <c r="D18" i="16"/>
  <c r="C18" i="16"/>
  <c r="N18" i="16" s="1"/>
  <c r="B18" i="16"/>
  <c r="A18" i="16"/>
  <c r="V17" i="16"/>
  <c r="T17" i="16"/>
  <c r="W17" i="16" s="1"/>
  <c r="O17" i="16"/>
  <c r="N17" i="16"/>
  <c r="J17" i="16"/>
  <c r="U17" i="16" s="1"/>
  <c r="D17" i="16"/>
  <c r="C17" i="16"/>
  <c r="B17" i="16"/>
  <c r="A17" i="16"/>
  <c r="W16" i="16"/>
  <c r="U16" i="16"/>
  <c r="T16" i="16"/>
  <c r="O16" i="16"/>
  <c r="V16" i="16" s="1"/>
  <c r="J16" i="16"/>
  <c r="D16" i="16"/>
  <c r="C16" i="16"/>
  <c r="I16" i="16" s="1"/>
  <c r="B16" i="16"/>
  <c r="A16" i="16"/>
  <c r="W15" i="16"/>
  <c r="T15" i="16"/>
  <c r="S15" i="16"/>
  <c r="O15" i="16"/>
  <c r="V15" i="16" s="1"/>
  <c r="J15" i="16"/>
  <c r="U15" i="16" s="1"/>
  <c r="I15" i="16"/>
  <c r="D15" i="16"/>
  <c r="C15" i="16"/>
  <c r="N15" i="16" s="1"/>
  <c r="B15" i="16"/>
  <c r="A15" i="16"/>
  <c r="W14" i="16"/>
  <c r="T14" i="16"/>
  <c r="S14" i="16"/>
  <c r="O14" i="16"/>
  <c r="V14" i="16" s="1"/>
  <c r="J14" i="16"/>
  <c r="U14" i="16" s="1"/>
  <c r="I14" i="16"/>
  <c r="D14" i="16"/>
  <c r="C14" i="16"/>
  <c r="N14" i="16" s="1"/>
  <c r="B14" i="16"/>
  <c r="A14" i="16"/>
  <c r="T13" i="16"/>
  <c r="W13" i="16" s="1"/>
  <c r="O13" i="16"/>
  <c r="V13" i="16" s="1"/>
  <c r="J13" i="16"/>
  <c r="U13" i="16" s="1"/>
  <c r="D13" i="16"/>
  <c r="C13" i="16"/>
  <c r="S13" i="16" s="1"/>
  <c r="B13" i="16"/>
  <c r="A13" i="16"/>
  <c r="W12" i="16"/>
  <c r="U12" i="16"/>
  <c r="T12" i="16"/>
  <c r="O12" i="16"/>
  <c r="V12" i="16" s="1"/>
  <c r="J12" i="16"/>
  <c r="D12" i="16"/>
  <c r="C12" i="16"/>
  <c r="N12" i="16" s="1"/>
  <c r="B12" i="16"/>
  <c r="A12" i="16"/>
  <c r="W11" i="16"/>
  <c r="T11" i="16"/>
  <c r="S11" i="16"/>
  <c r="O11" i="16"/>
  <c r="V11" i="16" s="1"/>
  <c r="J11" i="16"/>
  <c r="U11" i="16" s="1"/>
  <c r="I11" i="16"/>
  <c r="D11" i="16"/>
  <c r="C11" i="16"/>
  <c r="N11" i="16" s="1"/>
  <c r="B11" i="16"/>
  <c r="A11" i="16"/>
  <c r="W10" i="16"/>
  <c r="T10" i="16"/>
  <c r="S10" i="16"/>
  <c r="O10" i="16"/>
  <c r="V10" i="16" s="1"/>
  <c r="J10" i="16"/>
  <c r="U10" i="16" s="1"/>
  <c r="I10" i="16"/>
  <c r="D10" i="16"/>
  <c r="C10" i="16"/>
  <c r="N10" i="16" s="1"/>
  <c r="B10" i="16"/>
  <c r="A10" i="16"/>
  <c r="T9" i="16"/>
  <c r="W9" i="16" s="1"/>
  <c r="O9" i="16"/>
  <c r="V9" i="16" s="1"/>
  <c r="J9" i="16"/>
  <c r="U9" i="16" s="1"/>
  <c r="D9" i="16"/>
  <c r="C9" i="16"/>
  <c r="S9" i="16" s="1"/>
  <c r="B9" i="16"/>
  <c r="A9" i="16"/>
  <c r="W8" i="16"/>
  <c r="U8" i="16"/>
  <c r="T8" i="16"/>
  <c r="O8" i="16"/>
  <c r="V8" i="16" s="1"/>
  <c r="J8" i="16"/>
  <c r="D8" i="16"/>
  <c r="C8" i="16"/>
  <c r="I8" i="16" s="1"/>
  <c r="B8" i="16"/>
  <c r="A8" i="16"/>
  <c r="S7" i="16"/>
  <c r="I7" i="16"/>
  <c r="D7" i="16"/>
  <c r="C7" i="16"/>
  <c r="N7" i="16" s="1"/>
  <c r="D6" i="16"/>
  <c r="D5" i="16"/>
  <c r="C5" i="16"/>
  <c r="S5" i="16" s="1"/>
  <c r="B5" i="16"/>
  <c r="A5" i="16" s="1"/>
  <c r="S4" i="16"/>
  <c r="T4" i="16" s="1"/>
  <c r="N4" i="16"/>
  <c r="O4" i="16" s="1"/>
  <c r="I4" i="16"/>
  <c r="J4" i="16" s="1"/>
  <c r="W3" i="16"/>
  <c r="V3" i="16"/>
  <c r="U3" i="16"/>
  <c r="W2" i="16"/>
  <c r="V2" i="16"/>
  <c r="U2" i="16"/>
  <c r="BO1" i="16"/>
  <c r="AT1" i="16"/>
  <c r="Y1" i="16"/>
  <c r="S12" i="19" l="1"/>
  <c r="T12" i="19" s="1"/>
  <c r="W12" i="19" s="1"/>
  <c r="I15" i="19"/>
  <c r="J15" i="19" s="1"/>
  <c r="U15" i="19" s="1"/>
  <c r="I27" i="19"/>
  <c r="I12" i="19"/>
  <c r="J12" i="19" s="1"/>
  <c r="U12" i="19" s="1"/>
  <c r="I20" i="19"/>
  <c r="I23" i="19"/>
  <c r="S23" i="19"/>
  <c r="I8" i="19"/>
  <c r="J8" i="19" s="1"/>
  <c r="U8" i="19" s="1"/>
  <c r="S11" i="19"/>
  <c r="T11" i="19" s="1"/>
  <c r="W11" i="19" s="1"/>
  <c r="I7" i="19"/>
  <c r="J7" i="19" s="1"/>
  <c r="U7" i="19" s="1"/>
  <c r="S8" i="19"/>
  <c r="T8" i="19" s="1"/>
  <c r="W8" i="19" s="1"/>
  <c r="I11" i="19"/>
  <c r="J11" i="19" s="1"/>
  <c r="U11" i="19" s="1"/>
  <c r="S15" i="19"/>
  <c r="T15" i="19" s="1"/>
  <c r="W15" i="19" s="1"/>
  <c r="S20" i="19"/>
  <c r="S27" i="19"/>
  <c r="S7" i="19"/>
  <c r="T7" i="19" s="1"/>
  <c r="W7" i="19" s="1"/>
  <c r="S16" i="19"/>
  <c r="T16" i="19" s="1"/>
  <c r="W16" i="19" s="1"/>
  <c r="S19" i="19"/>
  <c r="S24" i="19"/>
  <c r="S28" i="19"/>
  <c r="I16" i="19"/>
  <c r="J16" i="19" s="1"/>
  <c r="U16" i="19" s="1"/>
  <c r="I19" i="19"/>
  <c r="I24" i="19"/>
  <c r="I28" i="19"/>
  <c r="W4" i="20"/>
  <c r="N8" i="20"/>
  <c r="C9" i="20"/>
  <c r="I8" i="20"/>
  <c r="S8" i="20"/>
  <c r="U4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U4" i="16"/>
  <c r="V4" i="16"/>
  <c r="W4" i="16"/>
  <c r="T5" i="16"/>
  <c r="O6" i="17"/>
  <c r="V5" i="17"/>
  <c r="B8" i="17"/>
  <c r="N8" i="16"/>
  <c r="S13" i="17"/>
  <c r="I13" i="17"/>
  <c r="S22" i="17"/>
  <c r="I22" i="17"/>
  <c r="S21" i="18"/>
  <c r="I21" i="18"/>
  <c r="N21" i="18"/>
  <c r="N5" i="16"/>
  <c r="O5" i="16" s="1"/>
  <c r="N22" i="16"/>
  <c r="S25" i="16"/>
  <c r="I25" i="16"/>
  <c r="S26" i="17"/>
  <c r="I26" i="17"/>
  <c r="S5" i="18"/>
  <c r="I5" i="18"/>
  <c r="C6" i="16"/>
  <c r="S8" i="16"/>
  <c r="I12" i="16"/>
  <c r="S12" i="16"/>
  <c r="S16" i="16"/>
  <c r="S29" i="16"/>
  <c r="I29" i="16"/>
  <c r="S6" i="17"/>
  <c r="I6" i="17"/>
  <c r="S14" i="17"/>
  <c r="I14" i="17"/>
  <c r="S21" i="17"/>
  <c r="I21" i="17"/>
  <c r="S30" i="17"/>
  <c r="I30" i="17"/>
  <c r="J5" i="18"/>
  <c r="U4" i="18"/>
  <c r="S29" i="18"/>
  <c r="I29" i="18"/>
  <c r="N29" i="18"/>
  <c r="S25" i="19"/>
  <c r="I25" i="19"/>
  <c r="N25" i="19"/>
  <c r="N16" i="16"/>
  <c r="S30" i="16"/>
  <c r="I30" i="16"/>
  <c r="U4" i="17"/>
  <c r="S29" i="17"/>
  <c r="I29" i="17"/>
  <c r="I6" i="18"/>
  <c r="S6" i="18"/>
  <c r="V4" i="19"/>
  <c r="O5" i="19"/>
  <c r="V5" i="19" s="1"/>
  <c r="S10" i="19"/>
  <c r="T10" i="19" s="1"/>
  <c r="W10" i="19" s="1"/>
  <c r="I10" i="19"/>
  <c r="J10" i="19" s="1"/>
  <c r="U10" i="19" s="1"/>
  <c r="N10" i="19"/>
  <c r="O10" i="19" s="1"/>
  <c r="V10" i="19" s="1"/>
  <c r="B6" i="16"/>
  <c r="A6" i="16" s="1"/>
  <c r="N9" i="16"/>
  <c r="N13" i="16"/>
  <c r="S17" i="16"/>
  <c r="I17" i="16"/>
  <c r="S9" i="17"/>
  <c r="I9" i="17"/>
  <c r="S10" i="17"/>
  <c r="I10" i="17"/>
  <c r="S17" i="17"/>
  <c r="I17" i="17"/>
  <c r="T5" i="18"/>
  <c r="S25" i="18"/>
  <c r="I25" i="18"/>
  <c r="N25" i="18"/>
  <c r="S14" i="19"/>
  <c r="T14" i="19" s="1"/>
  <c r="W14" i="19" s="1"/>
  <c r="I14" i="19"/>
  <c r="N14" i="19"/>
  <c r="O14" i="19" s="1"/>
  <c r="V14" i="19" s="1"/>
  <c r="I5" i="16"/>
  <c r="J5" i="16" s="1"/>
  <c r="I9" i="16"/>
  <c r="I13" i="16"/>
  <c r="S21" i="16"/>
  <c r="I21" i="16"/>
  <c r="I22" i="16"/>
  <c r="S26" i="16"/>
  <c r="I26" i="16"/>
  <c r="N30" i="16"/>
  <c r="T5" i="17"/>
  <c r="S5" i="17"/>
  <c r="I5" i="17"/>
  <c r="J5" i="17" s="1"/>
  <c r="N9" i="17"/>
  <c r="N13" i="17"/>
  <c r="S18" i="17"/>
  <c r="I18" i="17"/>
  <c r="N22" i="17"/>
  <c r="S25" i="17"/>
  <c r="I25" i="17"/>
  <c r="N29" i="17"/>
  <c r="W4" i="18"/>
  <c r="N5" i="18"/>
  <c r="O5" i="18" s="1"/>
  <c r="B7" i="18"/>
  <c r="N6" i="18"/>
  <c r="S14" i="18"/>
  <c r="I14" i="18"/>
  <c r="S18" i="19"/>
  <c r="I18" i="19"/>
  <c r="N18" i="19"/>
  <c r="A6" i="19"/>
  <c r="S6" i="19"/>
  <c r="T6" i="19" s="1"/>
  <c r="W6" i="19" s="1"/>
  <c r="I6" i="19"/>
  <c r="J6" i="19" s="1"/>
  <c r="U6" i="19" s="1"/>
  <c r="S22" i="19"/>
  <c r="I22" i="19"/>
  <c r="A5" i="17"/>
  <c r="A6" i="17" s="1"/>
  <c r="A7" i="17" s="1"/>
  <c r="A8" i="17" s="1"/>
  <c r="A5" i="18"/>
  <c r="A6" i="18" s="1"/>
  <c r="S10" i="18"/>
  <c r="I10" i="18"/>
  <c r="S18" i="18"/>
  <c r="I18" i="18"/>
  <c r="S22" i="18"/>
  <c r="I22" i="18"/>
  <c r="S26" i="18"/>
  <c r="I26" i="18"/>
  <c r="S30" i="18"/>
  <c r="I30" i="18"/>
  <c r="U4" i="19"/>
  <c r="S5" i="19"/>
  <c r="T5" i="19" s="1"/>
  <c r="W5" i="19" s="1"/>
  <c r="I5" i="19"/>
  <c r="J5" i="19" s="1"/>
  <c r="U5" i="19" s="1"/>
  <c r="S9" i="19"/>
  <c r="T9" i="19" s="1"/>
  <c r="W9" i="19" s="1"/>
  <c r="I9" i="19"/>
  <c r="J9" i="19" s="1"/>
  <c r="U9" i="19" s="1"/>
  <c r="S13" i="19"/>
  <c r="T13" i="19" s="1"/>
  <c r="W13" i="19" s="1"/>
  <c r="I13" i="19"/>
  <c r="S17" i="19"/>
  <c r="I17" i="19"/>
  <c r="S29" i="19"/>
  <c r="I29" i="19"/>
  <c r="S9" i="18"/>
  <c r="I9" i="18"/>
  <c r="S13" i="18"/>
  <c r="I13" i="18"/>
  <c r="S17" i="18"/>
  <c r="I17" i="18"/>
  <c r="W4" i="19"/>
  <c r="N6" i="19"/>
  <c r="O6" i="19" s="1"/>
  <c r="V6" i="19" s="1"/>
  <c r="S21" i="19"/>
  <c r="I21" i="19"/>
  <c r="N26" i="19"/>
  <c r="N30" i="19"/>
  <c r="I26" i="19"/>
  <c r="I30" i="19"/>
  <c r="T6" i="20" l="1"/>
  <c r="W5" i="20"/>
  <c r="U5" i="20"/>
  <c r="J6" i="20"/>
  <c r="N9" i="20"/>
  <c r="S9" i="20"/>
  <c r="I9" i="20"/>
  <c r="B8" i="20"/>
  <c r="O6" i="20"/>
  <c r="V5" i="20"/>
  <c r="A7" i="20"/>
  <c r="A8" i="20" s="1"/>
  <c r="A7" i="18"/>
  <c r="V5" i="16"/>
  <c r="O6" i="18"/>
  <c r="V5" i="18"/>
  <c r="U5" i="17"/>
  <c r="J6" i="17"/>
  <c r="U5" i="16"/>
  <c r="O7" i="17"/>
  <c r="V6" i="17"/>
  <c r="J6" i="18"/>
  <c r="U5" i="18"/>
  <c r="N6" i="16"/>
  <c r="O6" i="16" s="1"/>
  <c r="S6" i="16"/>
  <c r="T6" i="16" s="1"/>
  <c r="I6" i="16"/>
  <c r="J6" i="16" s="1"/>
  <c r="W5" i="16"/>
  <c r="W5" i="17"/>
  <c r="T6" i="17"/>
  <c r="T6" i="18"/>
  <c r="W5" i="18"/>
  <c r="B8" i="18"/>
  <c r="A8" i="18"/>
  <c r="B7" i="16"/>
  <c r="A7" i="16"/>
  <c r="B9" i="17"/>
  <c r="A9" i="17"/>
  <c r="B9" i="20" l="1"/>
  <c r="A9" i="20"/>
  <c r="J7" i="20"/>
  <c r="U6" i="20"/>
  <c r="O7" i="20"/>
  <c r="V6" i="20"/>
  <c r="W6" i="20"/>
  <c r="T7" i="20"/>
  <c r="J7" i="16"/>
  <c r="U7" i="16" s="1"/>
  <c r="U6" i="16"/>
  <c r="V6" i="16"/>
  <c r="O7" i="16"/>
  <c r="V7" i="16" s="1"/>
  <c r="T7" i="16"/>
  <c r="W7" i="16" s="1"/>
  <c r="W6" i="16"/>
  <c r="W6" i="17"/>
  <c r="T7" i="17"/>
  <c r="V7" i="17"/>
  <c r="O8" i="17"/>
  <c r="J7" i="18"/>
  <c r="U6" i="18"/>
  <c r="O7" i="18"/>
  <c r="V6" i="18"/>
  <c r="B9" i="18"/>
  <c r="A9" i="18"/>
  <c r="U6" i="17"/>
  <c r="J7" i="17"/>
  <c r="T7" i="18"/>
  <c r="W6" i="18"/>
  <c r="J8" i="20" l="1"/>
  <c r="U7" i="20"/>
  <c r="T8" i="20"/>
  <c r="W7" i="20"/>
  <c r="V7" i="20"/>
  <c r="O8" i="20"/>
  <c r="B10" i="20"/>
  <c r="T8" i="17"/>
  <c r="W7" i="17"/>
  <c r="B10" i="18"/>
  <c r="A10" i="18" s="1"/>
  <c r="V8" i="17"/>
  <c r="O9" i="17"/>
  <c r="V9" i="17" s="1"/>
  <c r="T8" i="18"/>
  <c r="W7" i="18"/>
  <c r="J8" i="18"/>
  <c r="U7" i="18"/>
  <c r="J8" i="17"/>
  <c r="U7" i="17"/>
  <c r="V7" i="18"/>
  <c r="O8" i="18"/>
  <c r="B11" i="20" l="1"/>
  <c r="A11" i="20" s="1"/>
  <c r="A10" i="20"/>
  <c r="T9" i="20"/>
  <c r="W8" i="20"/>
  <c r="O9" i="20"/>
  <c r="V8" i="20"/>
  <c r="J9" i="20"/>
  <c r="U8" i="20"/>
  <c r="T9" i="18"/>
  <c r="W8" i="18"/>
  <c r="J9" i="17"/>
  <c r="U9" i="17" s="1"/>
  <c r="U8" i="17"/>
  <c r="O9" i="18"/>
  <c r="V8" i="18"/>
  <c r="J9" i="18"/>
  <c r="U8" i="18"/>
  <c r="T9" i="17"/>
  <c r="W9" i="17" s="1"/>
  <c r="W8" i="17"/>
  <c r="O10" i="20" l="1"/>
  <c r="V9" i="20"/>
  <c r="J10" i="20"/>
  <c r="U9" i="20"/>
  <c r="T10" i="20"/>
  <c r="W9" i="20"/>
  <c r="U9" i="18"/>
  <c r="J10" i="18"/>
  <c r="U10" i="18" s="1"/>
  <c r="O10" i="18"/>
  <c r="V10" i="18" s="1"/>
  <c r="V9" i="18"/>
  <c r="W9" i="18"/>
  <c r="T10" i="18"/>
  <c r="W10" i="18" s="1"/>
  <c r="J11" i="20" l="1"/>
  <c r="U11" i="20" s="1"/>
  <c r="U10" i="20"/>
  <c r="W10" i="20"/>
  <c r="T11" i="20"/>
  <c r="W11" i="20" s="1"/>
  <c r="O11" i="20"/>
  <c r="V11" i="20" s="1"/>
  <c r="V10" i="20"/>
</calcChain>
</file>

<file path=xl/sharedStrings.xml><?xml version="1.0" encoding="utf-8"?>
<sst xmlns="http://schemas.openxmlformats.org/spreadsheetml/2006/main" count="1192" uniqueCount="167">
  <si>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</si>
  <si>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</si>
  <si>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</si>
  <si>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</si>
  <si>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</si>
  <si>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</si>
  <si>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</si>
  <si>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</si>
  <si>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</si>
  <si>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</si>
  <si>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</si>
  <si>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</si>
  <si>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</si>
  <si>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</si>
  <si>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</si>
  <si>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</si>
  <si>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</si>
  <si>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</si>
  <si>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</si>
  <si>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</si>
  <si>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</si>
  <si>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</si>
  <si>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</si>
  <si>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</si>
  <si>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</si>
  <si>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</si>
  <si>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</si>
  <si>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</si>
  <si>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</si>
  <si>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</si>
  <si>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</si>
  <si>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</si>
  <si>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</si>
  <si>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</si>
  <si>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</si>
  <si>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</si>
  <si>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</si>
  <si>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</si>
  <si>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</si>
  <si>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</si>
  <si>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</si>
  <si>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</si>
  <si>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</si>
  <si>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</si>
  <si>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</si>
  <si>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</si>
  <si>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</si>
  <si>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</si>
  <si>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</si>
  <si>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</si>
  <si>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</si>
  <si>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</si>
  <si>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</si>
  <si>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</si>
  <si>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</si>
  <si>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</si>
  <si>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</si>
  <si>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</si>
  <si>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</si>
  <si>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</si>
  <si>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</si>
  <si>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</si>
  <si>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</si>
  <si>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</si>
  <si>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</si>
  <si>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</si>
  <si>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</si>
  <si>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</si>
  <si>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</si>
  <si>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</si>
  <si>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</si>
  <si>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</si>
  <si>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</si>
  <si>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</si>
  <si>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</si>
  <si>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</si>
  <si>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</si>
  <si>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</si>
  <si>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</si>
  <si>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</si>
  <si>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</si>
  <si>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</si>
  <si>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</si>
  <si>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</si>
  <si>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</si>
  <si>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</si>
  <si>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</si>
  <si>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</si>
  <si>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</si>
  <si>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</si>
  <si>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</si>
  <si>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</si>
  <si>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</si>
  <si>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</si>
  <si>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</si>
  <si>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</si>
  <si>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</si>
  <si>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</si>
  <si>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</si>
  <si>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</si>
  <si>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</si>
  <si>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</si>
  <si>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</si>
  <si>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</si>
  <si>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</si>
  <si>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</si>
  <si>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</si>
  <si>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</si>
  <si>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</si>
  <si>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</si>
  <si>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</si>
  <si>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</si>
  <si>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</si>
  <si>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</si>
  <si>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</si>
  <si>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</si>
  <si>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</si>
  <si>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</si>
  <si>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</si>
  <si>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</si>
  <si>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</si>
  <si>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</si>
  <si>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</si>
  <si>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</si>
  <si>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</si>
  <si>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</si>
  <si>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</si>
  <si>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</si>
  <si>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</si>
  <si>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</si>
  <si>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</si>
  <si>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</si>
  <si>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</si>
  <si>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</si>
  <si>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</si>
  <si>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</si>
  <si>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</si>
  <si>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</si>
  <si>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</si>
  <si>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</si>
  <si>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りくと</t>
    <phoneticPr fontId="1"/>
  </si>
  <si>
    <t>いっしー</t>
    <phoneticPr fontId="1"/>
  </si>
  <si>
    <t>いっしー</t>
  </si>
  <si>
    <t>ロン</t>
  </si>
  <si>
    <t>放銃</t>
  </si>
  <si>
    <t>*</t>
  </si>
  <si>
    <t>だいち</t>
  </si>
  <si>
    <t>01</t>
  </si>
  <si>
    <t>02</t>
  </si>
  <si>
    <t>りくと</t>
  </si>
  <si>
    <t>ツモ</t>
  </si>
  <si>
    <t>ツモ支払</t>
  </si>
  <si>
    <t>たかの</t>
    <phoneticPr fontId="1"/>
  </si>
  <si>
    <t>ただ</t>
    <phoneticPr fontId="1"/>
  </si>
  <si>
    <t>ただ</t>
  </si>
  <si>
    <t>流局</t>
    <phoneticPr fontId="1"/>
  </si>
  <si>
    <t>チョンボ</t>
  </si>
  <si>
    <t>れんたろう</t>
    <phoneticPr fontId="1"/>
  </si>
  <si>
    <t>れんたろう</t>
  </si>
  <si>
    <t>たかの</t>
  </si>
  <si>
    <t>流局</t>
    <phoneticPr fontId="1"/>
  </si>
  <si>
    <t>T</t>
  </si>
  <si>
    <t>N</t>
  </si>
  <si>
    <t>N</t>
    <phoneticPr fontId="1"/>
  </si>
  <si>
    <t>T</t>
    <phoneticPr fontId="1"/>
  </si>
  <si>
    <t>25</t>
    <phoneticPr fontId="1"/>
  </si>
  <si>
    <t>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</si>
</sst>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いっしー</v>
      </c>
      <c r="W2" s="18" t="str">
        <f>$P$1</f>
        <v>れんたろう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146</v>
      </c>
      <c r="F4" s="8" t="s">
        <v>151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27500</v>
      </c>
      <c r="K4" s="8" t="s">
        <v>150</v>
      </c>
      <c r="L4" s="9">
        <v>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151</v>
      </c>
      <c r="Q4" s="9">
        <v>-4500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30500</v>
      </c>
      <c r="U4" s="22">
        <f>IF($J4="","",ROUND(($J4-$J$3)/1000,0))</f>
        <v>-8</v>
      </c>
      <c r="V4" s="23">
        <f t="shared" ref="V4:V30" si="2">IF($O4="","",ROUND(($O4-$O$3)/1000,0))</f>
        <v>12</v>
      </c>
      <c r="W4" s="24">
        <f t="shared" ref="W4:W30" si="3">IF($T4="","",ROUND(($T4-$T$3)/1000,0))</f>
        <v>-5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>
        <v>1</v>
      </c>
      <c r="AX4" s="38">
        <v>6</v>
      </c>
      <c r="AY4" s="42" t="s">
        <v>145</v>
      </c>
      <c r="AZ4" s="52" t="s">
        <v>92</v>
      </c>
      <c r="BA4" s="53" t="s">
        <v>87</v>
      </c>
      <c r="BB4" s="53" t="s">
        <v>87</v>
      </c>
      <c r="BC4" s="53" t="s">
        <v>87</v>
      </c>
      <c r="BD4" s="53" t="s">
        <v>85</v>
      </c>
      <c r="BE4" s="53" t="s">
        <v>85</v>
      </c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142</v>
      </c>
      <c r="F5" s="8" t="s">
        <v>150</v>
      </c>
      <c r="G5" s="9">
        <v>1200</v>
      </c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29700</v>
      </c>
      <c r="K5" s="8" t="s">
        <v>151</v>
      </c>
      <c r="L5" s="9">
        <v>-700</v>
      </c>
      <c r="M5" s="9"/>
      <c r="N5" s="10">
        <f t="shared" si="0"/>
        <v>0</v>
      </c>
      <c r="O5" s="32">
        <f t="shared" ref="O5:O30" si="6">IF(COUNTA($F5,$K5,$P5)&gt;0,O4+SUM(L5:N5),"")</f>
        <v>46300</v>
      </c>
      <c r="P5" s="8" t="s">
        <v>151</v>
      </c>
      <c r="Q5" s="9">
        <v>-500</v>
      </c>
      <c r="R5" s="9">
        <v>-1000</v>
      </c>
      <c r="S5" s="10">
        <f t="shared" si="1"/>
        <v>0</v>
      </c>
      <c r="T5" s="32">
        <f t="shared" ref="T5:T30" si="7">IF(COUNTA($F5,$K5,$P5)&gt;0,T4+SUM(Q5:S5),"")</f>
        <v>29000</v>
      </c>
      <c r="U5" s="22">
        <f t="shared" ref="U5:U30" si="8">IF($J5="","",ROUND(($J5-$J$3)/1000,0))</f>
        <v>-5</v>
      </c>
      <c r="V5" s="23">
        <f t="shared" si="2"/>
        <v>11</v>
      </c>
      <c r="W5" s="24">
        <f t="shared" si="3"/>
        <v>-6</v>
      </c>
      <c r="Y5" s="8"/>
      <c r="Z5" s="46"/>
      <c r="AA5" s="38"/>
      <c r="AB5" s="38">
        <v>1</v>
      </c>
      <c r="AC5" s="38">
        <v>1</v>
      </c>
      <c r="AD5" s="42">
        <v>30</v>
      </c>
      <c r="AE5" s="52" t="s">
        <v>92</v>
      </c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157</v>
      </c>
      <c r="F6" s="8" t="s">
        <v>143</v>
      </c>
      <c r="G6" s="9">
        <v>2600</v>
      </c>
      <c r="H6" s="9">
        <v>1000</v>
      </c>
      <c r="I6" s="10">
        <f t="shared" si="4"/>
        <v>0</v>
      </c>
      <c r="J6" s="32">
        <f t="shared" si="5"/>
        <v>33300</v>
      </c>
      <c r="K6" s="8"/>
      <c r="L6" s="9"/>
      <c r="M6" s="9">
        <v>-1000</v>
      </c>
      <c r="N6" s="10" t="str">
        <f t="shared" si="0"/>
        <v/>
      </c>
      <c r="O6" s="32">
        <f t="shared" si="6"/>
        <v>45300</v>
      </c>
      <c r="P6" s="8" t="s">
        <v>144</v>
      </c>
      <c r="Q6" s="9">
        <v>-2600</v>
      </c>
      <c r="R6" s="9"/>
      <c r="S6" s="10">
        <f t="shared" si="1"/>
        <v>0</v>
      </c>
      <c r="T6" s="32">
        <f t="shared" si="7"/>
        <v>26400</v>
      </c>
      <c r="U6" s="22">
        <f t="shared" si="8"/>
        <v>-2</v>
      </c>
      <c r="V6" s="23">
        <f t="shared" si="2"/>
        <v>10</v>
      </c>
      <c r="W6" s="24">
        <f t="shared" si="3"/>
        <v>-9</v>
      </c>
      <c r="Y6" s="8"/>
      <c r="Z6" s="46"/>
      <c r="AA6" s="38">
        <v>1</v>
      </c>
      <c r="AB6" s="38"/>
      <c r="AC6" s="38">
        <v>2</v>
      </c>
      <c r="AD6" s="42">
        <v>40</v>
      </c>
      <c r="AE6" s="52" t="s">
        <v>147</v>
      </c>
      <c r="AF6" s="53" t="s">
        <v>87</v>
      </c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139</v>
      </c>
      <c r="F7" s="8" t="s">
        <v>155</v>
      </c>
      <c r="G7" s="9">
        <v>3000</v>
      </c>
      <c r="H7" s="9">
        <v>-1000</v>
      </c>
      <c r="I7" s="10" t="str">
        <f t="shared" si="4"/>
        <v/>
      </c>
      <c r="J7" s="32">
        <f t="shared" si="5"/>
        <v>35300</v>
      </c>
      <c r="K7" s="8" t="s">
        <v>155</v>
      </c>
      <c r="L7" s="9">
        <v>-1500</v>
      </c>
      <c r="M7" s="9"/>
      <c r="N7" s="10" t="str">
        <f t="shared" si="0"/>
        <v/>
      </c>
      <c r="O7" s="32">
        <f t="shared" si="6"/>
        <v>43800</v>
      </c>
      <c r="P7" s="8" t="s">
        <v>155</v>
      </c>
      <c r="Q7" s="9">
        <v>-1500</v>
      </c>
      <c r="R7" s="9"/>
      <c r="S7" s="10" t="str">
        <f t="shared" si="1"/>
        <v/>
      </c>
      <c r="T7" s="32">
        <f t="shared" si="7"/>
        <v>24900</v>
      </c>
      <c r="U7" s="22">
        <f t="shared" si="8"/>
        <v>0</v>
      </c>
      <c r="V7" s="23">
        <f t="shared" si="2"/>
        <v>9</v>
      </c>
      <c r="W7" s="24">
        <f t="shared" si="3"/>
        <v>-10</v>
      </c>
      <c r="Y7" s="8" t="s">
        <v>164</v>
      </c>
      <c r="Z7" s="46"/>
      <c r="AA7" s="38">
        <v>1</v>
      </c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 t="s">
        <v>163</v>
      </c>
      <c r="AU7" s="46"/>
      <c r="AV7" s="38"/>
      <c r="AW7" s="38">
        <v>1</v>
      </c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 t="s">
        <v>163</v>
      </c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1</v>
      </c>
      <c r="D8" s="29">
        <f t="shared" si="12"/>
        <v>1</v>
      </c>
      <c r="E8" s="4" t="s">
        <v>146</v>
      </c>
      <c r="F8" s="8" t="s">
        <v>143</v>
      </c>
      <c r="G8" s="9">
        <v>5800</v>
      </c>
      <c r="H8" s="9">
        <v>1000</v>
      </c>
      <c r="I8" s="10">
        <f t="shared" si="4"/>
        <v>1000</v>
      </c>
      <c r="J8" s="32">
        <f t="shared" si="5"/>
        <v>43100</v>
      </c>
      <c r="K8" s="8"/>
      <c r="L8" s="9"/>
      <c r="M8" s="9"/>
      <c r="N8" s="10" t="str">
        <f t="shared" si="0"/>
        <v/>
      </c>
      <c r="O8" s="32">
        <f t="shared" si="6"/>
        <v>43800</v>
      </c>
      <c r="P8" s="8" t="s">
        <v>144</v>
      </c>
      <c r="Q8" s="9">
        <v>-5800</v>
      </c>
      <c r="R8" s="9"/>
      <c r="S8" s="10">
        <f t="shared" si="1"/>
        <v>-1000</v>
      </c>
      <c r="T8" s="32">
        <f t="shared" si="7"/>
        <v>18100</v>
      </c>
      <c r="U8" s="22">
        <f t="shared" si="8"/>
        <v>8</v>
      </c>
      <c r="V8" s="23">
        <f t="shared" si="2"/>
        <v>9</v>
      </c>
      <c r="W8" s="24">
        <f t="shared" si="3"/>
        <v>-17</v>
      </c>
      <c r="Y8" s="8"/>
      <c r="Z8" s="46"/>
      <c r="AA8" s="38"/>
      <c r="AB8" s="38">
        <v>1</v>
      </c>
      <c r="AC8" s="38">
        <v>3</v>
      </c>
      <c r="AD8" s="42">
        <v>30</v>
      </c>
      <c r="AE8" s="52" t="s">
        <v>92</v>
      </c>
      <c r="AF8" s="53" t="s">
        <v>87</v>
      </c>
      <c r="AG8" s="53" t="s">
        <v>85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2</v>
      </c>
      <c r="D9" s="29">
        <f t="shared" si="12"/>
        <v>0</v>
      </c>
      <c r="E9" s="4" t="s">
        <v>146</v>
      </c>
      <c r="F9" s="8" t="s">
        <v>151</v>
      </c>
      <c r="G9" s="9">
        <v>-20000</v>
      </c>
      <c r="H9" s="9"/>
      <c r="I9" s="10">
        <f t="shared" si="4"/>
        <v>-1000</v>
      </c>
      <c r="J9" s="32">
        <f t="shared" si="5"/>
        <v>22100</v>
      </c>
      <c r="K9" s="8" t="s">
        <v>151</v>
      </c>
      <c r="L9" s="9">
        <v>-12000</v>
      </c>
      <c r="M9" s="9"/>
      <c r="N9" s="10">
        <f t="shared" si="0"/>
        <v>-1000</v>
      </c>
      <c r="O9" s="32">
        <f t="shared" si="6"/>
        <v>30800</v>
      </c>
      <c r="P9" s="8" t="s">
        <v>150</v>
      </c>
      <c r="Q9" s="9">
        <v>32000</v>
      </c>
      <c r="R9" s="9"/>
      <c r="S9" s="10">
        <f t="shared" si="1"/>
        <v>2000</v>
      </c>
      <c r="T9" s="32">
        <f t="shared" si="7"/>
        <v>52100</v>
      </c>
      <c r="U9" s="22">
        <f t="shared" si="8"/>
        <v>-13</v>
      </c>
      <c r="V9" s="23">
        <f t="shared" si="2"/>
        <v>-4</v>
      </c>
      <c r="W9" s="24">
        <f t="shared" si="3"/>
        <v>17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>
        <v>13</v>
      </c>
      <c r="BT9" s="42" t="s">
        <v>145</v>
      </c>
      <c r="BU9" s="52" t="s">
        <v>114</v>
      </c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0</v>
      </c>
      <c r="D10" s="29">
        <f t="shared" si="12"/>
        <v>0</v>
      </c>
      <c r="E10" s="4" t="s">
        <v>142</v>
      </c>
      <c r="F10" s="8" t="s">
        <v>150</v>
      </c>
      <c r="G10" s="9">
        <v>8000</v>
      </c>
      <c r="H10" s="9"/>
      <c r="I10" s="10">
        <f t="shared" si="4"/>
        <v>0</v>
      </c>
      <c r="J10" s="32">
        <f t="shared" si="5"/>
        <v>30100</v>
      </c>
      <c r="K10" s="8" t="s">
        <v>151</v>
      </c>
      <c r="L10" s="9">
        <v>-5000</v>
      </c>
      <c r="M10" s="9"/>
      <c r="N10" s="10">
        <f t="shared" si="0"/>
        <v>0</v>
      </c>
      <c r="O10" s="32">
        <f t="shared" si="6"/>
        <v>25800</v>
      </c>
      <c r="P10" s="8" t="s">
        <v>151</v>
      </c>
      <c r="Q10" s="9">
        <v>-3000</v>
      </c>
      <c r="R10" s="9"/>
      <c r="S10" s="10">
        <f t="shared" si="1"/>
        <v>0</v>
      </c>
      <c r="T10" s="32">
        <f t="shared" si="7"/>
        <v>49100</v>
      </c>
      <c r="U10" s="22">
        <f t="shared" si="8"/>
        <v>-5</v>
      </c>
      <c r="V10" s="23">
        <f t="shared" si="2"/>
        <v>-9</v>
      </c>
      <c r="W10" s="24">
        <f t="shared" si="3"/>
        <v>14</v>
      </c>
      <c r="Y10" s="8"/>
      <c r="Z10" s="46"/>
      <c r="AA10" s="38"/>
      <c r="AB10" s="38">
        <v>1</v>
      </c>
      <c r="AC10" s="38">
        <v>5</v>
      </c>
      <c r="AD10" s="42" t="s">
        <v>145</v>
      </c>
      <c r="AE10" s="52" t="s">
        <v>87</v>
      </c>
      <c r="AF10" s="53" t="s">
        <v>87</v>
      </c>
      <c r="AG10" s="53" t="s">
        <v>92</v>
      </c>
      <c r="AH10" s="53" t="s">
        <v>85</v>
      </c>
      <c r="AI10" s="53" t="s">
        <v>85</v>
      </c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158</v>
      </c>
      <c r="F11" s="8" t="s">
        <v>151</v>
      </c>
      <c r="G11" s="9">
        <v>-9000</v>
      </c>
      <c r="H11" s="9"/>
      <c r="I11" s="10">
        <f t="shared" si="4"/>
        <v>0</v>
      </c>
      <c r="J11" s="32">
        <f t="shared" si="5"/>
        <v>21100</v>
      </c>
      <c r="K11" s="8" t="s">
        <v>151</v>
      </c>
      <c r="L11" s="9">
        <v>-9000</v>
      </c>
      <c r="M11" s="9"/>
      <c r="N11" s="10">
        <f t="shared" si="0"/>
        <v>0</v>
      </c>
      <c r="O11" s="32">
        <f t="shared" si="6"/>
        <v>16800</v>
      </c>
      <c r="P11" s="8" t="s">
        <v>150</v>
      </c>
      <c r="Q11" s="9">
        <v>18000</v>
      </c>
      <c r="R11" s="9"/>
      <c r="S11" s="10">
        <f t="shared" si="1"/>
        <v>0</v>
      </c>
      <c r="T11" s="32">
        <f t="shared" si="7"/>
        <v>67100</v>
      </c>
      <c r="U11" s="22">
        <f t="shared" si="8"/>
        <v>-14</v>
      </c>
      <c r="V11" s="23">
        <f t="shared" si="2"/>
        <v>-18</v>
      </c>
      <c r="W11" s="24">
        <f t="shared" si="3"/>
        <v>32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>
        <v>7</v>
      </c>
      <c r="BT11" s="42" t="s">
        <v>145</v>
      </c>
      <c r="BU11" s="52" t="s">
        <v>147</v>
      </c>
      <c r="BV11" s="53" t="s">
        <v>88</v>
      </c>
      <c r="BW11" s="53" t="s">
        <v>87</v>
      </c>
      <c r="BX11" s="53" t="s">
        <v>87</v>
      </c>
      <c r="BY11" s="53" t="s">
        <v>92</v>
      </c>
      <c r="BZ11" s="53" t="s">
        <v>92</v>
      </c>
      <c r="CA11" s="53" t="s">
        <v>86</v>
      </c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EC7A0-15BD-40A7-B3EC-845FEF2ECCC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140</v>
      </c>
      <c r="L1" s="72"/>
      <c r="M1" s="72"/>
      <c r="N1" s="73"/>
      <c r="O1" s="74"/>
      <c r="P1" s="71" t="s">
        <v>141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りくと</v>
      </c>
      <c r="W2" s="18" t="str">
        <f>$P$1</f>
        <v>いっしー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142</v>
      </c>
      <c r="F4" s="8" t="s">
        <v>143</v>
      </c>
      <c r="G4" s="9">
        <v>16000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51000</v>
      </c>
      <c r="K4" s="8" t="s">
        <v>144</v>
      </c>
      <c r="L4" s="9">
        <v>-16000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19000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16</v>
      </c>
      <c r="V4" s="23">
        <f t="shared" ref="V4:V30" si="2">IF($O4="","",ROUND(($O4-$O$3)/1000,0))</f>
        <v>-16</v>
      </c>
      <c r="W4" s="24">
        <f t="shared" ref="W4:W30" si="3">IF($T4="","",ROUND(($T4-$T$3)/1000,0))</f>
        <v>0</v>
      </c>
      <c r="Y4" s="8"/>
      <c r="Z4" s="46"/>
      <c r="AA4" s="38"/>
      <c r="AB4" s="38">
        <v>1</v>
      </c>
      <c r="AC4" s="38">
        <v>9</v>
      </c>
      <c r="AD4" s="42" t="s">
        <v>145</v>
      </c>
      <c r="AE4" s="52" t="s">
        <v>92</v>
      </c>
      <c r="AF4" s="53" t="s">
        <v>92</v>
      </c>
      <c r="AG4" s="53" t="s">
        <v>87</v>
      </c>
      <c r="AH4" s="53" t="s">
        <v>87</v>
      </c>
      <c r="AI4" s="53" t="s">
        <v>110</v>
      </c>
      <c r="AJ4" s="53" t="s">
        <v>85</v>
      </c>
      <c r="AK4" s="53" t="s">
        <v>85</v>
      </c>
      <c r="AL4" s="53" t="s">
        <v>85</v>
      </c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146</v>
      </c>
      <c r="F5" s="8" t="s">
        <v>143</v>
      </c>
      <c r="G5" s="9">
        <v>12000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63000</v>
      </c>
      <c r="K5" s="8" t="s">
        <v>144</v>
      </c>
      <c r="L5" s="9">
        <v>-12000</v>
      </c>
      <c r="M5" s="9"/>
      <c r="N5" s="10">
        <f t="shared" si="0"/>
        <v>0</v>
      </c>
      <c r="O5" s="32">
        <f t="shared" ref="O5:O30" si="6">IF(COUNTA($F5,$K5,$P5)&gt;0,O4+SUM(L5:N5),"")</f>
        <v>7000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35000</v>
      </c>
      <c r="U5" s="22">
        <f t="shared" ref="U5:U30" si="8">IF($J5="","",ROUND(($J5-$J$3)/1000,0))</f>
        <v>28</v>
      </c>
      <c r="V5" s="23">
        <f t="shared" si="2"/>
        <v>-28</v>
      </c>
      <c r="W5" s="24">
        <f t="shared" si="3"/>
        <v>0</v>
      </c>
      <c r="Y5" s="8"/>
      <c r="Z5" s="46"/>
      <c r="AA5" s="38">
        <v>1</v>
      </c>
      <c r="AB5" s="38"/>
      <c r="AC5" s="38">
        <v>4</v>
      </c>
      <c r="AD5" s="42">
        <v>40</v>
      </c>
      <c r="AE5" s="52" t="s">
        <v>147</v>
      </c>
      <c r="AF5" s="53" t="s">
        <v>92</v>
      </c>
      <c r="AG5" s="53" t="s">
        <v>87</v>
      </c>
      <c r="AH5" s="53" t="s">
        <v>85</v>
      </c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139</v>
      </c>
      <c r="F6" s="8"/>
      <c r="G6" s="9"/>
      <c r="H6" s="9"/>
      <c r="I6" s="10" t="str">
        <f t="shared" si="4"/>
        <v/>
      </c>
      <c r="J6" s="32">
        <f t="shared" si="5"/>
        <v>63000</v>
      </c>
      <c r="K6" s="8" t="s">
        <v>144</v>
      </c>
      <c r="L6" s="9">
        <v>-3900</v>
      </c>
      <c r="M6" s="9"/>
      <c r="N6" s="10">
        <f t="shared" si="0"/>
        <v>-1000</v>
      </c>
      <c r="O6" s="32">
        <f t="shared" si="6"/>
        <v>2100</v>
      </c>
      <c r="P6" s="8" t="s">
        <v>143</v>
      </c>
      <c r="Q6" s="9">
        <v>3900</v>
      </c>
      <c r="R6" s="9"/>
      <c r="S6" s="10">
        <f t="shared" si="1"/>
        <v>1000</v>
      </c>
      <c r="T6" s="32">
        <f t="shared" si="7"/>
        <v>39900</v>
      </c>
      <c r="U6" s="22">
        <f t="shared" si="8"/>
        <v>28</v>
      </c>
      <c r="V6" s="23">
        <f t="shared" si="2"/>
        <v>-33</v>
      </c>
      <c r="W6" s="24">
        <f t="shared" si="3"/>
        <v>5</v>
      </c>
      <c r="Y6" s="8"/>
      <c r="Z6" s="46"/>
      <c r="AA6" s="38"/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>
        <v>3</v>
      </c>
      <c r="BT6" s="42">
        <v>30</v>
      </c>
      <c r="BU6" s="52" t="s">
        <v>147</v>
      </c>
      <c r="BV6" s="53" t="s">
        <v>148</v>
      </c>
      <c r="BW6" s="53" t="s">
        <v>89</v>
      </c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149</v>
      </c>
      <c r="F7" s="8" t="s">
        <v>150</v>
      </c>
      <c r="G7" s="9">
        <v>12000</v>
      </c>
      <c r="H7" s="9"/>
      <c r="I7" s="10">
        <f t="shared" si="4"/>
        <v>0</v>
      </c>
      <c r="J7" s="32">
        <f t="shared" si="5"/>
        <v>75000</v>
      </c>
      <c r="K7" s="8" t="s">
        <v>151</v>
      </c>
      <c r="L7" s="9">
        <v>-7500</v>
      </c>
      <c r="M7" s="9"/>
      <c r="N7" s="10">
        <f t="shared" si="0"/>
        <v>0</v>
      </c>
      <c r="O7" s="32">
        <f t="shared" si="6"/>
        <v>-5400</v>
      </c>
      <c r="P7" s="8" t="s">
        <v>151</v>
      </c>
      <c r="Q7" s="9">
        <v>-4500</v>
      </c>
      <c r="R7" s="9"/>
      <c r="S7" s="10">
        <f t="shared" si="1"/>
        <v>0</v>
      </c>
      <c r="T7" s="32">
        <f t="shared" si="7"/>
        <v>35400</v>
      </c>
      <c r="U7" s="22">
        <f t="shared" si="8"/>
        <v>40</v>
      </c>
      <c r="V7" s="23">
        <f t="shared" si="2"/>
        <v>-40</v>
      </c>
      <c r="W7" s="24">
        <f t="shared" si="3"/>
        <v>0</v>
      </c>
      <c r="Y7" s="8"/>
      <c r="Z7" s="46"/>
      <c r="AA7" s="38">
        <v>1</v>
      </c>
      <c r="AB7" s="38"/>
      <c r="AC7" s="38">
        <v>6</v>
      </c>
      <c r="AD7" s="42" t="s">
        <v>145</v>
      </c>
      <c r="AE7" s="52" t="s">
        <v>147</v>
      </c>
      <c r="AF7" s="53" t="s">
        <v>88</v>
      </c>
      <c r="AG7" s="53" t="s">
        <v>89</v>
      </c>
      <c r="AH7" s="53" t="s">
        <v>87</v>
      </c>
      <c r="AI7" s="53" t="s">
        <v>86</v>
      </c>
      <c r="AJ7" s="53" t="s">
        <v>86</v>
      </c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/>
      </c>
      <c r="B8" s="29" t="str">
        <f t="shared" si="10"/>
        <v/>
      </c>
      <c r="C8" s="29" t="str">
        <f t="shared" si="11"/>
        <v/>
      </c>
      <c r="D8" s="29" t="str">
        <f t="shared" si="12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0"/>
        <v/>
      </c>
      <c r="O8" s="32" t="str">
        <f t="shared" si="6"/>
        <v/>
      </c>
      <c r="P8" s="8"/>
      <c r="Q8" s="9"/>
      <c r="R8" s="9"/>
      <c r="S8" s="10" t="str">
        <f t="shared" si="1"/>
        <v/>
      </c>
      <c r="T8" s="32" t="str">
        <f t="shared" si="7"/>
        <v/>
      </c>
      <c r="U8" s="22" t="str">
        <f t="shared" si="8"/>
        <v/>
      </c>
      <c r="V8" s="23" t="str">
        <f t="shared" si="2"/>
        <v/>
      </c>
      <c r="W8" s="24" t="str">
        <f t="shared" si="3"/>
        <v/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0CF10BB5-93B7-414A-B696-7419BE04DA8B}">
      <formula1>"ロン,ツモ,放銃,ツモ支払,流局,チョンボ"</formula1>
    </dataValidation>
    <dataValidation type="list" allowBlank="1" showInputMessage="1" showErrorMessage="1" sqref="E4:E30" xr:uid="{9F3CB3AA-FB8D-49A7-924E-E2361EB5828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23FB3-5A5B-4CEF-864C-5ED2F829B216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152</v>
      </c>
      <c r="L1" s="72"/>
      <c r="M1" s="72"/>
      <c r="N1" s="73"/>
      <c r="O1" s="74"/>
      <c r="P1" s="71" t="s">
        <v>140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たかの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146</v>
      </c>
      <c r="F4" s="8" t="s">
        <v>144</v>
      </c>
      <c r="G4" s="9">
        <v>-8000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27000</v>
      </c>
      <c r="K4" s="8" t="s">
        <v>143</v>
      </c>
      <c r="L4" s="9">
        <v>8000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43000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-8</v>
      </c>
      <c r="V4" s="23">
        <f t="shared" ref="V4:V30" si="2">IF($O4="","",ROUND(($O4-$O$3)/1000,0))</f>
        <v>8</v>
      </c>
      <c r="W4" s="24">
        <f t="shared" ref="W4:W30" si="3">IF($T4="","",ROUND(($T4-$T$3)/1000,0))</f>
        <v>0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>
        <v>1</v>
      </c>
      <c r="AX4" s="38">
        <v>4</v>
      </c>
      <c r="AY4" s="42">
        <v>30</v>
      </c>
      <c r="AZ4" s="52" t="s">
        <v>92</v>
      </c>
      <c r="BA4" s="53" t="s">
        <v>87</v>
      </c>
      <c r="BB4" s="53" t="s">
        <v>85</v>
      </c>
      <c r="BC4" s="53" t="s">
        <v>85</v>
      </c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 t="s">
        <v>150</v>
      </c>
      <c r="G5" s="9">
        <v>12000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39000</v>
      </c>
      <c r="K5" s="8" t="s">
        <v>151</v>
      </c>
      <c r="L5" s="9">
        <v>-7500</v>
      </c>
      <c r="M5" s="9"/>
      <c r="N5" s="10">
        <f t="shared" si="0"/>
        <v>0</v>
      </c>
      <c r="O5" s="32">
        <f t="shared" ref="O5:O30" si="6">IF(COUNTA($F5,$K5,$P5)&gt;0,O4+SUM(L5:N5),"")</f>
        <v>35500</v>
      </c>
      <c r="P5" s="8" t="s">
        <v>151</v>
      </c>
      <c r="Q5" s="9">
        <v>-4500</v>
      </c>
      <c r="R5" s="9"/>
      <c r="S5" s="10">
        <f t="shared" si="1"/>
        <v>0</v>
      </c>
      <c r="T5" s="32">
        <f t="shared" ref="T5:T30" si="7">IF(COUNTA($F5,$K5,$P5)&gt;0,T4+SUM(Q5:S5),"")</f>
        <v>30500</v>
      </c>
      <c r="U5" s="22">
        <f t="shared" ref="U5:U30" si="8">IF($J5="","",ROUND(($J5-$J$3)/1000,0))</f>
        <v>4</v>
      </c>
      <c r="V5" s="23">
        <f t="shared" si="2"/>
        <v>1</v>
      </c>
      <c r="W5" s="24">
        <f t="shared" si="3"/>
        <v>-5</v>
      </c>
      <c r="Y5" s="8"/>
      <c r="Z5" s="46"/>
      <c r="AA5" s="38">
        <v>1</v>
      </c>
      <c r="AB5" s="38"/>
      <c r="AC5" s="38">
        <v>7</v>
      </c>
      <c r="AD5" s="42" t="s">
        <v>145</v>
      </c>
      <c r="AE5" s="52" t="s">
        <v>147</v>
      </c>
      <c r="AF5" s="53" t="s">
        <v>88</v>
      </c>
      <c r="AG5" s="53" t="s">
        <v>87</v>
      </c>
      <c r="AH5" s="53" t="s">
        <v>85</v>
      </c>
      <c r="AI5" s="53" t="s">
        <v>85</v>
      </c>
      <c r="AJ5" s="53" t="s">
        <v>85</v>
      </c>
      <c r="AK5" s="53" t="s">
        <v>89</v>
      </c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149</v>
      </c>
      <c r="F6" s="8" t="s">
        <v>143</v>
      </c>
      <c r="G6" s="9">
        <v>3900</v>
      </c>
      <c r="H6" s="9"/>
      <c r="I6" s="10">
        <f t="shared" si="4"/>
        <v>0</v>
      </c>
      <c r="J6" s="32">
        <f t="shared" si="5"/>
        <v>42900</v>
      </c>
      <c r="K6" s="8" t="s">
        <v>144</v>
      </c>
      <c r="L6" s="9">
        <v>-3900</v>
      </c>
      <c r="M6" s="9"/>
      <c r="N6" s="10">
        <f t="shared" si="0"/>
        <v>0</v>
      </c>
      <c r="O6" s="32">
        <f t="shared" si="6"/>
        <v>31600</v>
      </c>
      <c r="P6" s="8"/>
      <c r="Q6" s="9"/>
      <c r="R6" s="9"/>
      <c r="S6" s="10" t="str">
        <f t="shared" si="1"/>
        <v/>
      </c>
      <c r="T6" s="32">
        <f t="shared" si="7"/>
        <v>30500</v>
      </c>
      <c r="U6" s="22">
        <f t="shared" si="8"/>
        <v>8</v>
      </c>
      <c r="V6" s="23">
        <f t="shared" si="2"/>
        <v>-3</v>
      </c>
      <c r="W6" s="24">
        <f t="shared" si="3"/>
        <v>-5</v>
      </c>
      <c r="Y6" s="8"/>
      <c r="Z6" s="46"/>
      <c r="AA6" s="38">
        <v>1</v>
      </c>
      <c r="AB6" s="38"/>
      <c r="AC6" s="38">
        <v>3</v>
      </c>
      <c r="AD6" s="42">
        <v>30</v>
      </c>
      <c r="AE6" s="52" t="s">
        <v>147</v>
      </c>
      <c r="AF6" s="53" t="s">
        <v>89</v>
      </c>
      <c r="AG6" s="53" t="s">
        <v>87</v>
      </c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146</v>
      </c>
      <c r="F7" s="8" t="s">
        <v>151</v>
      </c>
      <c r="G7" s="9">
        <v>-2500</v>
      </c>
      <c r="H7" s="9">
        <v>-1000</v>
      </c>
      <c r="I7" s="10">
        <f t="shared" si="4"/>
        <v>0</v>
      </c>
      <c r="J7" s="32">
        <f t="shared" si="5"/>
        <v>39400</v>
      </c>
      <c r="K7" s="8" t="s">
        <v>151</v>
      </c>
      <c r="L7" s="9">
        <v>-1500</v>
      </c>
      <c r="M7" s="9"/>
      <c r="N7" s="10">
        <f t="shared" si="0"/>
        <v>0</v>
      </c>
      <c r="O7" s="32">
        <f t="shared" si="6"/>
        <v>30100</v>
      </c>
      <c r="P7" s="8" t="s">
        <v>150</v>
      </c>
      <c r="Q7" s="9">
        <v>4000</v>
      </c>
      <c r="R7" s="9">
        <v>1000</v>
      </c>
      <c r="S7" s="10">
        <f t="shared" si="1"/>
        <v>0</v>
      </c>
      <c r="T7" s="32">
        <f t="shared" si="7"/>
        <v>35500</v>
      </c>
      <c r="U7" s="22">
        <f t="shared" si="8"/>
        <v>4</v>
      </c>
      <c r="V7" s="23">
        <f t="shared" si="2"/>
        <v>-5</v>
      </c>
      <c r="W7" s="24">
        <f t="shared" si="3"/>
        <v>1</v>
      </c>
      <c r="Y7" s="8"/>
      <c r="Z7" s="46"/>
      <c r="AA7" s="38">
        <v>1</v>
      </c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>
        <v>3</v>
      </c>
      <c r="BT7" s="42">
        <v>30</v>
      </c>
      <c r="BU7" s="52" t="s">
        <v>147</v>
      </c>
      <c r="BV7" s="53" t="s">
        <v>88</v>
      </c>
      <c r="BW7" s="53" t="s">
        <v>87</v>
      </c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152</v>
      </c>
      <c r="F8" s="8" t="s">
        <v>151</v>
      </c>
      <c r="G8" s="9">
        <v>-3000</v>
      </c>
      <c r="H8" s="9"/>
      <c r="I8" s="10">
        <f t="shared" si="4"/>
        <v>0</v>
      </c>
      <c r="J8" s="32">
        <f t="shared" si="5"/>
        <v>36400</v>
      </c>
      <c r="K8" s="8" t="s">
        <v>151</v>
      </c>
      <c r="L8" s="9">
        <v>-5000</v>
      </c>
      <c r="M8" s="9"/>
      <c r="N8" s="10">
        <f t="shared" si="0"/>
        <v>0</v>
      </c>
      <c r="O8" s="32">
        <f t="shared" si="6"/>
        <v>25100</v>
      </c>
      <c r="P8" s="8" t="s">
        <v>150</v>
      </c>
      <c r="Q8" s="9">
        <v>8000</v>
      </c>
      <c r="R8" s="9"/>
      <c r="S8" s="10">
        <f t="shared" si="1"/>
        <v>0</v>
      </c>
      <c r="T8" s="32">
        <f t="shared" si="7"/>
        <v>43500</v>
      </c>
      <c r="U8" s="22">
        <f t="shared" si="8"/>
        <v>1</v>
      </c>
      <c r="V8" s="23">
        <f t="shared" si="2"/>
        <v>-10</v>
      </c>
      <c r="W8" s="24">
        <f t="shared" si="3"/>
        <v>9</v>
      </c>
      <c r="Y8" s="8"/>
      <c r="Z8" s="46"/>
      <c r="AA8" s="38"/>
      <c r="AB8" s="38">
        <v>1</v>
      </c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>
        <v>1</v>
      </c>
      <c r="BR8" s="38"/>
      <c r="BS8" s="38">
        <v>5</v>
      </c>
      <c r="BT8" s="42" t="s">
        <v>145</v>
      </c>
      <c r="BU8" s="52" t="s">
        <v>147</v>
      </c>
      <c r="BV8" s="53" t="s">
        <v>88</v>
      </c>
      <c r="BW8" s="53" t="s">
        <v>102</v>
      </c>
      <c r="BX8" s="53" t="s">
        <v>87</v>
      </c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3</v>
      </c>
      <c r="C9" s="29">
        <f t="shared" si="11"/>
        <v>0</v>
      </c>
      <c r="D9" s="29">
        <f t="shared" si="12"/>
        <v>0</v>
      </c>
      <c r="E9" s="4" t="s">
        <v>149</v>
      </c>
      <c r="F9" s="8" t="s">
        <v>150</v>
      </c>
      <c r="G9" s="9">
        <v>2800</v>
      </c>
      <c r="H9" s="9">
        <v>1000</v>
      </c>
      <c r="I9" s="10">
        <f t="shared" si="4"/>
        <v>0</v>
      </c>
      <c r="J9" s="32">
        <f t="shared" si="5"/>
        <v>40200</v>
      </c>
      <c r="K9" s="8" t="s">
        <v>151</v>
      </c>
      <c r="L9" s="9">
        <v>-1100</v>
      </c>
      <c r="M9" s="9"/>
      <c r="N9" s="10">
        <f t="shared" si="0"/>
        <v>0</v>
      </c>
      <c r="O9" s="32">
        <f t="shared" si="6"/>
        <v>24000</v>
      </c>
      <c r="P9" s="8" t="s">
        <v>151</v>
      </c>
      <c r="Q9" s="9">
        <v>-1700</v>
      </c>
      <c r="R9" s="9">
        <v>-1000</v>
      </c>
      <c r="S9" s="10">
        <f t="shared" si="1"/>
        <v>0</v>
      </c>
      <c r="T9" s="32">
        <f t="shared" si="7"/>
        <v>40800</v>
      </c>
      <c r="U9" s="22">
        <f t="shared" si="8"/>
        <v>5</v>
      </c>
      <c r="V9" s="23">
        <f t="shared" si="2"/>
        <v>-11</v>
      </c>
      <c r="W9" s="24">
        <f t="shared" si="3"/>
        <v>6</v>
      </c>
      <c r="Y9" s="8"/>
      <c r="Z9" s="46"/>
      <c r="AA9" s="38"/>
      <c r="AB9" s="38"/>
      <c r="AC9" s="38">
        <v>3</v>
      </c>
      <c r="AD9" s="42">
        <v>20</v>
      </c>
      <c r="AE9" s="52" t="s">
        <v>85</v>
      </c>
      <c r="AF9" s="53" t="s">
        <v>147</v>
      </c>
      <c r="AG9" s="53" t="s">
        <v>89</v>
      </c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CB314647-3BE9-464B-AFC0-71044F679230}">
      <formula1>$U$2:$W$2</formula1>
    </dataValidation>
    <dataValidation type="list" showInputMessage="1" showErrorMessage="1" sqref="K4:K30 P4:P30 F4:F30" xr:uid="{F0551051-921B-4087-B3BA-6274322BF37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3C7A-B148-41C0-B1E9-74F56CBDA548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153</v>
      </c>
      <c r="L1" s="72"/>
      <c r="M1" s="72"/>
      <c r="N1" s="73"/>
      <c r="O1" s="74"/>
      <c r="P1" s="71" t="s">
        <v>140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ただ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146</v>
      </c>
      <c r="F4" s="8" t="s">
        <v>151</v>
      </c>
      <c r="G4" s="9">
        <v>-10000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25000</v>
      </c>
      <c r="K4" s="8" t="s">
        <v>151</v>
      </c>
      <c r="L4" s="9">
        <v>-6000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29000</v>
      </c>
      <c r="P4" s="8" t="s">
        <v>150</v>
      </c>
      <c r="Q4" s="9">
        <v>16000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51000</v>
      </c>
      <c r="U4" s="22">
        <f>IF($J4="","",ROUND(($J4-$J$3)/1000,0))</f>
        <v>-10</v>
      </c>
      <c r="V4" s="23">
        <f t="shared" ref="V4:V30" si="2">IF($O4="","",ROUND(($O4-$O$3)/1000,0))</f>
        <v>-6</v>
      </c>
      <c r="W4" s="24">
        <f t="shared" ref="W4:W30" si="3">IF($T4="","",ROUND(($T4-$T$3)/1000,0))</f>
        <v>16</v>
      </c>
      <c r="Y4" s="8"/>
      <c r="Z4" s="46"/>
      <c r="AA4" s="38"/>
      <c r="AB4" s="38">
        <v>1</v>
      </c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8</v>
      </c>
      <c r="BT4" s="42" t="s">
        <v>145</v>
      </c>
      <c r="BU4" s="52" t="s">
        <v>147</v>
      </c>
      <c r="BV4" s="53" t="s">
        <v>88</v>
      </c>
      <c r="BW4" s="53" t="s">
        <v>87</v>
      </c>
      <c r="BX4" s="53" t="s">
        <v>87</v>
      </c>
      <c r="BY4" s="53" t="s">
        <v>90</v>
      </c>
      <c r="BZ4" s="53" t="s">
        <v>109</v>
      </c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154</v>
      </c>
      <c r="F5" s="8" t="s">
        <v>151</v>
      </c>
      <c r="G5" s="9">
        <v>-12000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13000</v>
      </c>
      <c r="K5" s="8" t="s">
        <v>151</v>
      </c>
      <c r="L5" s="9">
        <v>-20000</v>
      </c>
      <c r="M5" s="9"/>
      <c r="N5" s="10">
        <f t="shared" si="0"/>
        <v>0</v>
      </c>
      <c r="O5" s="32">
        <f t="shared" ref="O5:O30" si="6">IF(COUNTA($F5,$K5,$P5)&gt;0,O4+SUM(L5:N5),"")</f>
        <v>9000</v>
      </c>
      <c r="P5" s="8" t="s">
        <v>150</v>
      </c>
      <c r="Q5" s="9">
        <v>32000</v>
      </c>
      <c r="R5" s="9"/>
      <c r="S5" s="10">
        <f t="shared" si="1"/>
        <v>0</v>
      </c>
      <c r="T5" s="32">
        <f t="shared" ref="T5:T30" si="7">IF(COUNTA($F5,$K5,$P5)&gt;0,T4+SUM(Q5:S5),"")</f>
        <v>83000</v>
      </c>
      <c r="U5" s="22">
        <f t="shared" ref="U5:U30" si="8">IF($J5="","",ROUND(($J5-$J$3)/1000,0))</f>
        <v>-22</v>
      </c>
      <c r="V5" s="23">
        <f t="shared" si="2"/>
        <v>-26</v>
      </c>
      <c r="W5" s="24">
        <f t="shared" si="3"/>
        <v>48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>
        <v>13</v>
      </c>
      <c r="BT5" s="42" t="s">
        <v>145</v>
      </c>
      <c r="BU5" s="52" t="s">
        <v>113</v>
      </c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149</v>
      </c>
      <c r="F6" s="8" t="s">
        <v>144</v>
      </c>
      <c r="G6" s="9">
        <v>-5200</v>
      </c>
      <c r="H6" s="9"/>
      <c r="I6" s="10">
        <f t="shared" si="4"/>
        <v>0</v>
      </c>
      <c r="J6" s="32">
        <f t="shared" si="5"/>
        <v>7800</v>
      </c>
      <c r="K6" s="8" t="s">
        <v>143</v>
      </c>
      <c r="L6" s="9">
        <v>5200</v>
      </c>
      <c r="M6" s="9"/>
      <c r="N6" s="10">
        <f t="shared" si="0"/>
        <v>0</v>
      </c>
      <c r="O6" s="32">
        <f t="shared" si="6"/>
        <v>14200</v>
      </c>
      <c r="P6" s="8"/>
      <c r="Q6" s="9"/>
      <c r="R6" s="9"/>
      <c r="S6" s="10" t="str">
        <f t="shared" si="1"/>
        <v/>
      </c>
      <c r="T6" s="32">
        <f t="shared" si="7"/>
        <v>83000</v>
      </c>
      <c r="U6" s="22">
        <f t="shared" si="8"/>
        <v>-27</v>
      </c>
      <c r="V6" s="23">
        <f t="shared" si="2"/>
        <v>-21</v>
      </c>
      <c r="W6" s="24">
        <f t="shared" si="3"/>
        <v>48</v>
      </c>
      <c r="Y6" s="8"/>
      <c r="Z6" s="46"/>
      <c r="AA6" s="38"/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>
        <v>3</v>
      </c>
      <c r="AY6" s="42">
        <v>40</v>
      </c>
      <c r="AZ6" s="52" t="s">
        <v>147</v>
      </c>
      <c r="BA6" s="53" t="s">
        <v>85</v>
      </c>
      <c r="BB6" s="53" t="s">
        <v>85</v>
      </c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139</v>
      </c>
      <c r="F7" s="8" t="s">
        <v>151</v>
      </c>
      <c r="G7" s="9">
        <v>-5000</v>
      </c>
      <c r="H7" s="9"/>
      <c r="I7" s="10">
        <f t="shared" si="4"/>
        <v>0</v>
      </c>
      <c r="J7" s="32">
        <f t="shared" si="5"/>
        <v>2800</v>
      </c>
      <c r="K7" s="8" t="s">
        <v>151</v>
      </c>
      <c r="L7" s="9">
        <v>-3000</v>
      </c>
      <c r="M7" s="9"/>
      <c r="N7" s="10">
        <f t="shared" si="0"/>
        <v>0</v>
      </c>
      <c r="O7" s="32">
        <f t="shared" si="6"/>
        <v>11200</v>
      </c>
      <c r="P7" s="8" t="s">
        <v>150</v>
      </c>
      <c r="Q7" s="9">
        <v>8000</v>
      </c>
      <c r="R7" s="9"/>
      <c r="S7" s="10">
        <f t="shared" si="1"/>
        <v>0</v>
      </c>
      <c r="T7" s="32">
        <f t="shared" si="7"/>
        <v>91000</v>
      </c>
      <c r="U7" s="22">
        <f t="shared" si="8"/>
        <v>-32</v>
      </c>
      <c r="V7" s="23">
        <f t="shared" si="2"/>
        <v>-24</v>
      </c>
      <c r="W7" s="24">
        <f t="shared" si="3"/>
        <v>56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>
        <v>4</v>
      </c>
      <c r="BT7" s="42">
        <v>30</v>
      </c>
      <c r="BU7" s="52" t="s">
        <v>147</v>
      </c>
      <c r="BV7" s="53" t="s">
        <v>88</v>
      </c>
      <c r="BW7" s="53" t="s">
        <v>92</v>
      </c>
      <c r="BX7" s="53" t="s">
        <v>85</v>
      </c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154</v>
      </c>
      <c r="F8" s="8" t="s">
        <v>155</v>
      </c>
      <c r="G8" s="9">
        <v>-1500</v>
      </c>
      <c r="H8" s="9"/>
      <c r="I8" s="10" t="str">
        <f t="shared" si="4"/>
        <v/>
      </c>
      <c r="J8" s="32">
        <f t="shared" si="5"/>
        <v>1300</v>
      </c>
      <c r="K8" s="8" t="s">
        <v>155</v>
      </c>
      <c r="L8" s="9">
        <v>3000</v>
      </c>
      <c r="M8" s="9">
        <v>-1000</v>
      </c>
      <c r="N8" s="10" t="str">
        <f t="shared" si="0"/>
        <v/>
      </c>
      <c r="O8" s="32">
        <f t="shared" si="6"/>
        <v>13200</v>
      </c>
      <c r="P8" s="8" t="s">
        <v>155</v>
      </c>
      <c r="Q8" s="9">
        <v>-1500</v>
      </c>
      <c r="R8" s="9"/>
      <c r="S8" s="10" t="str">
        <f t="shared" si="1"/>
        <v/>
      </c>
      <c r="T8" s="32">
        <f t="shared" si="7"/>
        <v>89500</v>
      </c>
      <c r="U8" s="22">
        <f t="shared" si="8"/>
        <v>-34</v>
      </c>
      <c r="V8" s="23">
        <f t="shared" si="2"/>
        <v>-22</v>
      </c>
      <c r="W8" s="24">
        <f t="shared" si="3"/>
        <v>55</v>
      </c>
      <c r="Y8" s="8" t="s">
        <v>163</v>
      </c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 t="s">
        <v>164</v>
      </c>
      <c r="AU8" s="46"/>
      <c r="AV8" s="38">
        <v>1</v>
      </c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 t="s">
        <v>163</v>
      </c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1</v>
      </c>
      <c r="D9" s="29">
        <f t="shared" si="12"/>
        <v>1</v>
      </c>
      <c r="E9" s="4" t="s">
        <v>154</v>
      </c>
      <c r="F9" s="8" t="s">
        <v>143</v>
      </c>
      <c r="G9" s="9">
        <v>12000</v>
      </c>
      <c r="H9" s="9">
        <v>1000</v>
      </c>
      <c r="I9" s="10">
        <f t="shared" si="4"/>
        <v>1000</v>
      </c>
      <c r="J9" s="32">
        <f t="shared" si="5"/>
        <v>15300</v>
      </c>
      <c r="K9" s="8"/>
      <c r="L9" s="9"/>
      <c r="M9" s="9"/>
      <c r="N9" s="10" t="str">
        <f t="shared" si="0"/>
        <v/>
      </c>
      <c r="O9" s="32">
        <f t="shared" si="6"/>
        <v>13200</v>
      </c>
      <c r="P9" s="8" t="s">
        <v>144</v>
      </c>
      <c r="Q9" s="9">
        <v>-12000</v>
      </c>
      <c r="R9" s="9"/>
      <c r="S9" s="10">
        <f t="shared" si="1"/>
        <v>-1000</v>
      </c>
      <c r="T9" s="32">
        <f t="shared" si="7"/>
        <v>76500</v>
      </c>
      <c r="U9" s="22">
        <f t="shared" si="8"/>
        <v>-20</v>
      </c>
      <c r="V9" s="23">
        <f t="shared" si="2"/>
        <v>-22</v>
      </c>
      <c r="W9" s="24">
        <f t="shared" si="3"/>
        <v>42</v>
      </c>
      <c r="Y9" s="8"/>
      <c r="Z9" s="46"/>
      <c r="AA9" s="38">
        <v>1</v>
      </c>
      <c r="AB9" s="38"/>
      <c r="AC9" s="38">
        <v>7</v>
      </c>
      <c r="AD9" s="42" t="s">
        <v>145</v>
      </c>
      <c r="AE9" s="52" t="s">
        <v>97</v>
      </c>
      <c r="AF9" s="53" t="s">
        <v>92</v>
      </c>
      <c r="AG9" s="53" t="s">
        <v>92</v>
      </c>
      <c r="AH9" s="53" t="s">
        <v>87</v>
      </c>
      <c r="AI9" s="53" t="s">
        <v>87</v>
      </c>
      <c r="AJ9" s="53" t="s">
        <v>87</v>
      </c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149</v>
      </c>
      <c r="F10" s="8" t="s">
        <v>156</v>
      </c>
      <c r="G10" s="9">
        <v>6000</v>
      </c>
      <c r="H10" s="9"/>
      <c r="I10" s="10" t="str">
        <f t="shared" si="4"/>
        <v/>
      </c>
      <c r="J10" s="32">
        <f t="shared" si="5"/>
        <v>21300</v>
      </c>
      <c r="K10" s="8" t="s">
        <v>156</v>
      </c>
      <c r="L10" s="9">
        <v>6000</v>
      </c>
      <c r="M10" s="9"/>
      <c r="N10" s="10" t="str">
        <f t="shared" si="0"/>
        <v/>
      </c>
      <c r="O10" s="32">
        <f t="shared" si="6"/>
        <v>19200</v>
      </c>
      <c r="P10" s="8" t="s">
        <v>156</v>
      </c>
      <c r="Q10" s="9">
        <v>-12000</v>
      </c>
      <c r="R10" s="9"/>
      <c r="S10" s="10" t="str">
        <f t="shared" si="1"/>
        <v/>
      </c>
      <c r="T10" s="32">
        <f t="shared" si="7"/>
        <v>64500</v>
      </c>
      <c r="U10" s="22">
        <f t="shared" si="8"/>
        <v>-14</v>
      </c>
      <c r="V10" s="23">
        <f t="shared" si="2"/>
        <v>-16</v>
      </c>
      <c r="W10" s="24">
        <f t="shared" si="3"/>
        <v>30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>
        <v>1</v>
      </c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33735EE8-AAF2-4207-8C0D-3D479937B2AD}">
      <formula1>"ロン,ツモ,放銃,ツモ支払,流局,チョンボ"</formula1>
    </dataValidation>
    <dataValidation type="list" allowBlank="1" showInputMessage="1" showErrorMessage="1" sqref="E4:E30" xr:uid="{C701B131-A537-4BC9-A316-407339E7E1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FE1E9-2137-4985-AD93-EE801A5BF391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157</v>
      </c>
      <c r="G1" s="72"/>
      <c r="H1" s="72"/>
      <c r="I1" s="73"/>
      <c r="J1" s="74"/>
      <c r="K1" s="71" t="s">
        <v>152</v>
      </c>
      <c r="L1" s="72"/>
      <c r="M1" s="72"/>
      <c r="N1" s="73"/>
      <c r="O1" s="74"/>
      <c r="P1" s="71" t="s">
        <v>140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れんたろう</v>
      </c>
      <c r="V2" s="63" t="str">
        <f>$K$1</f>
        <v>たかの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158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144</v>
      </c>
      <c r="L4" s="9">
        <v>-12000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23000</v>
      </c>
      <c r="P4" s="8" t="s">
        <v>143</v>
      </c>
      <c r="Q4" s="9">
        <v>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47000</v>
      </c>
      <c r="U4" s="22">
        <f>IF($J4="","",ROUND(($J4-$J$3)/1000,0))</f>
        <v>0</v>
      </c>
      <c r="V4" s="23">
        <f t="shared" ref="V4:V30" si="2">IF($O4="","",ROUND(($O4-$O$3)/1000,0))</f>
        <v>-12</v>
      </c>
      <c r="W4" s="24">
        <f t="shared" ref="W4:W30" si="3">IF($T4="","",ROUND(($T4-$T$3)/1000,0))</f>
        <v>12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>
        <v>6</v>
      </c>
      <c r="BT4" s="42" t="s">
        <v>145</v>
      </c>
      <c r="BU4" s="52" t="s">
        <v>87</v>
      </c>
      <c r="BV4" s="53" t="s">
        <v>92</v>
      </c>
      <c r="BW4" s="53" t="s">
        <v>92</v>
      </c>
      <c r="BX4" s="53" t="s">
        <v>92</v>
      </c>
      <c r="BY4" s="53" t="s">
        <v>110</v>
      </c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159</v>
      </c>
      <c r="F5" s="8" t="s">
        <v>160</v>
      </c>
      <c r="G5" s="9">
        <v>3000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38000</v>
      </c>
      <c r="K5" s="8" t="s">
        <v>160</v>
      </c>
      <c r="L5" s="9">
        <v>-1500</v>
      </c>
      <c r="M5" s="9"/>
      <c r="N5" s="10" t="str">
        <f t="shared" si="0"/>
        <v/>
      </c>
      <c r="O5" s="32">
        <f t="shared" ref="O5:O30" si="6">IF(COUNTA($F5,$K5,$P5)&gt;0,O4+SUM(L5:N5),"")</f>
        <v>21500</v>
      </c>
      <c r="P5" s="8" t="s">
        <v>160</v>
      </c>
      <c r="Q5" s="9">
        <v>-1500</v>
      </c>
      <c r="R5" s="9"/>
      <c r="S5" s="10" t="str">
        <f t="shared" si="1"/>
        <v/>
      </c>
      <c r="T5" s="32">
        <f t="shared" ref="T5:T30" si="7">IF(COUNTA($F5,$K5,$P5)&gt;0,T4+SUM(Q5:S5),"")</f>
        <v>45500</v>
      </c>
      <c r="U5" s="22">
        <f t="shared" ref="U5:U30" si="8">IF($J5="","",ROUND(($J5-$J$3)/1000,0))</f>
        <v>3</v>
      </c>
      <c r="V5" s="23">
        <f t="shared" si="2"/>
        <v>-14</v>
      </c>
      <c r="W5" s="24">
        <f t="shared" si="3"/>
        <v>11</v>
      </c>
      <c r="Y5" s="8"/>
      <c r="Z5" s="46"/>
      <c r="AA5" s="38"/>
      <c r="AB5" s="38">
        <v>1</v>
      </c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149</v>
      </c>
      <c r="F6" s="8" t="s">
        <v>151</v>
      </c>
      <c r="G6" s="9">
        <v>-9000</v>
      </c>
      <c r="H6" s="9"/>
      <c r="I6" s="10">
        <f t="shared" si="4"/>
        <v>0</v>
      </c>
      <c r="J6" s="32">
        <f t="shared" si="5"/>
        <v>29000</v>
      </c>
      <c r="K6" s="8" t="s">
        <v>151</v>
      </c>
      <c r="L6" s="9">
        <v>-9000</v>
      </c>
      <c r="M6" s="9"/>
      <c r="N6" s="10">
        <f t="shared" si="0"/>
        <v>0</v>
      </c>
      <c r="O6" s="32">
        <f t="shared" si="6"/>
        <v>12500</v>
      </c>
      <c r="P6" s="8" t="s">
        <v>150</v>
      </c>
      <c r="Q6" s="9">
        <v>18000</v>
      </c>
      <c r="R6" s="9"/>
      <c r="S6" s="10">
        <f t="shared" si="1"/>
        <v>0</v>
      </c>
      <c r="T6" s="32">
        <f t="shared" si="7"/>
        <v>63500</v>
      </c>
      <c r="U6" s="22">
        <f t="shared" si="8"/>
        <v>-6</v>
      </c>
      <c r="V6" s="23">
        <f t="shared" si="2"/>
        <v>-23</v>
      </c>
      <c r="W6" s="24">
        <f t="shared" si="3"/>
        <v>29</v>
      </c>
      <c r="Y6" s="8"/>
      <c r="Z6" s="46"/>
      <c r="AA6" s="38"/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>
        <v>6</v>
      </c>
      <c r="BT6" s="42" t="s">
        <v>145</v>
      </c>
      <c r="BU6" s="52" t="s">
        <v>147</v>
      </c>
      <c r="BV6" s="53" t="s">
        <v>88</v>
      </c>
      <c r="BW6" s="53" t="s">
        <v>148</v>
      </c>
      <c r="BX6" s="53" t="s">
        <v>87</v>
      </c>
      <c r="BY6" s="53" t="s">
        <v>87</v>
      </c>
      <c r="BZ6" s="53" t="s">
        <v>90</v>
      </c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149</v>
      </c>
      <c r="F7" s="8" t="s">
        <v>160</v>
      </c>
      <c r="G7" s="9">
        <v>0</v>
      </c>
      <c r="H7" s="9">
        <v>-1000</v>
      </c>
      <c r="I7" s="10" t="str">
        <f t="shared" si="4"/>
        <v/>
      </c>
      <c r="J7" s="32">
        <f t="shared" si="5"/>
        <v>28000</v>
      </c>
      <c r="K7" s="8" t="s">
        <v>160</v>
      </c>
      <c r="L7" s="9">
        <v>0</v>
      </c>
      <c r="M7" s="9">
        <v>-1000</v>
      </c>
      <c r="N7" s="10" t="str">
        <f t="shared" si="0"/>
        <v/>
      </c>
      <c r="O7" s="32">
        <f t="shared" si="6"/>
        <v>11500</v>
      </c>
      <c r="P7" s="8" t="s">
        <v>160</v>
      </c>
      <c r="Q7" s="9">
        <v>0</v>
      </c>
      <c r="R7" s="9"/>
      <c r="S7" s="10" t="str">
        <f t="shared" si="1"/>
        <v/>
      </c>
      <c r="T7" s="32">
        <f t="shared" si="7"/>
        <v>63500</v>
      </c>
      <c r="U7" s="22">
        <f t="shared" si="8"/>
        <v>-7</v>
      </c>
      <c r="V7" s="23">
        <f t="shared" si="2"/>
        <v>-24</v>
      </c>
      <c r="W7" s="24">
        <f t="shared" si="3"/>
        <v>29</v>
      </c>
      <c r="Y7" s="8" t="s">
        <v>161</v>
      </c>
      <c r="Z7" s="46"/>
      <c r="AA7" s="38">
        <v>1</v>
      </c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 t="s">
        <v>161</v>
      </c>
      <c r="AU7" s="46"/>
      <c r="AV7" s="38">
        <v>1</v>
      </c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 t="s">
        <v>161</v>
      </c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2</v>
      </c>
      <c r="D8" s="29">
        <f t="shared" si="12"/>
        <v>2</v>
      </c>
      <c r="E8" s="4" t="s">
        <v>149</v>
      </c>
      <c r="F8" s="8" t="s">
        <v>144</v>
      </c>
      <c r="G8" s="9">
        <v>-12000</v>
      </c>
      <c r="H8" s="9"/>
      <c r="I8" s="10">
        <f t="shared" si="4"/>
        <v>-2000</v>
      </c>
      <c r="J8" s="32">
        <f t="shared" si="5"/>
        <v>14000</v>
      </c>
      <c r="K8" s="8"/>
      <c r="L8" s="9"/>
      <c r="M8" s="9"/>
      <c r="N8" s="10" t="str">
        <f t="shared" si="0"/>
        <v/>
      </c>
      <c r="O8" s="32">
        <f t="shared" si="6"/>
        <v>11500</v>
      </c>
      <c r="P8" s="8" t="s">
        <v>143</v>
      </c>
      <c r="Q8" s="9">
        <v>12000</v>
      </c>
      <c r="R8" s="9">
        <v>2000</v>
      </c>
      <c r="S8" s="10">
        <f t="shared" si="1"/>
        <v>2000</v>
      </c>
      <c r="T8" s="32">
        <f t="shared" si="7"/>
        <v>79500</v>
      </c>
      <c r="U8" s="22">
        <f t="shared" si="8"/>
        <v>-21</v>
      </c>
      <c r="V8" s="23">
        <f t="shared" si="2"/>
        <v>-24</v>
      </c>
      <c r="W8" s="24">
        <f t="shared" si="3"/>
        <v>45</v>
      </c>
      <c r="Y8" s="8"/>
      <c r="Z8" s="46"/>
      <c r="AA8" s="38"/>
      <c r="AB8" s="38">
        <v>1</v>
      </c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>
        <v>1</v>
      </c>
      <c r="BR8" s="38"/>
      <c r="BS8" s="38">
        <v>5</v>
      </c>
      <c r="BT8" s="42" t="s">
        <v>145</v>
      </c>
      <c r="BU8" s="52" t="s">
        <v>147</v>
      </c>
      <c r="BV8" s="53" t="s">
        <v>87</v>
      </c>
      <c r="BW8" s="53" t="s">
        <v>85</v>
      </c>
      <c r="BX8" s="53" t="s">
        <v>91</v>
      </c>
      <c r="BY8" s="53" t="s">
        <v>90</v>
      </c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東</v>
      </c>
      <c r="B9" s="29">
        <f t="shared" si="10"/>
        <v>3</v>
      </c>
      <c r="C9" s="29">
        <f t="shared" si="11"/>
        <v>3</v>
      </c>
      <c r="D9" s="29">
        <f t="shared" si="12"/>
        <v>0</v>
      </c>
      <c r="E9" s="4" t="s">
        <v>149</v>
      </c>
      <c r="F9" s="8" t="s">
        <v>151</v>
      </c>
      <c r="G9" s="9">
        <v>-3000</v>
      </c>
      <c r="H9" s="9">
        <v>-1000</v>
      </c>
      <c r="I9" s="10">
        <f t="shared" si="4"/>
        <v>-1500</v>
      </c>
      <c r="J9" s="32">
        <f t="shared" si="5"/>
        <v>8500</v>
      </c>
      <c r="K9" s="8" t="s">
        <v>150</v>
      </c>
      <c r="L9" s="9">
        <v>8000</v>
      </c>
      <c r="M9" s="9">
        <v>1000</v>
      </c>
      <c r="N9" s="10">
        <f t="shared" si="0"/>
        <v>3000</v>
      </c>
      <c r="O9" s="32">
        <f t="shared" si="6"/>
        <v>23500</v>
      </c>
      <c r="P9" s="8" t="s">
        <v>151</v>
      </c>
      <c r="Q9" s="9">
        <v>-5000</v>
      </c>
      <c r="R9" s="9"/>
      <c r="S9" s="10">
        <f t="shared" si="1"/>
        <v>-1500</v>
      </c>
      <c r="T9" s="32">
        <f t="shared" si="7"/>
        <v>73000</v>
      </c>
      <c r="U9" s="22">
        <f t="shared" si="8"/>
        <v>-27</v>
      </c>
      <c r="V9" s="23">
        <f t="shared" si="2"/>
        <v>-12</v>
      </c>
      <c r="W9" s="24">
        <f t="shared" si="3"/>
        <v>38</v>
      </c>
      <c r="Y9" s="8"/>
      <c r="Z9" s="46"/>
      <c r="AA9" s="38">
        <v>1</v>
      </c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>
        <v>4</v>
      </c>
      <c r="AY9" s="42">
        <v>30</v>
      </c>
      <c r="AZ9" s="52" t="s">
        <v>110</v>
      </c>
      <c r="BA9" s="53" t="s">
        <v>92</v>
      </c>
      <c r="BB9" s="53" t="s">
        <v>87</v>
      </c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0</v>
      </c>
      <c r="D10" s="29">
        <f t="shared" si="12"/>
        <v>0</v>
      </c>
      <c r="E10" s="4" t="s">
        <v>158</v>
      </c>
      <c r="F10" s="8" t="s">
        <v>150</v>
      </c>
      <c r="G10" s="9">
        <v>18000</v>
      </c>
      <c r="H10" s="9"/>
      <c r="I10" s="10">
        <f t="shared" si="4"/>
        <v>0</v>
      </c>
      <c r="J10" s="32">
        <f t="shared" si="5"/>
        <v>26500</v>
      </c>
      <c r="K10" s="8" t="s">
        <v>151</v>
      </c>
      <c r="L10" s="9">
        <v>-9000</v>
      </c>
      <c r="M10" s="9"/>
      <c r="N10" s="10">
        <f t="shared" si="0"/>
        <v>0</v>
      </c>
      <c r="O10" s="32">
        <f t="shared" si="6"/>
        <v>14500</v>
      </c>
      <c r="P10" s="8" t="s">
        <v>151</v>
      </c>
      <c r="Q10" s="9">
        <v>-9000</v>
      </c>
      <c r="R10" s="9"/>
      <c r="S10" s="10">
        <f t="shared" si="1"/>
        <v>0</v>
      </c>
      <c r="T10" s="32">
        <f t="shared" si="7"/>
        <v>64000</v>
      </c>
      <c r="U10" s="22">
        <f t="shared" si="8"/>
        <v>-9</v>
      </c>
      <c r="V10" s="23">
        <f t="shared" si="2"/>
        <v>-21</v>
      </c>
      <c r="W10" s="24">
        <f t="shared" si="3"/>
        <v>29</v>
      </c>
      <c r="Y10" s="8"/>
      <c r="Z10" s="46"/>
      <c r="AA10" s="38">
        <v>1</v>
      </c>
      <c r="AB10" s="38"/>
      <c r="AC10" s="38">
        <v>6</v>
      </c>
      <c r="AD10" s="42" t="s">
        <v>145</v>
      </c>
      <c r="AE10" s="52" t="s">
        <v>147</v>
      </c>
      <c r="AF10" s="53" t="s">
        <v>88</v>
      </c>
      <c r="AG10" s="53" t="s">
        <v>89</v>
      </c>
      <c r="AH10" s="53" t="s">
        <v>87</v>
      </c>
      <c r="AI10" s="53" t="s">
        <v>87</v>
      </c>
      <c r="AJ10" s="53" t="s">
        <v>87</v>
      </c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>
        <v>1</v>
      </c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1</v>
      </c>
      <c r="C11" s="29">
        <f t="shared" si="11"/>
        <v>1</v>
      </c>
      <c r="D11" s="29">
        <f t="shared" si="12"/>
        <v>0</v>
      </c>
      <c r="E11" s="4" t="s">
        <v>158</v>
      </c>
      <c r="F11" s="8" t="s">
        <v>151</v>
      </c>
      <c r="G11" s="9">
        <v>-4000</v>
      </c>
      <c r="H11" s="9"/>
      <c r="I11" s="10">
        <f t="shared" si="4"/>
        <v>-500</v>
      </c>
      <c r="J11" s="32">
        <f t="shared" si="5"/>
        <v>22000</v>
      </c>
      <c r="K11" s="8" t="s">
        <v>151</v>
      </c>
      <c r="L11" s="9">
        <v>-2400</v>
      </c>
      <c r="M11" s="9"/>
      <c r="N11" s="10">
        <f t="shared" si="0"/>
        <v>-500</v>
      </c>
      <c r="O11" s="32">
        <f t="shared" si="6"/>
        <v>11600</v>
      </c>
      <c r="P11" s="8" t="s">
        <v>150</v>
      </c>
      <c r="Q11" s="9">
        <v>6400</v>
      </c>
      <c r="R11" s="9"/>
      <c r="S11" s="10">
        <f t="shared" si="1"/>
        <v>1000</v>
      </c>
      <c r="T11" s="32">
        <f t="shared" si="7"/>
        <v>71400</v>
      </c>
      <c r="U11" s="22">
        <f t="shared" si="8"/>
        <v>-13</v>
      </c>
      <c r="V11" s="23">
        <f t="shared" si="2"/>
        <v>-23</v>
      </c>
      <c r="W11" s="24">
        <f t="shared" si="3"/>
        <v>36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>
        <v>4</v>
      </c>
      <c r="BT11" s="42">
        <v>25</v>
      </c>
      <c r="BU11" s="52" t="s">
        <v>88</v>
      </c>
      <c r="BV11" s="53" t="s">
        <v>87</v>
      </c>
      <c r="BW11" s="53" t="s">
        <v>107</v>
      </c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2</v>
      </c>
      <c r="C12" s="29">
        <f t="shared" si="11"/>
        <v>0</v>
      </c>
      <c r="D12" s="29">
        <f t="shared" si="12"/>
        <v>0</v>
      </c>
      <c r="E12" s="4" t="s">
        <v>159</v>
      </c>
      <c r="F12" s="8" t="s">
        <v>151</v>
      </c>
      <c r="G12" s="9">
        <v>-3000</v>
      </c>
      <c r="H12" s="9"/>
      <c r="I12" s="10">
        <f t="shared" si="4"/>
        <v>0</v>
      </c>
      <c r="J12" s="32">
        <f t="shared" si="5"/>
        <v>19000</v>
      </c>
      <c r="K12" s="8" t="s">
        <v>150</v>
      </c>
      <c r="L12" s="9">
        <v>6000</v>
      </c>
      <c r="M12" s="9"/>
      <c r="N12" s="10">
        <f t="shared" si="0"/>
        <v>0</v>
      </c>
      <c r="O12" s="32">
        <f t="shared" si="6"/>
        <v>17600</v>
      </c>
      <c r="P12" s="8" t="s">
        <v>151</v>
      </c>
      <c r="Q12" s="9">
        <v>-3000</v>
      </c>
      <c r="R12" s="9"/>
      <c r="S12" s="10">
        <f t="shared" si="1"/>
        <v>0</v>
      </c>
      <c r="T12" s="32">
        <f t="shared" si="7"/>
        <v>68400</v>
      </c>
      <c r="U12" s="22">
        <f t="shared" si="8"/>
        <v>-16</v>
      </c>
      <c r="V12" s="23">
        <f t="shared" si="2"/>
        <v>-17</v>
      </c>
      <c r="W12" s="24">
        <f t="shared" si="3"/>
        <v>33</v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>
        <v>1</v>
      </c>
      <c r="AX12" s="38">
        <v>3</v>
      </c>
      <c r="AY12" s="42">
        <v>30</v>
      </c>
      <c r="AZ12" s="52" t="s">
        <v>87</v>
      </c>
      <c r="BA12" s="53" t="s">
        <v>87</v>
      </c>
      <c r="BB12" s="53" t="s">
        <v>92</v>
      </c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2</v>
      </c>
      <c r="C13" s="29">
        <f t="shared" si="11"/>
        <v>1</v>
      </c>
      <c r="D13" s="29">
        <f t="shared" si="12"/>
        <v>0</v>
      </c>
      <c r="E13" s="4" t="s">
        <v>159</v>
      </c>
      <c r="F13" s="8"/>
      <c r="G13" s="9"/>
      <c r="H13" s="9"/>
      <c r="I13" s="10" t="str">
        <f t="shared" si="4"/>
        <v/>
      </c>
      <c r="J13" s="32">
        <f t="shared" si="5"/>
        <v>19000</v>
      </c>
      <c r="K13" s="8" t="s">
        <v>143</v>
      </c>
      <c r="L13" s="9">
        <v>7700</v>
      </c>
      <c r="M13" s="9"/>
      <c r="N13" s="10">
        <f t="shared" si="0"/>
        <v>1000</v>
      </c>
      <c r="O13" s="32">
        <f t="shared" si="6"/>
        <v>26300</v>
      </c>
      <c r="P13" s="8" t="s">
        <v>144</v>
      </c>
      <c r="Q13" s="9">
        <v>-7700</v>
      </c>
      <c r="R13" s="9"/>
      <c r="S13" s="10">
        <f t="shared" si="1"/>
        <v>-1000</v>
      </c>
      <c r="T13" s="32">
        <f t="shared" si="7"/>
        <v>59700</v>
      </c>
      <c r="U13" s="22">
        <f t="shared" si="8"/>
        <v>-16</v>
      </c>
      <c r="V13" s="23">
        <f t="shared" si="2"/>
        <v>-9</v>
      </c>
      <c r="W13" s="24">
        <f t="shared" si="3"/>
        <v>25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>
        <v>1</v>
      </c>
      <c r="AW13" s="38"/>
      <c r="AX13" s="38">
        <v>3</v>
      </c>
      <c r="AY13" s="42">
        <v>40</v>
      </c>
      <c r="AZ13" s="52" t="s">
        <v>92</v>
      </c>
      <c r="BA13" s="53" t="s">
        <v>147</v>
      </c>
      <c r="BB13" s="53" t="s">
        <v>148</v>
      </c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2</v>
      </c>
      <c r="C14" s="29">
        <f t="shared" si="11"/>
        <v>2</v>
      </c>
      <c r="D14" s="29">
        <f t="shared" si="12"/>
        <v>0</v>
      </c>
      <c r="E14" s="4" t="s">
        <v>159</v>
      </c>
      <c r="F14" s="8"/>
      <c r="G14" s="9"/>
      <c r="H14" s="9"/>
      <c r="I14" s="10" t="str">
        <f t="shared" si="4"/>
        <v/>
      </c>
      <c r="J14" s="32">
        <f t="shared" si="5"/>
        <v>19000</v>
      </c>
      <c r="K14" s="8" t="s">
        <v>144</v>
      </c>
      <c r="L14" s="9">
        <v>-5200</v>
      </c>
      <c r="M14" s="9"/>
      <c r="N14" s="10">
        <f t="shared" si="0"/>
        <v>-2000</v>
      </c>
      <c r="O14" s="32">
        <f t="shared" si="6"/>
        <v>19100</v>
      </c>
      <c r="P14" s="8" t="s">
        <v>143</v>
      </c>
      <c r="Q14" s="9">
        <v>5200</v>
      </c>
      <c r="R14" s="9"/>
      <c r="S14" s="10">
        <f t="shared" si="1"/>
        <v>2000</v>
      </c>
      <c r="T14" s="32">
        <f t="shared" si="7"/>
        <v>66900</v>
      </c>
      <c r="U14" s="22">
        <f t="shared" si="8"/>
        <v>-16</v>
      </c>
      <c r="V14" s="23">
        <f t="shared" si="2"/>
        <v>-16</v>
      </c>
      <c r="W14" s="24">
        <f t="shared" si="3"/>
        <v>32</v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>
        <v>1</v>
      </c>
      <c r="BS14" s="38">
        <v>3</v>
      </c>
      <c r="BT14" s="42">
        <v>40</v>
      </c>
      <c r="BU14" s="52" t="s">
        <v>92</v>
      </c>
      <c r="BV14" s="53" t="s">
        <v>92</v>
      </c>
      <c r="BW14" s="53" t="s">
        <v>92</v>
      </c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3</v>
      </c>
      <c r="C15" s="29">
        <f t="shared" si="11"/>
        <v>0</v>
      </c>
      <c r="D15" s="29">
        <f t="shared" si="12"/>
        <v>0</v>
      </c>
      <c r="E15" s="4" t="s">
        <v>149</v>
      </c>
      <c r="F15" s="8" t="s">
        <v>151</v>
      </c>
      <c r="G15" s="9">
        <v>-6000</v>
      </c>
      <c r="H15" s="9">
        <v>-1000</v>
      </c>
      <c r="I15" s="10">
        <f t="shared" si="4"/>
        <v>0</v>
      </c>
      <c r="J15" s="32">
        <f t="shared" si="5"/>
        <v>12000</v>
      </c>
      <c r="K15" s="8" t="s">
        <v>151</v>
      </c>
      <c r="L15" s="9">
        <v>-6000</v>
      </c>
      <c r="M15" s="9"/>
      <c r="N15" s="10">
        <f t="shared" si="0"/>
        <v>0</v>
      </c>
      <c r="O15" s="32">
        <f t="shared" si="6"/>
        <v>13100</v>
      </c>
      <c r="P15" s="8" t="s">
        <v>150</v>
      </c>
      <c r="Q15" s="9">
        <v>12000</v>
      </c>
      <c r="R15" s="9">
        <v>1000</v>
      </c>
      <c r="S15" s="10">
        <f t="shared" si="1"/>
        <v>0</v>
      </c>
      <c r="T15" s="32">
        <f t="shared" si="7"/>
        <v>79900</v>
      </c>
      <c r="U15" s="22">
        <f t="shared" si="8"/>
        <v>-23</v>
      </c>
      <c r="V15" s="23">
        <f t="shared" si="2"/>
        <v>-22</v>
      </c>
      <c r="W15" s="24">
        <f t="shared" si="3"/>
        <v>45</v>
      </c>
      <c r="Y15" s="8"/>
      <c r="Z15" s="46"/>
      <c r="AA15" s="38">
        <v>1</v>
      </c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>
        <v>1</v>
      </c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>
        <v>4</v>
      </c>
      <c r="BT15" s="42">
        <v>30</v>
      </c>
      <c r="BU15" s="52" t="s">
        <v>88</v>
      </c>
      <c r="BV15" s="53" t="s">
        <v>90</v>
      </c>
      <c r="BW15" s="53" t="s">
        <v>87</v>
      </c>
      <c r="BX15" s="53" t="s">
        <v>85</v>
      </c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174BCE9D-3E4B-49EB-8F9C-0AF99E605A43}">
      <formula1>$U$2:$W$2</formula1>
    </dataValidation>
    <dataValidation type="list" showInputMessage="1" showErrorMessage="1" sqref="K4:K30 P4:P30 F4:F30" xr:uid="{9AD41F9D-7EAD-46DA-A453-B9186891A57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6CE3B-0812-4B3C-9F14-A0C44EF4D683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153</v>
      </c>
      <c r="L1" s="72"/>
      <c r="M1" s="72"/>
      <c r="N1" s="73"/>
      <c r="O1" s="74"/>
      <c r="P1" s="71" t="s">
        <v>140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9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8" t="str">
        <f>$P$1</f>
        <v>りくと</v>
      </c>
      <c r="Y2" s="64" t="s">
        <v>24</v>
      </c>
      <c r="Z2" s="65" t="s">
        <v>27</v>
      </c>
      <c r="AA2" s="66" t="s">
        <v>25</v>
      </c>
      <c r="AB2" s="66" t="s">
        <v>137</v>
      </c>
      <c r="AC2" s="66" t="s">
        <v>19</v>
      </c>
      <c r="AD2" s="67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24</v>
      </c>
      <c r="AU2" s="65" t="s">
        <v>27</v>
      </c>
      <c r="AV2" s="66" t="s">
        <v>25</v>
      </c>
      <c r="AW2" s="66" t="s">
        <v>138</v>
      </c>
      <c r="AX2" s="66" t="s">
        <v>19</v>
      </c>
      <c r="AY2" s="67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24</v>
      </c>
      <c r="BP2" s="65" t="s">
        <v>27</v>
      </c>
      <c r="BQ2" s="66" t="s">
        <v>25</v>
      </c>
      <c r="BR2" s="66" t="s">
        <v>138</v>
      </c>
      <c r="BS2" s="66" t="s">
        <v>19</v>
      </c>
      <c r="BT2" s="67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154</v>
      </c>
      <c r="F4" s="8" t="s">
        <v>151</v>
      </c>
      <c r="G4" s="9">
        <v>-4500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30500</v>
      </c>
      <c r="K4" s="8" t="s">
        <v>151</v>
      </c>
      <c r="L4" s="9">
        <v>-7500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27500</v>
      </c>
      <c r="P4" s="8" t="s">
        <v>150</v>
      </c>
      <c r="Q4" s="9">
        <v>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47000</v>
      </c>
      <c r="U4" s="22">
        <f>IF($J4="","",ROUND(($J4-$J$3)/1000,0))</f>
        <v>-5</v>
      </c>
      <c r="V4" s="23">
        <f t="shared" ref="V4:V30" si="2">IF($O4="","",ROUND(($O4-$O$3)/1000,0))</f>
        <v>-8</v>
      </c>
      <c r="W4" s="24">
        <f t="shared" ref="W4:W30" si="3">IF($T4="","",ROUND(($T4-$T$3)/1000,0))</f>
        <v>12</v>
      </c>
      <c r="Y4" s="8"/>
      <c r="Z4" s="46"/>
      <c r="AA4" s="38"/>
      <c r="AB4" s="38">
        <v>1</v>
      </c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6</v>
      </c>
      <c r="BT4" s="42" t="s">
        <v>145</v>
      </c>
      <c r="BU4" s="52" t="s">
        <v>147</v>
      </c>
      <c r="BV4" s="53" t="s">
        <v>88</v>
      </c>
      <c r="BW4" s="53" t="s">
        <v>89</v>
      </c>
      <c r="BX4" s="53" t="s">
        <v>85</v>
      </c>
      <c r="BY4" s="53" t="s">
        <v>85</v>
      </c>
      <c r="BZ4" s="53" t="s">
        <v>148</v>
      </c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149</v>
      </c>
      <c r="F5" s="8" t="s">
        <v>150</v>
      </c>
      <c r="G5" s="9">
        <v>12000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42500</v>
      </c>
      <c r="K5" s="8" t="s">
        <v>151</v>
      </c>
      <c r="L5" s="9">
        <v>-4500</v>
      </c>
      <c r="M5" s="9"/>
      <c r="N5" s="10">
        <f t="shared" si="0"/>
        <v>0</v>
      </c>
      <c r="O5" s="32">
        <f t="shared" ref="O5:O30" si="6">IF(COUNTA($F5,$K5,$P5)&gt;0,O4+SUM(L5:N5),"")</f>
        <v>23000</v>
      </c>
      <c r="P5" s="8" t="s">
        <v>151</v>
      </c>
      <c r="Q5" s="9">
        <v>-7500</v>
      </c>
      <c r="R5" s="9"/>
      <c r="S5" s="10">
        <f t="shared" si="1"/>
        <v>0</v>
      </c>
      <c r="T5" s="32">
        <f t="shared" ref="T5:T30" si="7">IF(COUNTA($F5,$K5,$P5)&gt;0,T4+SUM(Q5:S5),"")</f>
        <v>39500</v>
      </c>
      <c r="U5" s="22">
        <f t="shared" ref="U5:U30" si="8">IF($J5="","",ROUND(($J5-$J$3)/1000,0))</f>
        <v>8</v>
      </c>
      <c r="V5" s="23">
        <f t="shared" si="2"/>
        <v>-12</v>
      </c>
      <c r="W5" s="24">
        <f t="shared" si="3"/>
        <v>5</v>
      </c>
      <c r="Y5" s="8"/>
      <c r="Z5" s="46"/>
      <c r="AA5" s="38">
        <v>1</v>
      </c>
      <c r="AB5" s="38"/>
      <c r="AC5" s="38">
        <v>6</v>
      </c>
      <c r="AD5" s="42" t="s">
        <v>145</v>
      </c>
      <c r="AE5" s="52" t="s">
        <v>147</v>
      </c>
      <c r="AF5" s="53" t="s">
        <v>88</v>
      </c>
      <c r="AG5" s="53" t="s">
        <v>86</v>
      </c>
      <c r="AH5" s="53" t="s">
        <v>86</v>
      </c>
      <c r="AI5" s="53" t="s">
        <v>87</v>
      </c>
      <c r="AJ5" s="53" t="s">
        <v>87</v>
      </c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146</v>
      </c>
      <c r="F6" s="8" t="s">
        <v>143</v>
      </c>
      <c r="G6" s="9">
        <v>7700</v>
      </c>
      <c r="H6" s="9"/>
      <c r="I6" s="10">
        <f t="shared" si="4"/>
        <v>0</v>
      </c>
      <c r="J6" s="32">
        <f t="shared" si="5"/>
        <v>50200</v>
      </c>
      <c r="K6" s="8" t="s">
        <v>144</v>
      </c>
      <c r="L6" s="9">
        <v>-7700</v>
      </c>
      <c r="M6" s="9"/>
      <c r="N6" s="10">
        <f t="shared" si="0"/>
        <v>0</v>
      </c>
      <c r="O6" s="32">
        <f t="shared" si="6"/>
        <v>15300</v>
      </c>
      <c r="P6" s="8"/>
      <c r="Q6" s="9"/>
      <c r="R6" s="9"/>
      <c r="S6" s="10" t="str">
        <f t="shared" si="1"/>
        <v/>
      </c>
      <c r="T6" s="32">
        <f t="shared" si="7"/>
        <v>39500</v>
      </c>
      <c r="U6" s="22">
        <f t="shared" si="8"/>
        <v>15</v>
      </c>
      <c r="V6" s="23">
        <f t="shared" si="2"/>
        <v>-20</v>
      </c>
      <c r="W6" s="24">
        <f t="shared" si="3"/>
        <v>5</v>
      </c>
      <c r="Y6" s="8"/>
      <c r="Z6" s="46"/>
      <c r="AA6" s="38">
        <v>1</v>
      </c>
      <c r="AB6" s="38"/>
      <c r="AC6" s="38">
        <v>3</v>
      </c>
      <c r="AD6" s="42">
        <v>40</v>
      </c>
      <c r="AE6" s="52" t="s">
        <v>97</v>
      </c>
      <c r="AF6" s="53" t="s">
        <v>87</v>
      </c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146</v>
      </c>
      <c r="F7" s="8" t="s">
        <v>144</v>
      </c>
      <c r="G7" s="9">
        <v>-8000</v>
      </c>
      <c r="H7" s="9">
        <v>-1000</v>
      </c>
      <c r="I7" s="10">
        <f t="shared" si="4"/>
        <v>-1000</v>
      </c>
      <c r="J7" s="32">
        <f t="shared" si="5"/>
        <v>40200</v>
      </c>
      <c r="K7" s="8" t="s">
        <v>143</v>
      </c>
      <c r="L7" s="9">
        <v>8000</v>
      </c>
      <c r="M7" s="9">
        <v>2000</v>
      </c>
      <c r="N7" s="10">
        <f t="shared" si="0"/>
        <v>1000</v>
      </c>
      <c r="O7" s="32">
        <f t="shared" si="6"/>
        <v>26300</v>
      </c>
      <c r="P7" s="8"/>
      <c r="Q7" s="9"/>
      <c r="R7" s="9">
        <v>-1000</v>
      </c>
      <c r="S7" s="10" t="str">
        <f t="shared" si="1"/>
        <v/>
      </c>
      <c r="T7" s="32">
        <f t="shared" si="7"/>
        <v>38500</v>
      </c>
      <c r="U7" s="22">
        <f t="shared" si="8"/>
        <v>5</v>
      </c>
      <c r="V7" s="23">
        <f t="shared" si="2"/>
        <v>-9</v>
      </c>
      <c r="W7" s="24">
        <f t="shared" si="3"/>
        <v>4</v>
      </c>
      <c r="Y7" s="8"/>
      <c r="Z7" s="46"/>
      <c r="AA7" s="38">
        <v>1</v>
      </c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>
        <v>1</v>
      </c>
      <c r="AX7" s="38">
        <v>5</v>
      </c>
      <c r="AY7" s="42" t="s">
        <v>145</v>
      </c>
      <c r="AZ7" s="52" t="s">
        <v>92</v>
      </c>
      <c r="BA7" s="53" t="s">
        <v>92</v>
      </c>
      <c r="BB7" s="53" t="s">
        <v>85</v>
      </c>
      <c r="BC7" s="53" t="s">
        <v>85</v>
      </c>
      <c r="BD7" s="53" t="s">
        <v>85</v>
      </c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154</v>
      </c>
      <c r="F8" s="8" t="s">
        <v>143</v>
      </c>
      <c r="G8" s="9">
        <v>3900</v>
      </c>
      <c r="H8" s="9">
        <v>1000</v>
      </c>
      <c r="I8" s="10">
        <f t="shared" si="4"/>
        <v>0</v>
      </c>
      <c r="J8" s="32">
        <f t="shared" si="5"/>
        <v>45100</v>
      </c>
      <c r="K8" s="8"/>
      <c r="L8" s="9"/>
      <c r="M8" s="9"/>
      <c r="N8" s="10" t="str">
        <f t="shared" si="0"/>
        <v/>
      </c>
      <c r="O8" s="32">
        <f t="shared" si="6"/>
        <v>26300</v>
      </c>
      <c r="P8" s="8" t="s">
        <v>144</v>
      </c>
      <c r="Q8" s="9">
        <v>-3900</v>
      </c>
      <c r="R8" s="9">
        <v>-1000</v>
      </c>
      <c r="S8" s="10">
        <f t="shared" si="1"/>
        <v>0</v>
      </c>
      <c r="T8" s="32">
        <f t="shared" si="7"/>
        <v>33600</v>
      </c>
      <c r="U8" s="22">
        <f t="shared" si="8"/>
        <v>10</v>
      </c>
      <c r="V8" s="23">
        <f t="shared" si="2"/>
        <v>-9</v>
      </c>
      <c r="W8" s="24">
        <f t="shared" si="3"/>
        <v>-1</v>
      </c>
      <c r="Y8" s="8"/>
      <c r="Z8" s="46"/>
      <c r="AA8" s="38">
        <v>1</v>
      </c>
      <c r="AB8" s="38"/>
      <c r="AC8" s="38">
        <v>3</v>
      </c>
      <c r="AD8" s="42">
        <v>30</v>
      </c>
      <c r="AE8" s="52" t="s">
        <v>147</v>
      </c>
      <c r="AF8" s="53" t="s">
        <v>89</v>
      </c>
      <c r="AG8" s="53" t="s">
        <v>91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>
        <v>1</v>
      </c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149</v>
      </c>
      <c r="F9" s="8"/>
      <c r="G9" s="9"/>
      <c r="H9" s="9"/>
      <c r="I9" s="10" t="str">
        <f t="shared" si="4"/>
        <v/>
      </c>
      <c r="J9" s="32">
        <f t="shared" si="5"/>
        <v>45100</v>
      </c>
      <c r="K9" s="8" t="s">
        <v>143</v>
      </c>
      <c r="L9" s="9">
        <v>12000</v>
      </c>
      <c r="M9" s="9"/>
      <c r="N9" s="10">
        <f t="shared" si="0"/>
        <v>0</v>
      </c>
      <c r="O9" s="32">
        <f t="shared" si="6"/>
        <v>38300</v>
      </c>
      <c r="P9" s="8" t="s">
        <v>144</v>
      </c>
      <c r="Q9" s="9">
        <v>-12000</v>
      </c>
      <c r="R9" s="9"/>
      <c r="S9" s="10">
        <f t="shared" si="1"/>
        <v>0</v>
      </c>
      <c r="T9" s="32">
        <f t="shared" si="7"/>
        <v>21600</v>
      </c>
      <c r="U9" s="22">
        <f t="shared" si="8"/>
        <v>10</v>
      </c>
      <c r="V9" s="23">
        <f t="shared" si="2"/>
        <v>3</v>
      </c>
      <c r="W9" s="24">
        <f t="shared" si="3"/>
        <v>-13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>
        <v>1</v>
      </c>
      <c r="AW9" s="38"/>
      <c r="AX9" s="38">
        <v>6</v>
      </c>
      <c r="AY9" s="42" t="s">
        <v>145</v>
      </c>
      <c r="AZ9" s="52" t="s">
        <v>147</v>
      </c>
      <c r="BA9" s="53" t="s">
        <v>110</v>
      </c>
      <c r="BB9" s="53" t="s">
        <v>107</v>
      </c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146</v>
      </c>
      <c r="F10" s="8" t="s">
        <v>151</v>
      </c>
      <c r="G10" s="9">
        <v>-5000</v>
      </c>
      <c r="H10" s="9"/>
      <c r="I10" s="10">
        <f t="shared" si="4"/>
        <v>0</v>
      </c>
      <c r="J10" s="32">
        <f t="shared" si="5"/>
        <v>40100</v>
      </c>
      <c r="K10" s="8" t="s">
        <v>150</v>
      </c>
      <c r="L10" s="9">
        <v>8000</v>
      </c>
      <c r="M10" s="9"/>
      <c r="N10" s="10">
        <f t="shared" si="0"/>
        <v>0</v>
      </c>
      <c r="O10" s="32">
        <f t="shared" si="6"/>
        <v>46300</v>
      </c>
      <c r="P10" s="8" t="s">
        <v>151</v>
      </c>
      <c r="Q10" s="9">
        <v>-3000</v>
      </c>
      <c r="R10" s="9"/>
      <c r="S10" s="10">
        <f t="shared" si="1"/>
        <v>0</v>
      </c>
      <c r="T10" s="32">
        <f t="shared" si="7"/>
        <v>18600</v>
      </c>
      <c r="U10" s="22">
        <f t="shared" si="8"/>
        <v>5</v>
      </c>
      <c r="V10" s="23">
        <f t="shared" si="2"/>
        <v>11</v>
      </c>
      <c r="W10" s="24">
        <f t="shared" si="3"/>
        <v>-16</v>
      </c>
      <c r="Y10" s="8"/>
      <c r="Z10" s="46"/>
      <c r="AA10" s="38"/>
      <c r="AB10" s="38">
        <v>1</v>
      </c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>
        <v>1</v>
      </c>
      <c r="AW10" s="38"/>
      <c r="AX10" s="38">
        <v>5</v>
      </c>
      <c r="AY10" s="42" t="s">
        <v>145</v>
      </c>
      <c r="AZ10" s="52" t="s">
        <v>147</v>
      </c>
      <c r="BA10" s="53" t="s">
        <v>88</v>
      </c>
      <c r="BB10" s="53" t="s">
        <v>90</v>
      </c>
      <c r="BC10" s="53" t="s">
        <v>87</v>
      </c>
      <c r="BD10" s="53" t="s">
        <v>86</v>
      </c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>
        <v>1</v>
      </c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西</v>
      </c>
      <c r="B11" s="29">
        <f t="shared" si="10"/>
        <v>1</v>
      </c>
      <c r="C11" s="29">
        <f t="shared" si="11"/>
        <v>0</v>
      </c>
      <c r="D11" s="29">
        <f t="shared" si="12"/>
        <v>0</v>
      </c>
      <c r="E11" s="4" t="s">
        <v>154</v>
      </c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B4ECB48-DCD2-4705-ACD9-8ED4027E99A0}">
      <formula1>"ロン,ツモ,放銃,ツモ支払,流局,チョンボ"</formula1>
    </dataValidation>
    <dataValidation type="list" allowBlank="1" showInputMessage="1" showErrorMessage="1" sqref="E4:E30" xr:uid="{013DE97E-8686-4782-A2C0-808F10F8D1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CD1D-0BA3-4E6D-A1B4-C2E1895FE73E}">
  <sheetPr codeName="Sheet15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22</v>
      </c>
      <c r="E1" s="80" t="s">
        <v>3</v>
      </c>
      <c r="F1" s="71" t="s">
        <v>139</v>
      </c>
      <c r="G1" s="72"/>
      <c r="H1" s="72"/>
      <c r="I1" s="73"/>
      <c r="J1" s="74"/>
      <c r="K1" s="71" t="s">
        <v>152</v>
      </c>
      <c r="L1" s="72"/>
      <c r="M1" s="72"/>
      <c r="N1" s="73"/>
      <c r="O1" s="74"/>
      <c r="P1" s="71" t="s">
        <v>157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9</v>
      </c>
      <c r="H2" s="2" t="s">
        <v>23</v>
      </c>
      <c r="I2" s="69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9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9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8" t="str">
        <f>$P$1</f>
        <v>れんたろう</v>
      </c>
      <c r="Y2" s="64" t="s">
        <v>24</v>
      </c>
      <c r="Z2" s="65" t="s">
        <v>27</v>
      </c>
      <c r="AA2" s="66" t="s">
        <v>25</v>
      </c>
      <c r="AB2" s="66" t="s">
        <v>137</v>
      </c>
      <c r="AC2" s="66" t="s">
        <v>19</v>
      </c>
      <c r="AD2" s="67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24</v>
      </c>
      <c r="AU2" s="65" t="s">
        <v>27</v>
      </c>
      <c r="AV2" s="66" t="s">
        <v>25</v>
      </c>
      <c r="AW2" s="66" t="s">
        <v>138</v>
      </c>
      <c r="AX2" s="66" t="s">
        <v>19</v>
      </c>
      <c r="AY2" s="67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24</v>
      </c>
      <c r="BP2" s="65" t="s">
        <v>27</v>
      </c>
      <c r="BQ2" s="66" t="s">
        <v>25</v>
      </c>
      <c r="BR2" s="66" t="s">
        <v>138</v>
      </c>
      <c r="BS2" s="66" t="s">
        <v>19</v>
      </c>
      <c r="BT2" s="67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146</v>
      </c>
      <c r="F4" s="8" t="s">
        <v>155</v>
      </c>
      <c r="G4" s="9">
        <v>1500</v>
      </c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36500</v>
      </c>
      <c r="K4" s="8" t="s">
        <v>155</v>
      </c>
      <c r="L4" s="9">
        <v>-3000</v>
      </c>
      <c r="M4" s="9"/>
      <c r="N4" s="10" t="str">
        <f t="shared" ref="N4:N30" si="0">_xlfn.SWITCH(K4,"ロン",$C4*1000,"ツモ",$C4*1000,"放銃",$C4*-1000,"ツモ支払",$C4*-500,"")</f>
        <v/>
      </c>
      <c r="O4" s="32">
        <f>IF(COUNTA($F4,$K4,$P4)&gt;0,O3+SUM(L4:N4),"")</f>
        <v>32000</v>
      </c>
      <c r="P4" s="8" t="s">
        <v>155</v>
      </c>
      <c r="Q4" s="9">
        <v>1500</v>
      </c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36500</v>
      </c>
      <c r="U4" s="22">
        <f>IF($J4="","",ROUND(($J4-$J$3)/1000,0))</f>
        <v>2</v>
      </c>
      <c r="V4" s="23">
        <f t="shared" ref="V4:V30" si="2">IF($O4="","",ROUND(($O4-$O$3)/1000,0))</f>
        <v>-3</v>
      </c>
      <c r="W4" s="24">
        <f t="shared" ref="W4:W30" si="3">IF($T4="","",ROUND(($T4-$T$3)/1000,0))</f>
        <v>2</v>
      </c>
      <c r="Y4" s="8" t="s">
        <v>161</v>
      </c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 t="s">
        <v>162</v>
      </c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 t="s">
        <v>161</v>
      </c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146</v>
      </c>
      <c r="F5" s="8" t="s">
        <v>143</v>
      </c>
      <c r="G5" s="9">
        <v>5800</v>
      </c>
      <c r="H5" s="9">
        <v>1000</v>
      </c>
      <c r="I5" s="10">
        <f t="shared" ref="I5:I30" si="4">_xlfn.SWITCH(F5,"ロン",$C5*1000,"ツモ",$C5*1000,"放銃",$C5*-1000,"ツモ支払",$C5*-500,"")</f>
        <v>1000</v>
      </c>
      <c r="J5" s="32">
        <f t="shared" ref="J5:J30" si="5">IF(COUNTA($F5,$K5,$P5)&gt;0,J4+SUM(G5:I5),"")</f>
        <v>44300</v>
      </c>
      <c r="K5" s="8" t="s">
        <v>143</v>
      </c>
      <c r="L5" s="9">
        <v>8000</v>
      </c>
      <c r="M5" s="9"/>
      <c r="N5" s="10"/>
      <c r="O5" s="32">
        <f t="shared" ref="O5:O30" si="6">IF(COUNTA($F5,$K5,$P5)&gt;0,O4+SUM(L5:N5),"")</f>
        <v>40000</v>
      </c>
      <c r="P5" s="8" t="s">
        <v>144</v>
      </c>
      <c r="Q5" s="9">
        <v>-13800</v>
      </c>
      <c r="R5" s="9">
        <v>-1000</v>
      </c>
      <c r="S5" s="10">
        <f t="shared" si="1"/>
        <v>-1000</v>
      </c>
      <c r="T5" s="32">
        <f t="shared" ref="T5:T30" si="7">IF(COUNTA($F5,$K5,$P5)&gt;0,T4+SUM(Q5:S5),"")</f>
        <v>20700</v>
      </c>
      <c r="U5" s="22">
        <f t="shared" ref="U5:U30" si="8">IF($J5="","",ROUND(($J5-$J$3)/1000,0))</f>
        <v>9</v>
      </c>
      <c r="V5" s="23">
        <f t="shared" si="2"/>
        <v>5</v>
      </c>
      <c r="W5" s="24">
        <f t="shared" si="3"/>
        <v>-14</v>
      </c>
      <c r="Y5" s="8"/>
      <c r="Z5" s="46"/>
      <c r="AA5" s="38">
        <v>1</v>
      </c>
      <c r="AB5" s="38"/>
      <c r="AC5" s="38">
        <v>3</v>
      </c>
      <c r="AD5" s="42">
        <v>30</v>
      </c>
      <c r="AE5" s="52" t="s">
        <v>147</v>
      </c>
      <c r="AF5" s="53" t="s">
        <v>89</v>
      </c>
      <c r="AG5" s="53" t="s">
        <v>87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>
        <v>5</v>
      </c>
      <c r="AY5" s="42" t="s">
        <v>26</v>
      </c>
      <c r="AZ5" s="52" t="s">
        <v>165</v>
      </c>
      <c r="BA5" s="53" t="s">
        <v>133</v>
      </c>
      <c r="BB5" s="53" t="s">
        <v>133</v>
      </c>
      <c r="BC5" s="53" t="s">
        <v>166</v>
      </c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1</v>
      </c>
      <c r="C6" s="29">
        <f t="shared" ref="C6:C30" si="11">IF($E6="","",IF($E5=$E6,C5+1,0))</f>
        <v>2</v>
      </c>
      <c r="D6" s="29">
        <f t="shared" ref="D6:D30" si="12">IF($E6="","",IF(OR($F5="流局",$F5="チョンボ"),D5+($H5+$M5+$R5)/-1000,0))</f>
        <v>0</v>
      </c>
      <c r="E6" s="4" t="s">
        <v>146</v>
      </c>
      <c r="F6" s="8" t="s">
        <v>143</v>
      </c>
      <c r="G6" s="9">
        <v>18000</v>
      </c>
      <c r="H6" s="9"/>
      <c r="I6" s="10">
        <f t="shared" si="4"/>
        <v>2000</v>
      </c>
      <c r="J6" s="32">
        <f t="shared" si="5"/>
        <v>64300</v>
      </c>
      <c r="K6" s="8"/>
      <c r="L6" s="9"/>
      <c r="M6" s="9"/>
      <c r="N6" s="10" t="str">
        <f t="shared" si="0"/>
        <v/>
      </c>
      <c r="O6" s="32">
        <f t="shared" si="6"/>
        <v>40000</v>
      </c>
      <c r="P6" s="8" t="s">
        <v>144</v>
      </c>
      <c r="Q6" s="9">
        <v>-18000</v>
      </c>
      <c r="R6" s="9"/>
      <c r="S6" s="10">
        <f t="shared" si="1"/>
        <v>-2000</v>
      </c>
      <c r="T6" s="32">
        <f t="shared" si="7"/>
        <v>700</v>
      </c>
      <c r="U6" s="22">
        <f t="shared" si="8"/>
        <v>29</v>
      </c>
      <c r="V6" s="23">
        <f t="shared" si="2"/>
        <v>5</v>
      </c>
      <c r="W6" s="24">
        <f t="shared" si="3"/>
        <v>-34</v>
      </c>
      <c r="Y6" s="8"/>
      <c r="Z6" s="46"/>
      <c r="AA6" s="38"/>
      <c r="AB6" s="38">
        <v>1</v>
      </c>
      <c r="AC6" s="38">
        <v>6</v>
      </c>
      <c r="AD6" s="42" t="s">
        <v>145</v>
      </c>
      <c r="AE6" s="52" t="s">
        <v>92</v>
      </c>
      <c r="AF6" s="53" t="s">
        <v>92</v>
      </c>
      <c r="AG6" s="53" t="s">
        <v>85</v>
      </c>
      <c r="AH6" s="53" t="s">
        <v>85</v>
      </c>
      <c r="AI6" s="53" t="s">
        <v>87</v>
      </c>
      <c r="AJ6" s="53" t="s">
        <v>87</v>
      </c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1</v>
      </c>
      <c r="C7" s="29">
        <f t="shared" si="11"/>
        <v>3</v>
      </c>
      <c r="D7" s="29">
        <f t="shared" si="12"/>
        <v>0</v>
      </c>
      <c r="E7" s="4" t="s">
        <v>146</v>
      </c>
      <c r="F7" s="8" t="s">
        <v>155</v>
      </c>
      <c r="G7" s="9">
        <v>0</v>
      </c>
      <c r="H7" s="9"/>
      <c r="I7" s="10" t="str">
        <f t="shared" si="4"/>
        <v/>
      </c>
      <c r="J7" s="32">
        <f t="shared" si="5"/>
        <v>64300</v>
      </c>
      <c r="K7" s="8" t="s">
        <v>155</v>
      </c>
      <c r="L7" s="9">
        <v>0</v>
      </c>
      <c r="M7" s="9">
        <v>-1000</v>
      </c>
      <c r="N7" s="10" t="str">
        <f t="shared" si="0"/>
        <v/>
      </c>
      <c r="O7" s="32">
        <f t="shared" si="6"/>
        <v>39000</v>
      </c>
      <c r="P7" s="8" t="s">
        <v>155</v>
      </c>
      <c r="Q7" s="9">
        <v>0</v>
      </c>
      <c r="R7" s="9"/>
      <c r="S7" s="10" t="str">
        <f t="shared" si="1"/>
        <v/>
      </c>
      <c r="T7" s="32">
        <f t="shared" si="7"/>
        <v>700</v>
      </c>
      <c r="U7" s="22">
        <f t="shared" si="8"/>
        <v>29</v>
      </c>
      <c r="V7" s="23">
        <f t="shared" si="2"/>
        <v>4</v>
      </c>
      <c r="W7" s="24">
        <f t="shared" si="3"/>
        <v>-34</v>
      </c>
      <c r="Y7" s="8" t="s">
        <v>161</v>
      </c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 t="s">
        <v>161</v>
      </c>
      <c r="AU7" s="46"/>
      <c r="AV7" s="38">
        <v>1</v>
      </c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 t="s">
        <v>161</v>
      </c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1</v>
      </c>
      <c r="C8" s="29">
        <f t="shared" si="11"/>
        <v>4</v>
      </c>
      <c r="D8" s="29">
        <f t="shared" si="12"/>
        <v>1</v>
      </c>
      <c r="E8" s="4" t="s">
        <v>146</v>
      </c>
      <c r="F8" s="8"/>
      <c r="G8" s="9"/>
      <c r="H8" s="9"/>
      <c r="I8" s="10" t="str">
        <f t="shared" si="4"/>
        <v/>
      </c>
      <c r="J8" s="32">
        <f t="shared" si="5"/>
        <v>64300</v>
      </c>
      <c r="K8" s="8" t="s">
        <v>144</v>
      </c>
      <c r="L8" s="9">
        <v>-3900</v>
      </c>
      <c r="M8" s="9"/>
      <c r="N8" s="10">
        <f t="shared" si="0"/>
        <v>-4000</v>
      </c>
      <c r="O8" s="32">
        <f t="shared" si="6"/>
        <v>31100</v>
      </c>
      <c r="P8" s="8" t="s">
        <v>143</v>
      </c>
      <c r="Q8" s="9">
        <v>3900</v>
      </c>
      <c r="R8" s="9">
        <v>1000</v>
      </c>
      <c r="S8" s="10">
        <f t="shared" si="1"/>
        <v>4000</v>
      </c>
      <c r="T8" s="32">
        <f t="shared" si="7"/>
        <v>9600</v>
      </c>
      <c r="U8" s="22">
        <f t="shared" si="8"/>
        <v>29</v>
      </c>
      <c r="V8" s="23">
        <f t="shared" si="2"/>
        <v>-4</v>
      </c>
      <c r="W8" s="24">
        <f t="shared" si="3"/>
        <v>-25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>
        <v>3</v>
      </c>
      <c r="BT8" s="42">
        <v>30</v>
      </c>
      <c r="BU8" s="52" t="s">
        <v>87</v>
      </c>
      <c r="BV8" s="53" t="s">
        <v>92</v>
      </c>
      <c r="BW8" s="53" t="s">
        <v>98</v>
      </c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東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159</v>
      </c>
      <c r="F9" s="8" t="s">
        <v>151</v>
      </c>
      <c r="G9" s="9">
        <v>-800</v>
      </c>
      <c r="H9" s="9"/>
      <c r="I9" s="10">
        <f t="shared" si="4"/>
        <v>0</v>
      </c>
      <c r="J9" s="32">
        <f t="shared" si="5"/>
        <v>63500</v>
      </c>
      <c r="K9" s="8" t="s">
        <v>150</v>
      </c>
      <c r="L9" s="9">
        <v>1600</v>
      </c>
      <c r="M9" s="9">
        <v>1000</v>
      </c>
      <c r="N9" s="10">
        <f t="shared" si="0"/>
        <v>0</v>
      </c>
      <c r="O9" s="32">
        <f t="shared" si="6"/>
        <v>33700</v>
      </c>
      <c r="P9" s="8" t="s">
        <v>151</v>
      </c>
      <c r="Q9" s="9">
        <v>-800</v>
      </c>
      <c r="R9" s="9">
        <v>-1000</v>
      </c>
      <c r="S9" s="10">
        <f t="shared" si="1"/>
        <v>0</v>
      </c>
      <c r="T9" s="32">
        <f t="shared" si="7"/>
        <v>7800</v>
      </c>
      <c r="U9" s="22">
        <f t="shared" si="8"/>
        <v>29</v>
      </c>
      <c r="V9" s="23">
        <f t="shared" si="2"/>
        <v>-1</v>
      </c>
      <c r="W9" s="24">
        <f t="shared" si="3"/>
        <v>-27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>
        <v>1</v>
      </c>
      <c r="AY9" s="42">
        <v>30</v>
      </c>
      <c r="AZ9" s="52" t="s">
        <v>92</v>
      </c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東</v>
      </c>
      <c r="B10" s="29">
        <f t="shared" si="10"/>
        <v>2</v>
      </c>
      <c r="C10" s="29">
        <f t="shared" si="11"/>
        <v>1</v>
      </c>
      <c r="D10" s="29">
        <f t="shared" si="12"/>
        <v>0</v>
      </c>
      <c r="E10" s="4" t="s">
        <v>159</v>
      </c>
      <c r="F10" s="8" t="s">
        <v>143</v>
      </c>
      <c r="G10" s="9">
        <v>5200</v>
      </c>
      <c r="H10" s="9"/>
      <c r="I10" s="10">
        <f t="shared" si="4"/>
        <v>1000</v>
      </c>
      <c r="J10" s="32">
        <f t="shared" si="5"/>
        <v>69700</v>
      </c>
      <c r="K10" s="8"/>
      <c r="L10" s="9"/>
      <c r="M10" s="9"/>
      <c r="N10" s="10" t="str">
        <f t="shared" si="0"/>
        <v/>
      </c>
      <c r="O10" s="32">
        <f t="shared" si="6"/>
        <v>33700</v>
      </c>
      <c r="P10" s="8" t="s">
        <v>144</v>
      </c>
      <c r="Q10" s="9">
        <v>-5200</v>
      </c>
      <c r="R10" s="9"/>
      <c r="S10" s="10">
        <f t="shared" si="1"/>
        <v>-1000</v>
      </c>
      <c r="T10" s="32">
        <f t="shared" si="7"/>
        <v>1600</v>
      </c>
      <c r="U10" s="22">
        <f t="shared" si="8"/>
        <v>35</v>
      </c>
      <c r="V10" s="23">
        <f t="shared" si="2"/>
        <v>-1</v>
      </c>
      <c r="W10" s="24">
        <f t="shared" si="3"/>
        <v>-33</v>
      </c>
      <c r="Y10" s="8"/>
      <c r="Z10" s="46"/>
      <c r="AA10" s="38"/>
      <c r="AB10" s="38"/>
      <c r="AC10" s="38">
        <v>3</v>
      </c>
      <c r="AD10" s="42">
        <v>40</v>
      </c>
      <c r="AE10" s="52" t="s">
        <v>92</v>
      </c>
      <c r="AF10" s="53" t="s">
        <v>85</v>
      </c>
      <c r="AG10" s="53" t="s">
        <v>85</v>
      </c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>
        <v>1</v>
      </c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東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158</v>
      </c>
      <c r="F11" s="8" t="s">
        <v>151</v>
      </c>
      <c r="G11" s="9">
        <v>-1500</v>
      </c>
      <c r="H11" s="9"/>
      <c r="I11" s="10">
        <f t="shared" si="4"/>
        <v>0</v>
      </c>
      <c r="J11" s="32">
        <f t="shared" si="5"/>
        <v>68200</v>
      </c>
      <c r="K11" s="8" t="s">
        <v>151</v>
      </c>
      <c r="L11" s="9">
        <v>-1500</v>
      </c>
      <c r="M11" s="9"/>
      <c r="N11" s="10">
        <f t="shared" si="0"/>
        <v>0</v>
      </c>
      <c r="O11" s="32">
        <f t="shared" si="6"/>
        <v>32200</v>
      </c>
      <c r="P11" s="8" t="s">
        <v>150</v>
      </c>
      <c r="Q11" s="9">
        <v>3000</v>
      </c>
      <c r="R11" s="9"/>
      <c r="S11" s="10">
        <f t="shared" si="1"/>
        <v>0</v>
      </c>
      <c r="T11" s="32">
        <f t="shared" si="7"/>
        <v>4600</v>
      </c>
      <c r="U11" s="22">
        <f t="shared" si="8"/>
        <v>33</v>
      </c>
      <c r="V11" s="23">
        <f t="shared" si="2"/>
        <v>-3</v>
      </c>
      <c r="W11" s="24">
        <f t="shared" si="3"/>
        <v>-30</v>
      </c>
      <c r="Y11" s="8"/>
      <c r="Z11" s="46"/>
      <c r="AA11" s="38"/>
      <c r="AB11" s="38">
        <v>1</v>
      </c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>
        <v>2</v>
      </c>
      <c r="BT11" s="42">
        <v>30</v>
      </c>
      <c r="BU11" s="52" t="s">
        <v>88</v>
      </c>
      <c r="BV11" s="53" t="s">
        <v>85</v>
      </c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東</v>
      </c>
      <c r="B12" s="29">
        <f t="shared" si="10"/>
        <v>3</v>
      </c>
      <c r="C12" s="29">
        <f t="shared" si="11"/>
        <v>1</v>
      </c>
      <c r="D12" s="29">
        <f t="shared" si="12"/>
        <v>0</v>
      </c>
      <c r="E12" s="4" t="s">
        <v>158</v>
      </c>
      <c r="F12" s="8"/>
      <c r="G12" s="9"/>
      <c r="H12" s="9"/>
      <c r="I12" s="10" t="str">
        <f t="shared" si="4"/>
        <v/>
      </c>
      <c r="J12" s="32">
        <f t="shared" si="5"/>
        <v>68200</v>
      </c>
      <c r="K12" s="8" t="s">
        <v>144</v>
      </c>
      <c r="L12" s="9">
        <v>-2000</v>
      </c>
      <c r="M12" s="9"/>
      <c r="N12" s="10">
        <f t="shared" si="0"/>
        <v>-1000</v>
      </c>
      <c r="O12" s="32">
        <f t="shared" si="6"/>
        <v>29200</v>
      </c>
      <c r="P12" s="8" t="s">
        <v>143</v>
      </c>
      <c r="Q12" s="9">
        <v>2000</v>
      </c>
      <c r="R12" s="9"/>
      <c r="S12" s="10">
        <f t="shared" si="1"/>
        <v>1000</v>
      </c>
      <c r="T12" s="32">
        <f t="shared" si="7"/>
        <v>7600</v>
      </c>
      <c r="U12" s="22">
        <f t="shared" si="8"/>
        <v>33</v>
      </c>
      <c r="V12" s="23">
        <f t="shared" si="2"/>
        <v>-6</v>
      </c>
      <c r="W12" s="24">
        <f t="shared" si="3"/>
        <v>-27</v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>
        <v>1</v>
      </c>
      <c r="BR12" s="38"/>
      <c r="BS12" s="38">
        <v>1</v>
      </c>
      <c r="BT12" s="42">
        <v>40</v>
      </c>
      <c r="BU12" s="52" t="s">
        <v>147</v>
      </c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東</v>
      </c>
      <c r="B13" s="29">
        <f t="shared" si="10"/>
        <v>3</v>
      </c>
      <c r="C13" s="29">
        <f t="shared" si="11"/>
        <v>2</v>
      </c>
      <c r="D13" s="29">
        <f t="shared" si="12"/>
        <v>0</v>
      </c>
      <c r="E13" s="4" t="s">
        <v>158</v>
      </c>
      <c r="F13" s="8" t="s">
        <v>143</v>
      </c>
      <c r="G13" s="9">
        <v>2000</v>
      </c>
      <c r="H13" s="9">
        <v>1000</v>
      </c>
      <c r="I13" s="10">
        <f t="shared" si="4"/>
        <v>2000</v>
      </c>
      <c r="J13" s="32">
        <f t="shared" si="5"/>
        <v>73200</v>
      </c>
      <c r="K13" s="8" t="s">
        <v>144</v>
      </c>
      <c r="L13" s="9">
        <v>-2000</v>
      </c>
      <c r="M13" s="9">
        <v>-1000</v>
      </c>
      <c r="N13" s="10">
        <f t="shared" si="0"/>
        <v>-2000</v>
      </c>
      <c r="O13" s="32">
        <f t="shared" si="6"/>
        <v>24200</v>
      </c>
      <c r="P13" s="8"/>
      <c r="Q13" s="9"/>
      <c r="R13" s="9"/>
      <c r="S13" s="10" t="str">
        <f t="shared" si="1"/>
        <v/>
      </c>
      <c r="T13" s="32">
        <f t="shared" si="7"/>
        <v>7600</v>
      </c>
      <c r="U13" s="22">
        <f t="shared" si="8"/>
        <v>38</v>
      </c>
      <c r="V13" s="23">
        <f t="shared" si="2"/>
        <v>-11</v>
      </c>
      <c r="W13" s="24">
        <f t="shared" si="3"/>
        <v>-27</v>
      </c>
      <c r="Y13" s="8"/>
      <c r="Z13" s="46"/>
      <c r="AA13" s="38"/>
      <c r="AB13" s="38">
        <v>1</v>
      </c>
      <c r="AC13" s="38">
        <v>2</v>
      </c>
      <c r="AD13" s="42">
        <v>30</v>
      </c>
      <c r="AE13" s="52" t="s">
        <v>92</v>
      </c>
      <c r="AF13" s="53" t="s">
        <v>87</v>
      </c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>
        <v>1</v>
      </c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1</v>
      </c>
      <c r="C14" s="29">
        <f t="shared" si="11"/>
        <v>0</v>
      </c>
      <c r="D14" s="29">
        <f t="shared" si="12"/>
        <v>0</v>
      </c>
      <c r="E14" s="4" t="s">
        <v>146</v>
      </c>
      <c r="F14" s="8" t="s">
        <v>144</v>
      </c>
      <c r="G14" s="9">
        <v>-3900</v>
      </c>
      <c r="H14" s="9"/>
      <c r="I14" s="10">
        <f t="shared" si="4"/>
        <v>0</v>
      </c>
      <c r="J14" s="32">
        <f t="shared" si="5"/>
        <v>69300</v>
      </c>
      <c r="K14" s="8" t="s">
        <v>143</v>
      </c>
      <c r="L14" s="9">
        <v>3900</v>
      </c>
      <c r="M14" s="9">
        <v>1000</v>
      </c>
      <c r="N14" s="10">
        <f t="shared" si="0"/>
        <v>0</v>
      </c>
      <c r="O14" s="32">
        <f t="shared" si="6"/>
        <v>29100</v>
      </c>
      <c r="P14" s="8"/>
      <c r="Q14" s="9"/>
      <c r="R14" s="9">
        <v>-1000</v>
      </c>
      <c r="S14" s="10" t="str">
        <f t="shared" si="1"/>
        <v/>
      </c>
      <c r="T14" s="32">
        <f t="shared" si="7"/>
        <v>6600</v>
      </c>
      <c r="U14" s="22">
        <f t="shared" si="8"/>
        <v>34</v>
      </c>
      <c r="V14" s="23">
        <f t="shared" si="2"/>
        <v>-6</v>
      </c>
      <c r="W14" s="24">
        <f t="shared" si="3"/>
        <v>-28</v>
      </c>
      <c r="Y14" s="8"/>
      <c r="Z14" s="46"/>
      <c r="AA14" s="38"/>
      <c r="AB14" s="38">
        <v>1</v>
      </c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>
        <v>1</v>
      </c>
      <c r="AX14" s="38">
        <v>3</v>
      </c>
      <c r="AY14" s="42">
        <v>30</v>
      </c>
      <c r="AZ14" s="52" t="s">
        <v>92</v>
      </c>
      <c r="BA14" s="53" t="s">
        <v>87</v>
      </c>
      <c r="BB14" s="53" t="s">
        <v>99</v>
      </c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>
        <v>1</v>
      </c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2</v>
      </c>
      <c r="C15" s="29">
        <f t="shared" si="11"/>
        <v>0</v>
      </c>
      <c r="D15" s="29">
        <f t="shared" si="12"/>
        <v>0</v>
      </c>
      <c r="E15" s="4" t="s">
        <v>159</v>
      </c>
      <c r="F15" s="8" t="s">
        <v>151</v>
      </c>
      <c r="G15" s="9">
        <v>-6000</v>
      </c>
      <c r="H15" s="9"/>
      <c r="I15" s="10">
        <f t="shared" si="4"/>
        <v>0</v>
      </c>
      <c r="J15" s="32">
        <f t="shared" si="5"/>
        <v>63300</v>
      </c>
      <c r="K15" s="8" t="s">
        <v>150</v>
      </c>
      <c r="L15" s="9">
        <v>12000</v>
      </c>
      <c r="M15" s="9"/>
      <c r="N15" s="10">
        <f t="shared" si="0"/>
        <v>0</v>
      </c>
      <c r="O15" s="32">
        <f t="shared" si="6"/>
        <v>41100</v>
      </c>
      <c r="P15" s="8" t="s">
        <v>151</v>
      </c>
      <c r="Q15" s="9">
        <v>-6000</v>
      </c>
      <c r="R15" s="9"/>
      <c r="S15" s="10">
        <f t="shared" si="1"/>
        <v>0</v>
      </c>
      <c r="T15" s="32">
        <f t="shared" si="7"/>
        <v>600</v>
      </c>
      <c r="U15" s="22">
        <f t="shared" si="8"/>
        <v>28</v>
      </c>
      <c r="V15" s="23">
        <f t="shared" si="2"/>
        <v>6</v>
      </c>
      <c r="W15" s="24">
        <f t="shared" si="3"/>
        <v>-34</v>
      </c>
      <c r="Y15" s="8"/>
      <c r="Z15" s="46"/>
      <c r="AA15" s="38"/>
      <c r="AB15" s="38">
        <v>1</v>
      </c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>
        <v>1</v>
      </c>
      <c r="AW15" s="38"/>
      <c r="AX15" s="38">
        <v>4</v>
      </c>
      <c r="AY15" s="42">
        <v>30</v>
      </c>
      <c r="AZ15" s="52" t="s">
        <v>88</v>
      </c>
      <c r="BA15" s="53" t="s">
        <v>95</v>
      </c>
      <c r="BB15" s="53" t="s">
        <v>87</v>
      </c>
      <c r="BC15" s="53" t="s">
        <v>92</v>
      </c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>南</v>
      </c>
      <c r="B16" s="29">
        <f t="shared" si="10"/>
        <v>2</v>
      </c>
      <c r="C16" s="29">
        <f t="shared" si="11"/>
        <v>1</v>
      </c>
      <c r="D16" s="29">
        <f t="shared" si="12"/>
        <v>0</v>
      </c>
      <c r="E16" s="4" t="s">
        <v>159</v>
      </c>
      <c r="F16" s="8" t="s">
        <v>143</v>
      </c>
      <c r="G16" s="9">
        <v>2600</v>
      </c>
      <c r="H16" s="9"/>
      <c r="I16" s="10">
        <f t="shared" si="4"/>
        <v>1000</v>
      </c>
      <c r="J16" s="32">
        <f t="shared" si="5"/>
        <v>66900</v>
      </c>
      <c r="K16" s="8"/>
      <c r="L16" s="9"/>
      <c r="M16" s="9"/>
      <c r="N16" s="10" t="str">
        <f t="shared" si="0"/>
        <v/>
      </c>
      <c r="O16" s="32">
        <f t="shared" si="6"/>
        <v>41100</v>
      </c>
      <c r="P16" s="8" t="s">
        <v>144</v>
      </c>
      <c r="Q16" s="9">
        <v>-2600</v>
      </c>
      <c r="R16" s="9"/>
      <c r="S16" s="10">
        <f t="shared" si="1"/>
        <v>-1000</v>
      </c>
      <c r="T16" s="32">
        <f t="shared" si="7"/>
        <v>-3000</v>
      </c>
      <c r="U16" s="22">
        <f t="shared" si="8"/>
        <v>32</v>
      </c>
      <c r="V16" s="23">
        <f t="shared" si="2"/>
        <v>6</v>
      </c>
      <c r="W16" s="24">
        <f t="shared" si="3"/>
        <v>-38</v>
      </c>
      <c r="Y16" s="8"/>
      <c r="Z16" s="46"/>
      <c r="AA16" s="38"/>
      <c r="AB16" s="38"/>
      <c r="AC16" s="38">
        <v>2</v>
      </c>
      <c r="AD16" s="42">
        <v>40</v>
      </c>
      <c r="AE16" s="52" t="s">
        <v>90</v>
      </c>
      <c r="AF16" s="53" t="s">
        <v>87</v>
      </c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>
        <v>1</v>
      </c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9639B19-AD1B-453F-8D15-B71425D16B61}">
      <formula1>$U$2:$W$2</formula1>
    </dataValidation>
    <dataValidation type="list" showInputMessage="1" showErrorMessage="1" sqref="K4:K30 P4:P30 F4:F30" xr:uid="{9146ED30-44DD-467A-A8C2-7F684DD078A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8" customWidth="1"/>
    <col min="2" max="2" width="19.25" style="17" bestFit="1" customWidth="1"/>
    <col min="3" max="4" width="11" style="17" bestFit="1" customWidth="1"/>
    <col min="5" max="5" width="8.375" style="48" customWidth="1"/>
  </cols>
  <sheetData>
    <row r="1" spans="1:5" x14ac:dyDescent="0.4">
      <c r="A1" s="48" t="s">
        <v>28</v>
      </c>
      <c r="B1" s="17" t="s">
        <v>29</v>
      </c>
      <c r="C1" s="17" t="s">
        <v>30</v>
      </c>
      <c r="D1" s="17" t="s">
        <v>31</v>
      </c>
      <c r="E1" s="48" t="s">
        <v>32</v>
      </c>
    </row>
    <row r="2" spans="1:5" x14ac:dyDescent="0.4">
      <c r="A2" s="48" t="s">
        <v>83</v>
      </c>
      <c r="B2" s="17" t="s">
        <v>33</v>
      </c>
      <c r="C2" s="17">
        <v>1</v>
      </c>
    </row>
    <row r="3" spans="1:5" x14ac:dyDescent="0.4">
      <c r="A3" s="48" t="s">
        <v>84</v>
      </c>
      <c r="B3" s="17" t="s">
        <v>34</v>
      </c>
      <c r="C3" s="17">
        <v>1</v>
      </c>
    </row>
    <row r="4" spans="1:5" x14ac:dyDescent="0.4">
      <c r="A4" s="48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48" t="s">
        <v>86</v>
      </c>
      <c r="B5" s="17" t="s">
        <v>36</v>
      </c>
      <c r="C5" s="17">
        <v>1</v>
      </c>
      <c r="E5" s="48" t="s">
        <v>133</v>
      </c>
    </row>
    <row r="6" spans="1:5" x14ac:dyDescent="0.4">
      <c r="A6" s="48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48" t="s">
        <v>88</v>
      </c>
      <c r="B7" s="17" t="s">
        <v>38</v>
      </c>
      <c r="C7" s="17">
        <v>1</v>
      </c>
    </row>
    <row r="8" spans="1:5" x14ac:dyDescent="0.4">
      <c r="A8" s="48" t="s">
        <v>89</v>
      </c>
      <c r="B8" s="17" t="s">
        <v>39</v>
      </c>
      <c r="C8" s="17">
        <v>1</v>
      </c>
    </row>
    <row r="9" spans="1:5" x14ac:dyDescent="0.4">
      <c r="A9" s="48" t="s">
        <v>90</v>
      </c>
      <c r="B9" s="17" t="s">
        <v>40</v>
      </c>
      <c r="C9" s="17">
        <v>1</v>
      </c>
    </row>
    <row r="10" spans="1:5" x14ac:dyDescent="0.4">
      <c r="A10" s="48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48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48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48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48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48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48" t="s">
        <v>97</v>
      </c>
      <c r="B16" s="17" t="s">
        <v>47</v>
      </c>
      <c r="C16" s="17">
        <v>2</v>
      </c>
      <c r="E16" s="48" t="s">
        <v>83</v>
      </c>
    </row>
    <row r="17" spans="1:4" x14ac:dyDescent="0.4">
      <c r="A17" s="48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48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48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48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48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48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48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48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48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48" t="s">
        <v>107</v>
      </c>
      <c r="B26" s="17" t="s">
        <v>57</v>
      </c>
      <c r="C26" s="17">
        <v>2</v>
      </c>
    </row>
    <row r="27" spans="1:4" x14ac:dyDescent="0.4">
      <c r="A27" s="48" t="s">
        <v>108</v>
      </c>
      <c r="B27" s="17" t="s">
        <v>58</v>
      </c>
      <c r="C27" s="17">
        <v>3</v>
      </c>
    </row>
    <row r="28" spans="1:4" x14ac:dyDescent="0.4">
      <c r="A28" s="48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48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48" t="s">
        <v>111</v>
      </c>
      <c r="B30" s="17" t="s">
        <v>61</v>
      </c>
      <c r="C30" s="17">
        <v>5</v>
      </c>
    </row>
    <row r="31" spans="1:4" x14ac:dyDescent="0.4">
      <c r="A31" s="48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48" t="s">
        <v>113</v>
      </c>
      <c r="B32" s="17" t="s">
        <v>63</v>
      </c>
      <c r="C32" s="17">
        <v>13</v>
      </c>
    </row>
    <row r="33" spans="1:5" x14ac:dyDescent="0.4">
      <c r="A33" s="48" t="s">
        <v>114</v>
      </c>
      <c r="B33" s="17" t="s">
        <v>64</v>
      </c>
      <c r="C33" s="17">
        <v>13</v>
      </c>
    </row>
    <row r="34" spans="1:5" x14ac:dyDescent="0.4">
      <c r="A34" s="48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48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48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48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48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48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48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48" t="s">
        <v>122</v>
      </c>
      <c r="B41" s="17" t="s">
        <v>72</v>
      </c>
      <c r="C41" s="17">
        <v>13</v>
      </c>
    </row>
    <row r="42" spans="1:5" x14ac:dyDescent="0.4">
      <c r="A42" s="48" t="s">
        <v>123</v>
      </c>
      <c r="B42" s="17" t="s">
        <v>73</v>
      </c>
      <c r="C42" s="17">
        <v>13</v>
      </c>
    </row>
    <row r="43" spans="1:5" x14ac:dyDescent="0.4">
      <c r="A43" s="48" t="s">
        <v>124</v>
      </c>
      <c r="B43" s="17" t="s">
        <v>74</v>
      </c>
      <c r="C43" s="17">
        <v>13</v>
      </c>
    </row>
    <row r="44" spans="1:5" x14ac:dyDescent="0.4">
      <c r="A44" s="48" t="s">
        <v>125</v>
      </c>
      <c r="B44" s="17" t="s">
        <v>75</v>
      </c>
      <c r="C44" s="17">
        <v>13</v>
      </c>
    </row>
    <row r="45" spans="1:5" x14ac:dyDescent="0.4">
      <c r="A45" s="48" t="s">
        <v>126</v>
      </c>
      <c r="B45" s="17" t="s">
        <v>76</v>
      </c>
      <c r="C45" s="17">
        <v>26</v>
      </c>
      <c r="E45" s="48" t="s">
        <v>134</v>
      </c>
    </row>
    <row r="46" spans="1:5" x14ac:dyDescent="0.4">
      <c r="A46" s="48" t="s">
        <v>127</v>
      </c>
      <c r="B46" s="17" t="s">
        <v>77</v>
      </c>
      <c r="C46" s="17">
        <v>26</v>
      </c>
      <c r="E46" s="48" t="s">
        <v>135</v>
      </c>
    </row>
    <row r="47" spans="1:5" x14ac:dyDescent="0.4">
      <c r="A47" s="48" t="s">
        <v>128</v>
      </c>
      <c r="B47" s="17" t="s">
        <v>78</v>
      </c>
      <c r="C47" s="17">
        <v>26</v>
      </c>
      <c r="E47" s="48" t="s">
        <v>136</v>
      </c>
    </row>
    <row r="48" spans="1:5" x14ac:dyDescent="0.4">
      <c r="A48" s="48" t="s">
        <v>129</v>
      </c>
      <c r="B48" s="17" t="s">
        <v>79</v>
      </c>
      <c r="C48" s="17">
        <v>13</v>
      </c>
    </row>
    <row r="49" spans="1:3" x14ac:dyDescent="0.4">
      <c r="A49" s="48" t="s">
        <v>130</v>
      </c>
      <c r="B49" s="17" t="s">
        <v>80</v>
      </c>
      <c r="C49" s="17">
        <v>13</v>
      </c>
    </row>
    <row r="50" spans="1:3" x14ac:dyDescent="0.4">
      <c r="A50" s="48" t="s">
        <v>131</v>
      </c>
      <c r="B50" s="17" t="s">
        <v>81</v>
      </c>
      <c r="C50" s="17">
        <v>13</v>
      </c>
    </row>
    <row r="51" spans="1:3" x14ac:dyDescent="0.4">
      <c r="A51" s="48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4"/>
    <col min="12" max="12" width="9" style="44" customWidth="1"/>
    <col min="13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D3" s="44">
        <v>3900</v>
      </c>
      <c r="E3" s="44">
        <v>7700</v>
      </c>
    </row>
    <row r="4" spans="1:12" x14ac:dyDescent="0.4">
      <c r="A4" s="17">
        <v>25</v>
      </c>
      <c r="C4" s="44">
        <v>2400</v>
      </c>
      <c r="D4" s="44">
        <v>4800</v>
      </c>
      <c r="E4" s="44">
        <v>9600</v>
      </c>
    </row>
    <row r="5" spans="1:12" x14ac:dyDescent="0.4">
      <c r="A5" s="17">
        <v>30</v>
      </c>
      <c r="B5" s="44">
        <v>1500</v>
      </c>
      <c r="C5" s="44">
        <v>2900</v>
      </c>
      <c r="D5" s="44">
        <v>5800</v>
      </c>
      <c r="E5" s="44">
        <v>12000</v>
      </c>
    </row>
    <row r="6" spans="1:12" x14ac:dyDescent="0.4">
      <c r="A6" s="17">
        <v>40</v>
      </c>
      <c r="B6" s="44">
        <v>2000</v>
      </c>
      <c r="C6" s="44">
        <v>3900</v>
      </c>
      <c r="D6" s="44">
        <v>7700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2900</v>
      </c>
      <c r="C8" s="44">
        <v>5800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3400</v>
      </c>
      <c r="C9" s="44">
        <v>6800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3900</v>
      </c>
      <c r="C10" s="44">
        <v>7700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4400</v>
      </c>
      <c r="C11" s="44">
        <v>8700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C13" s="44">
        <v>10600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B3" s="44" t="s">
        <v>11</v>
      </c>
      <c r="C3" s="44">
        <v>2200</v>
      </c>
      <c r="D3" s="44">
        <v>4000</v>
      </c>
      <c r="E3" s="44">
        <v>7800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4800</v>
      </c>
      <c r="E4" s="44">
        <v>9600</v>
      </c>
    </row>
    <row r="5" spans="1:12" x14ac:dyDescent="0.4">
      <c r="A5" s="17">
        <v>30</v>
      </c>
      <c r="B5" s="44">
        <v>1600</v>
      </c>
      <c r="C5" s="44">
        <v>3000</v>
      </c>
      <c r="D5" s="44">
        <v>6000</v>
      </c>
      <c r="E5" s="44">
        <v>12000</v>
      </c>
    </row>
    <row r="6" spans="1:12" x14ac:dyDescent="0.4">
      <c r="A6" s="17">
        <v>40</v>
      </c>
      <c r="B6" s="44">
        <v>2200</v>
      </c>
      <c r="C6" s="44">
        <v>4000</v>
      </c>
      <c r="D6" s="44">
        <v>7800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3000</v>
      </c>
      <c r="C8" s="44">
        <v>6000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3600</v>
      </c>
      <c r="C9" s="44">
        <v>7000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4000</v>
      </c>
      <c r="C10" s="44">
        <v>7800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4600</v>
      </c>
      <c r="C11" s="44">
        <v>8800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B13" s="44" t="s">
        <v>11</v>
      </c>
      <c r="C13" s="44">
        <v>10800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-6000</v>
      </c>
      <c r="G2" s="44">
        <v>-9000</v>
      </c>
      <c r="H2" s="44">
        <v>-12000</v>
      </c>
      <c r="I2" s="44">
        <v>-18000</v>
      </c>
      <c r="J2" s="44">
        <v>-24000</v>
      </c>
      <c r="K2" s="44">
        <v>-48000</v>
      </c>
      <c r="L2" s="44">
        <v>-72000</v>
      </c>
    </row>
    <row r="3" spans="1:12" x14ac:dyDescent="0.4">
      <c r="A3" s="17">
        <v>20</v>
      </c>
      <c r="B3" s="44" t="s">
        <v>11</v>
      </c>
      <c r="C3" s="44">
        <v>-1100</v>
      </c>
      <c r="D3" s="44">
        <v>-2000</v>
      </c>
      <c r="E3" s="44">
        <v>-3900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-2400</v>
      </c>
      <c r="E4" s="44">
        <v>-4800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-800</v>
      </c>
      <c r="C5" s="44">
        <v>-1500</v>
      </c>
      <c r="D5" s="44">
        <v>-3000</v>
      </c>
      <c r="E5" s="44">
        <v>-6000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-1100</v>
      </c>
      <c r="C6" s="44">
        <v>-2000</v>
      </c>
      <c r="D6" s="44">
        <v>-3900</v>
      </c>
      <c r="E6" s="44">
        <v>-6000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-1200</v>
      </c>
      <c r="C7" s="44">
        <v>-2400</v>
      </c>
      <c r="D7" s="44">
        <v>-4800</v>
      </c>
      <c r="E7" s="44">
        <v>-6000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-1500</v>
      </c>
      <c r="C8" s="44">
        <v>-3000</v>
      </c>
      <c r="D8" s="44">
        <v>-6000</v>
      </c>
      <c r="E8" s="44">
        <v>-6000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-1800</v>
      </c>
      <c r="C9" s="44">
        <v>-3500</v>
      </c>
      <c r="D9" s="44">
        <v>-6000</v>
      </c>
      <c r="E9" s="44">
        <v>-6000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-2000</v>
      </c>
      <c r="C10" s="44">
        <v>-3900</v>
      </c>
      <c r="D10" s="44">
        <v>-6000</v>
      </c>
      <c r="E10" s="44">
        <v>-6000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-2300</v>
      </c>
      <c r="C11" s="44">
        <v>-4400</v>
      </c>
      <c r="D11" s="44">
        <v>-6000</v>
      </c>
      <c r="E11" s="44">
        <v>-6000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-2400</v>
      </c>
      <c r="C12" s="44">
        <v>-4800</v>
      </c>
      <c r="D12" s="44">
        <v>-6000</v>
      </c>
      <c r="E12" s="44">
        <v>-6000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-5400</v>
      </c>
      <c r="D13" s="44">
        <v>-6000</v>
      </c>
      <c r="E13" s="44">
        <v>-6000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 t="s">
        <v>11</v>
      </c>
      <c r="D3" s="44">
        <v>2600</v>
      </c>
      <c r="E3" s="44">
        <v>5200</v>
      </c>
    </row>
    <row r="4" spans="1:12" x14ac:dyDescent="0.4">
      <c r="A4" s="17">
        <v>25</v>
      </c>
      <c r="B4" s="44" t="s">
        <v>11</v>
      </c>
      <c r="C4" s="44">
        <v>1600</v>
      </c>
      <c r="D4" s="44">
        <v>3200</v>
      </c>
      <c r="E4" s="44">
        <v>6400</v>
      </c>
    </row>
    <row r="5" spans="1:12" x14ac:dyDescent="0.4">
      <c r="A5" s="17">
        <v>30</v>
      </c>
      <c r="B5" s="44">
        <v>1000</v>
      </c>
      <c r="C5" s="44">
        <v>2000</v>
      </c>
      <c r="D5" s="44">
        <v>3900</v>
      </c>
      <c r="E5" s="44">
        <v>8000</v>
      </c>
    </row>
    <row r="6" spans="1:12" x14ac:dyDescent="0.4">
      <c r="A6" s="17">
        <v>40</v>
      </c>
      <c r="B6" s="44">
        <v>1300</v>
      </c>
      <c r="C6" s="44">
        <v>2600</v>
      </c>
      <c r="D6" s="44">
        <v>5200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2000</v>
      </c>
      <c r="C8" s="44">
        <v>3900</v>
      </c>
      <c r="D8" s="44">
        <v>8000</v>
      </c>
      <c r="E8" s="44">
        <v>8000</v>
      </c>
    </row>
    <row r="9" spans="1:12" x14ac:dyDescent="0.4">
      <c r="A9" s="17">
        <v>70</v>
      </c>
      <c r="B9" s="44">
        <v>2300</v>
      </c>
      <c r="C9" s="44">
        <v>4500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2600</v>
      </c>
      <c r="C10" s="44">
        <v>5200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2900</v>
      </c>
      <c r="C11" s="44">
        <v>5800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7100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>
        <v>1500</v>
      </c>
      <c r="D3" s="44">
        <v>2800</v>
      </c>
      <c r="E3" s="44">
        <v>5300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3200</v>
      </c>
      <c r="E4" s="44">
        <v>6400</v>
      </c>
    </row>
    <row r="5" spans="1:12" x14ac:dyDescent="0.4">
      <c r="A5" s="17">
        <v>30</v>
      </c>
      <c r="B5" s="44">
        <v>1200</v>
      </c>
      <c r="C5" s="44">
        <v>2100</v>
      </c>
      <c r="D5" s="44">
        <v>4000</v>
      </c>
      <c r="E5" s="44">
        <v>8000</v>
      </c>
    </row>
    <row r="6" spans="1:12" x14ac:dyDescent="0.4">
      <c r="A6" s="17">
        <v>40</v>
      </c>
      <c r="B6" s="44">
        <v>1500</v>
      </c>
      <c r="C6" s="44">
        <v>2800</v>
      </c>
      <c r="D6" s="44">
        <v>5300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2100</v>
      </c>
      <c r="C8" s="44">
        <v>4000</v>
      </c>
      <c r="D8" s="44">
        <v>8000</v>
      </c>
      <c r="E8" s="44">
        <v>8000</v>
      </c>
    </row>
    <row r="9" spans="1:12" x14ac:dyDescent="0.4">
      <c r="A9" s="17">
        <v>70</v>
      </c>
      <c r="B9" s="44">
        <v>2400</v>
      </c>
      <c r="C9" s="44">
        <v>4700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2800</v>
      </c>
      <c r="C10" s="44">
        <v>5300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3100</v>
      </c>
      <c r="C11" s="44">
        <v>6000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7200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-3000</v>
      </c>
      <c r="G2" s="44">
        <v>-4500</v>
      </c>
      <c r="H2" s="44">
        <v>-6000</v>
      </c>
      <c r="I2" s="44">
        <v>-9000</v>
      </c>
      <c r="J2" s="44">
        <v>-12000</v>
      </c>
      <c r="K2" s="44">
        <v>-24000</v>
      </c>
      <c r="L2" s="44">
        <v>-36000</v>
      </c>
    </row>
    <row r="3" spans="1:12" x14ac:dyDescent="0.4">
      <c r="A3" s="17">
        <v>20</v>
      </c>
      <c r="B3" s="44" t="s">
        <v>11</v>
      </c>
      <c r="C3" s="44">
        <v>-600</v>
      </c>
      <c r="D3" s="44">
        <v>-1100</v>
      </c>
      <c r="E3" s="44">
        <v>-2000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-1200</v>
      </c>
      <c r="E4" s="44">
        <v>-2400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-500</v>
      </c>
      <c r="C5" s="44">
        <v>-800</v>
      </c>
      <c r="D5" s="44">
        <v>-1500</v>
      </c>
      <c r="E5" s="44">
        <v>-3000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-600</v>
      </c>
      <c r="C6" s="44">
        <v>-1100</v>
      </c>
      <c r="D6" s="44">
        <v>-2000</v>
      </c>
      <c r="E6" s="44">
        <v>-3000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-600</v>
      </c>
      <c r="C7" s="44">
        <v>-1200</v>
      </c>
      <c r="D7" s="44">
        <v>-2400</v>
      </c>
      <c r="E7" s="44">
        <v>-3000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-800</v>
      </c>
      <c r="C8" s="44">
        <v>-1500</v>
      </c>
      <c r="D8" s="44">
        <v>-3000</v>
      </c>
      <c r="E8" s="44">
        <v>-3000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-900</v>
      </c>
      <c r="C9" s="44">
        <v>-1800</v>
      </c>
      <c r="D9" s="44">
        <v>-3000</v>
      </c>
      <c r="E9" s="44">
        <v>-3000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-1100</v>
      </c>
      <c r="C10" s="44">
        <v>-2000</v>
      </c>
      <c r="D10" s="44">
        <v>-3000</v>
      </c>
      <c r="E10" s="44">
        <v>-3000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-1200</v>
      </c>
      <c r="C11" s="44">
        <v>-2300</v>
      </c>
      <c r="D11" s="44">
        <v>-3000</v>
      </c>
      <c r="E11" s="44">
        <v>-3000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-1200</v>
      </c>
      <c r="C12" s="44">
        <v>-2400</v>
      </c>
      <c r="D12" s="44">
        <v>-3000</v>
      </c>
      <c r="E12" s="44">
        <v>-3000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-2700</v>
      </c>
      <c r="D13" s="44">
        <v>-3000</v>
      </c>
      <c r="E13" s="44">
        <v>-3000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-5000</v>
      </c>
      <c r="G2" s="44">
        <v>-7500</v>
      </c>
      <c r="H2" s="44">
        <v>-10000</v>
      </c>
      <c r="I2" s="44">
        <v>-15000</v>
      </c>
      <c r="J2" s="44">
        <v>-20000</v>
      </c>
      <c r="K2" s="44">
        <v>-40000</v>
      </c>
      <c r="L2" s="44">
        <v>-60000</v>
      </c>
    </row>
    <row r="3" spans="1:12" x14ac:dyDescent="0.4">
      <c r="A3" s="17">
        <v>20</v>
      </c>
      <c r="B3" s="44" t="s">
        <v>11</v>
      </c>
      <c r="C3" s="44">
        <v>-900</v>
      </c>
      <c r="D3" s="44">
        <v>-1700</v>
      </c>
      <c r="E3" s="44">
        <v>-3300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-2000</v>
      </c>
      <c r="E4" s="44">
        <v>-4000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-700</v>
      </c>
      <c r="C5" s="44">
        <v>-1300</v>
      </c>
      <c r="D5" s="44">
        <v>-2500</v>
      </c>
      <c r="E5" s="44">
        <v>-5000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-900</v>
      </c>
      <c r="C6" s="44">
        <v>-1700</v>
      </c>
      <c r="D6" s="44">
        <v>-3300</v>
      </c>
      <c r="E6" s="44">
        <v>-5000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-1000</v>
      </c>
      <c r="C7" s="44">
        <v>-2000</v>
      </c>
      <c r="D7" s="44">
        <v>-4000</v>
      </c>
      <c r="E7" s="44">
        <v>-5000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-1300</v>
      </c>
      <c r="C8" s="44">
        <v>-2500</v>
      </c>
      <c r="D8" s="44">
        <v>-5000</v>
      </c>
      <c r="E8" s="44">
        <v>-5000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-1500</v>
      </c>
      <c r="C9" s="44">
        <v>-2900</v>
      </c>
      <c r="D9" s="44">
        <v>-5000</v>
      </c>
      <c r="E9" s="44">
        <v>-5000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-1700</v>
      </c>
      <c r="C10" s="44">
        <v>-3300</v>
      </c>
      <c r="D10" s="44">
        <v>-5000</v>
      </c>
      <c r="E10" s="44">
        <v>-5000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-1900</v>
      </c>
      <c r="C11" s="44">
        <v>-3700</v>
      </c>
      <c r="D11" s="44">
        <v>-5000</v>
      </c>
      <c r="E11" s="44">
        <v>-5000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-2000</v>
      </c>
      <c r="C12" s="44">
        <v>-4000</v>
      </c>
      <c r="D12" s="44">
        <v>-5000</v>
      </c>
      <c r="E12" s="44">
        <v>-5000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-4500</v>
      </c>
      <c r="D13" s="44">
        <v>-5000</v>
      </c>
      <c r="E13" s="44">
        <v>-5000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2018-12-14T19:18:09Z</dcterms:modified>
</cp:coreProperties>
</file>