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552DFD40-9997-4D79-9061-9E24C2910A1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I4" i="1" l="1"/>
  <c r="N4" i="1"/>
  <c r="S4" i="1"/>
  <c r="BO1" i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N5" i="1" l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<sst xmlns="http://schemas.openxmlformats.org/spreadsheetml/2006/main" count="539" uniqueCount="155">
  <si>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</si>
  <si>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</si>
  <si>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</si>
  <si>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</si>
  <si>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</si>
  <si>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</si>
  <si>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</si>
  <si>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</si>
  <si>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</si>
  <si>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</si>
  <si>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</si>
  <si>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</si>
  <si>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</si>
  <si>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</si>
  <si>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</si>
  <si>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</si>
  <si>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</si>
  <si>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</si>
  <si>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</si>
  <si>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</si>
  <si>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</si>
  <si>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</si>
  <si>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</si>
  <si>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</si>
  <si>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</si>
  <si>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</si>
  <si>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</si>
  <si>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</si>
  <si>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</si>
  <si>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</si>
  <si>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</si>
  <si>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</si>
  <si>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</si>
  <si>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</si>
  <si>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</si>
  <si>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</si>
  <si>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</si>
  <si>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</si>
  <si>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</si>
  <si>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</si>
  <si>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</si>
  <si>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</si>
  <si>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</si>
  <si>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</si>
  <si>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</si>
  <si>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</si>
  <si>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</si>
  <si>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</si>
  <si>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</si>
  <si>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</si>
  <si>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</si>
  <si>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</si>
  <si>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</si>
  <si>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</si>
  <si>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</si>
  <si>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</si>
  <si>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</si>
  <si>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</si>
  <si>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</si>
  <si>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</si>
  <si>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</si>
  <si>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</si>
  <si>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</si>
  <si>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</si>
  <si>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</si>
  <si>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</si>
  <si>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</si>
  <si>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</si>
  <si>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</si>
  <si>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</si>
  <si>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</si>
  <si>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</si>
  <si>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</si>
  <si>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</si>
  <si>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</si>
  <si>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</si>
  <si>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</si>
  <si>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</si>
  <si>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</si>
  <si>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</si>
  <si>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</si>
  <si>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</si>
  <si>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</si>
  <si>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</si>
  <si>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</si>
  <si>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</si>
  <si>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</si>
  <si>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</si>
  <si>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</si>
  <si>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</si>
  <si>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</si>
  <si>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</si>
  <si>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</si>
  <si>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</si>
  <si>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</si>
  <si>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</si>
  <si>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</si>
  <si>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</si>
  <si>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</si>
  <si>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</si>
  <si>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</si>
  <si>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</si>
  <si>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</si>
  <si>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</si>
  <si>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</si>
  <si>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</si>
  <si>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</si>
  <si>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</si>
  <si>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</si>
  <si>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</si>
  <si>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</si>
  <si>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</si>
  <si>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</si>
  <si>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</si>
  <si>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</si>
  <si>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</si>
  <si>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</si>
  <si>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</si>
  <si>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</si>
  <si>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</si>
  <si>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</si>
  <si>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</si>
  <si>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</si>
  <si>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</si>
  <si>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</si>
  <si>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</si>
  <si>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</si>
  <si>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</si>
  <si>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</si>
  <si>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</si>
  <si>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</si>
  <si>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</si>
  <si>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</si>
  <si>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</si>
  <si>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</si>
  <si>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</si>
  <si>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</si>
  <si>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</si>
  <si>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</si>
  <si>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</si>
  <si>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</si>
  <si>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</si>
  <si>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いっしー</t>
  </si>
  <si>
    <t>いっしー</t>
    <phoneticPr fontId="1"/>
  </si>
  <si>
    <t>れんたろう</t>
  </si>
  <si>
    <t>れんたろう</t>
    <phoneticPr fontId="1"/>
  </si>
  <si>
    <t>ツモ</t>
  </si>
  <si>
    <t>ツモ支払</t>
  </si>
  <si>
    <t>*</t>
  </si>
  <si>
    <t>れんたろう</t>
    <phoneticPr fontId="1"/>
  </si>
  <si>
    <t>ロン</t>
  </si>
  <si>
    <t>放銃</t>
  </si>
  <si>
    <t>01</t>
  </si>
  <si>
    <t>だいち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</si>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</sst>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23</v>
      </c>
      <c r="E1" s="74" t="s">
        <v>3</v>
      </c>
      <c r="F1" s="65" t="s">
        <v>141</v>
      </c>
      <c r="G1" s="67"/>
      <c r="H1" s="67"/>
      <c r="I1" s="76"/>
      <c r="J1" s="68"/>
      <c r="K1" s="65" t="s">
        <v>143</v>
      </c>
      <c r="L1" s="67"/>
      <c r="M1" s="67"/>
      <c r="N1" s="76"/>
      <c r="O1" s="68"/>
      <c r="P1" s="65" t="s">
        <v>145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だいち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いっしー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れんたろう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だいち</v>
      </c>
      <c r="V2" s="39" t="str">
        <f>$K$1</f>
        <v>いっしー</v>
      </c>
      <c r="W2" s="18" t="str">
        <f>$P$1</f>
        <v>れんたろう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69" t="s">
        <v>22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69" t="s">
        <v>22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69" t="s">
        <v>22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>
        <v>2</v>
      </c>
      <c r="AD3" s="47"/>
      <c r="AE3" s="56"/>
      <c r="AF3" s="57" t="s">
        <v>88</v>
      </c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140</v>
      </c>
      <c r="F4" s="8" t="s">
        <v>147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27500</v>
      </c>
      <c r="K4" s="8" t="s">
        <v>146</v>
      </c>
      <c r="L4" s="9">
        <v>12000</v>
      </c>
      <c r="M4" s="9"/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147</v>
      </c>
      <c r="Q4" s="9">
        <v>-4500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30500</v>
      </c>
      <c r="U4" s="22">
        <f>IF($J4="","",ROUND(($J4-$J$3)/1000,0))</f>
        <v>-8</v>
      </c>
      <c r="V4" s="23">
        <f t="shared" ref="V4:V30" si="2">IF($O4="","",ROUND(($O4-$O$3)/1000,0))</f>
        <v>12</v>
      </c>
      <c r="W4" s="24">
        <f t="shared" ref="W4:W30" si="3">IF($T4="","",ROUND(($T4-$T$3)/1000,0))</f>
        <v>-5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>
        <v>1</v>
      </c>
      <c r="AX4" s="44">
        <v>6</v>
      </c>
      <c r="AY4" s="48" t="s">
        <v>148</v>
      </c>
      <c r="AZ4" s="59" t="s">
        <v>93</v>
      </c>
      <c r="BA4" s="60" t="s">
        <v>88</v>
      </c>
      <c r="BB4" s="60" t="s">
        <v>88</v>
      </c>
      <c r="BC4" s="60" t="s">
        <v>88</v>
      </c>
      <c r="BD4" s="60" t="s">
        <v>86</v>
      </c>
      <c r="BE4" s="60" t="s">
        <v>86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142</v>
      </c>
      <c r="F5" s="8" t="s">
        <v>146</v>
      </c>
      <c r="G5" s="9"/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28500</v>
      </c>
      <c r="K5" s="8" t="s">
        <v>147</v>
      </c>
      <c r="L5" s="9"/>
      <c r="M5" s="9"/>
      <c r="N5" s="10">
        <f t="shared" ref="N5:N30" si="6">_xlfn.SWITCH(K5,"ロン",$C5*1000,"ツモ",$C5*1000,"放銃",$C5*-1000,"ツモ支払",$C5*-500,"")</f>
        <v>0</v>
      </c>
      <c r="O5" s="32">
        <f t="shared" ref="O5:O30" si="7">IF(COUNTA($F5,$K5,$P5)&gt;0,O4+SUM(L5:N5),"")</f>
        <v>47000</v>
      </c>
      <c r="P5" s="8" t="s">
        <v>147</v>
      </c>
      <c r="Q5" s="9"/>
      <c r="R5" s="9">
        <v>-1000</v>
      </c>
      <c r="S5" s="10">
        <f t="shared" si="1"/>
        <v>0</v>
      </c>
      <c r="T5" s="32">
        <f t="shared" ref="T5:T30" si="8">IF(COUNTA($F5,$K5,$P5)&gt;0,T4+SUM(Q5:S5),"")</f>
        <v>29500</v>
      </c>
      <c r="U5" s="22">
        <f t="shared" ref="U5:U30" si="9">IF($J5="","",ROUND(($J5-$J$3)/1000,0))</f>
        <v>-7</v>
      </c>
      <c r="V5" s="23">
        <f t="shared" si="2"/>
        <v>12</v>
      </c>
      <c r="W5" s="24">
        <f t="shared" si="3"/>
        <v>-6</v>
      </c>
      <c r="Y5" s="8"/>
      <c r="Z5" s="53"/>
      <c r="AA5" s="44"/>
      <c r="AB5" s="44">
        <v>1</v>
      </c>
      <c r="AC5" s="44">
        <v>1</v>
      </c>
      <c r="AD5" s="48">
        <v>25</v>
      </c>
      <c r="AE5" s="59" t="s">
        <v>93</v>
      </c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>
        <v>1</v>
      </c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3</v>
      </c>
      <c r="C6" s="29">
        <f t="shared" ref="C6:C30" si="12">IF($E6="","",IF($E5=$E6,C5+1,0))</f>
        <v>0</v>
      </c>
      <c r="D6" s="29">
        <f t="shared" ref="D6:D30" si="13">IF($E6="","",IF(OR($F5="流局",$F5="チョンボ"),D5+($H5+$M5+$R5)/-1000,0))</f>
        <v>0</v>
      </c>
      <c r="E6" s="4" t="s">
        <v>149</v>
      </c>
      <c r="F6" s="8" t="s">
        <v>150</v>
      </c>
      <c r="G6" s="9">
        <v>2600</v>
      </c>
      <c r="H6" s="9">
        <v>1000</v>
      </c>
      <c r="I6" s="10">
        <f t="shared" si="4"/>
        <v>0</v>
      </c>
      <c r="J6" s="32">
        <f t="shared" si="5"/>
        <v>32100</v>
      </c>
      <c r="K6" s="8"/>
      <c r="L6" s="9"/>
      <c r="M6" s="9">
        <v>-1000</v>
      </c>
      <c r="N6" s="10" t="str">
        <f t="shared" si="6"/>
        <v/>
      </c>
      <c r="O6" s="32">
        <f t="shared" si="7"/>
        <v>46000</v>
      </c>
      <c r="P6" s="8" t="s">
        <v>151</v>
      </c>
      <c r="Q6" s="9">
        <v>-2600</v>
      </c>
      <c r="R6" s="9"/>
      <c r="S6" s="10">
        <f t="shared" si="1"/>
        <v>0</v>
      </c>
      <c r="T6" s="32">
        <f t="shared" si="8"/>
        <v>26900</v>
      </c>
      <c r="U6" s="22">
        <f t="shared" si="9"/>
        <v>-3</v>
      </c>
      <c r="V6" s="23">
        <f t="shared" si="2"/>
        <v>11</v>
      </c>
      <c r="W6" s="24">
        <f t="shared" si="3"/>
        <v>-8</v>
      </c>
      <c r="Y6" s="8"/>
      <c r="Z6" s="53"/>
      <c r="AA6" s="44">
        <v>1</v>
      </c>
      <c r="AB6" s="44"/>
      <c r="AC6" s="44">
        <v>2</v>
      </c>
      <c r="AD6" s="48">
        <v>40</v>
      </c>
      <c r="AE6" s="59" t="s">
        <v>152</v>
      </c>
      <c r="AF6" s="60" t="s">
        <v>88</v>
      </c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>南</v>
      </c>
      <c r="B7" s="29">
        <f t="shared" si="11"/>
        <v>1</v>
      </c>
      <c r="C7" s="29">
        <f t="shared" si="12"/>
        <v>0</v>
      </c>
      <c r="D7" s="29">
        <f t="shared" si="13"/>
        <v>0</v>
      </c>
      <c r="E7" s="4" t="s">
        <v>153</v>
      </c>
      <c r="F7" s="8" t="s">
        <v>154</v>
      </c>
      <c r="G7" s="9">
        <v>3000</v>
      </c>
      <c r="H7" s="9">
        <v>-1000</v>
      </c>
      <c r="I7" s="10" t="str">
        <f t="shared" si="4"/>
        <v/>
      </c>
      <c r="J7" s="32">
        <f t="shared" si="5"/>
        <v>34100</v>
      </c>
      <c r="K7" s="8" t="s">
        <v>154</v>
      </c>
      <c r="L7" s="9">
        <v>-1500</v>
      </c>
      <c r="M7" s="9"/>
      <c r="N7" s="10" t="str">
        <f t="shared" si="6"/>
        <v/>
      </c>
      <c r="O7" s="32">
        <f t="shared" si="7"/>
        <v>44500</v>
      </c>
      <c r="P7" s="8" t="s">
        <v>154</v>
      </c>
      <c r="Q7" s="9">
        <v>-1500</v>
      </c>
      <c r="R7" s="9"/>
      <c r="S7" s="10" t="str">
        <f t="shared" si="1"/>
        <v/>
      </c>
      <c r="T7" s="32">
        <f t="shared" si="8"/>
        <v>25400</v>
      </c>
      <c r="U7" s="22">
        <f t="shared" si="9"/>
        <v>-1</v>
      </c>
      <c r="V7" s="23">
        <f t="shared" si="2"/>
        <v>10</v>
      </c>
      <c r="W7" s="24">
        <f t="shared" si="3"/>
        <v>-10</v>
      </c>
      <c r="Y7" s="8"/>
      <c r="Z7" s="53"/>
      <c r="AA7" s="44">
        <v>1</v>
      </c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>南</v>
      </c>
      <c r="B8" s="29">
        <f t="shared" si="11"/>
        <v>1</v>
      </c>
      <c r="C8" s="29">
        <f t="shared" si="12"/>
        <v>1</v>
      </c>
      <c r="D8" s="29">
        <f t="shared" si="13"/>
        <v>1</v>
      </c>
      <c r="E8" s="4" t="s">
        <v>140</v>
      </c>
      <c r="F8" s="8" t="s">
        <v>150</v>
      </c>
      <c r="G8" s="9">
        <v>3900</v>
      </c>
      <c r="H8" s="9">
        <v>1000</v>
      </c>
      <c r="I8" s="10">
        <f t="shared" si="4"/>
        <v>1000</v>
      </c>
      <c r="J8" s="32">
        <f t="shared" si="5"/>
        <v>40000</v>
      </c>
      <c r="K8" s="8"/>
      <c r="L8" s="9"/>
      <c r="M8" s="9"/>
      <c r="N8" s="10" t="str">
        <f t="shared" si="6"/>
        <v/>
      </c>
      <c r="O8" s="32">
        <f t="shared" si="7"/>
        <v>44500</v>
      </c>
      <c r="P8" s="8" t="s">
        <v>151</v>
      </c>
      <c r="Q8" s="9">
        <v>-3900</v>
      </c>
      <c r="R8" s="9"/>
      <c r="S8" s="10">
        <f t="shared" si="1"/>
        <v>-1000</v>
      </c>
      <c r="T8" s="32">
        <f t="shared" si="8"/>
        <v>20500</v>
      </c>
      <c r="U8" s="22">
        <f t="shared" si="9"/>
        <v>5</v>
      </c>
      <c r="V8" s="23">
        <f t="shared" si="2"/>
        <v>10</v>
      </c>
      <c r="W8" s="24">
        <f t="shared" si="3"/>
        <v>-15</v>
      </c>
      <c r="Y8" s="8"/>
      <c r="Z8" s="53"/>
      <c r="AA8" s="44"/>
      <c r="AB8" s="44">
        <v>1</v>
      </c>
      <c r="AC8" s="44">
        <v>3</v>
      </c>
      <c r="AD8" s="48">
        <v>20</v>
      </c>
      <c r="AE8" s="59" t="s">
        <v>93</v>
      </c>
      <c r="AF8" s="60" t="s">
        <v>88</v>
      </c>
      <c r="AG8" s="60" t="s">
        <v>86</v>
      </c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>
        <v>1</v>
      </c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>南</v>
      </c>
      <c r="B9" s="29">
        <f t="shared" si="11"/>
        <v>1</v>
      </c>
      <c r="C9" s="29">
        <f t="shared" si="12"/>
        <v>2</v>
      </c>
      <c r="D9" s="29">
        <f t="shared" si="13"/>
        <v>0</v>
      </c>
      <c r="E9" s="4" t="s">
        <v>140</v>
      </c>
      <c r="F9" s="8" t="s">
        <v>147</v>
      </c>
      <c r="G9" s="9">
        <v>-20000</v>
      </c>
      <c r="H9" s="9"/>
      <c r="I9" s="10">
        <f t="shared" si="4"/>
        <v>-1000</v>
      </c>
      <c r="J9" s="32">
        <f t="shared" si="5"/>
        <v>19000</v>
      </c>
      <c r="K9" s="8" t="s">
        <v>147</v>
      </c>
      <c r="L9" s="9">
        <v>-12000</v>
      </c>
      <c r="M9" s="9"/>
      <c r="N9" s="10">
        <f t="shared" si="6"/>
        <v>-1000</v>
      </c>
      <c r="O9" s="32">
        <f t="shared" si="7"/>
        <v>31500</v>
      </c>
      <c r="P9" s="8" t="s">
        <v>146</v>
      </c>
      <c r="Q9" s="9">
        <v>32000</v>
      </c>
      <c r="R9" s="9"/>
      <c r="S9" s="10">
        <f t="shared" si="1"/>
        <v>2000</v>
      </c>
      <c r="T9" s="32">
        <f t="shared" si="8"/>
        <v>54500</v>
      </c>
      <c r="U9" s="22">
        <f t="shared" si="9"/>
        <v>-16</v>
      </c>
      <c r="V9" s="23">
        <f t="shared" si="2"/>
        <v>-4</v>
      </c>
      <c r="W9" s="24">
        <f t="shared" si="3"/>
        <v>20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13</v>
      </c>
      <c r="BT9" s="48" t="s">
        <v>148</v>
      </c>
      <c r="BU9" s="59" t="s">
        <v>115</v>
      </c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>南</v>
      </c>
      <c r="B10" s="29">
        <f t="shared" si="11"/>
        <v>2</v>
      </c>
      <c r="C10" s="29">
        <f t="shared" si="12"/>
        <v>0</v>
      </c>
      <c r="D10" s="29">
        <f t="shared" si="13"/>
        <v>0</v>
      </c>
      <c r="E10" s="4" t="s">
        <v>142</v>
      </c>
      <c r="F10" s="8" t="s">
        <v>146</v>
      </c>
      <c r="G10" s="9">
        <v>8000</v>
      </c>
      <c r="H10" s="9"/>
      <c r="I10" s="10">
        <f t="shared" si="4"/>
        <v>0</v>
      </c>
      <c r="J10" s="32">
        <f t="shared" si="5"/>
        <v>27000</v>
      </c>
      <c r="K10" s="8" t="s">
        <v>147</v>
      </c>
      <c r="L10" s="9">
        <v>-5000</v>
      </c>
      <c r="M10" s="9"/>
      <c r="N10" s="10">
        <f t="shared" si="6"/>
        <v>0</v>
      </c>
      <c r="O10" s="32">
        <f t="shared" si="7"/>
        <v>26500</v>
      </c>
      <c r="P10" s="8" t="s">
        <v>147</v>
      </c>
      <c r="Q10" s="9">
        <v>-3000</v>
      </c>
      <c r="R10" s="9"/>
      <c r="S10" s="10">
        <f t="shared" si="1"/>
        <v>0</v>
      </c>
      <c r="T10" s="32">
        <f t="shared" si="8"/>
        <v>51500</v>
      </c>
      <c r="U10" s="22">
        <f t="shared" si="9"/>
        <v>-8</v>
      </c>
      <c r="V10" s="23">
        <f t="shared" si="2"/>
        <v>-9</v>
      </c>
      <c r="W10" s="24">
        <f t="shared" si="3"/>
        <v>17</v>
      </c>
      <c r="Y10" s="8"/>
      <c r="Z10" s="53"/>
      <c r="AA10" s="44"/>
      <c r="AB10" s="44">
        <v>1</v>
      </c>
      <c r="AC10" s="44">
        <v>5</v>
      </c>
      <c r="AD10" s="48" t="s">
        <v>148</v>
      </c>
      <c r="AE10" s="59" t="s">
        <v>88</v>
      </c>
      <c r="AF10" s="60" t="s">
        <v>88</v>
      </c>
      <c r="AG10" s="60" t="s">
        <v>93</v>
      </c>
      <c r="AH10" s="60" t="s">
        <v>86</v>
      </c>
      <c r="AI10" s="60" t="s">
        <v>86</v>
      </c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>南</v>
      </c>
      <c r="B11" s="29">
        <f t="shared" si="11"/>
        <v>3</v>
      </c>
      <c r="C11" s="29">
        <f t="shared" si="12"/>
        <v>0</v>
      </c>
      <c r="D11" s="29">
        <f t="shared" si="13"/>
        <v>0</v>
      </c>
      <c r="E11" s="4" t="s">
        <v>144</v>
      </c>
      <c r="F11" s="8" t="s">
        <v>147</v>
      </c>
      <c r="G11" s="9">
        <v>-9000</v>
      </c>
      <c r="H11" s="9"/>
      <c r="I11" s="10">
        <f t="shared" si="4"/>
        <v>0</v>
      </c>
      <c r="J11" s="32">
        <f t="shared" si="5"/>
        <v>18000</v>
      </c>
      <c r="K11" s="8" t="s">
        <v>147</v>
      </c>
      <c r="L11" s="9">
        <v>-9000</v>
      </c>
      <c r="M11" s="9"/>
      <c r="N11" s="10">
        <f t="shared" si="6"/>
        <v>0</v>
      </c>
      <c r="O11" s="32">
        <f t="shared" si="7"/>
        <v>17500</v>
      </c>
      <c r="P11" s="8" t="s">
        <v>146</v>
      </c>
      <c r="Q11" s="9">
        <v>18000</v>
      </c>
      <c r="R11" s="9"/>
      <c r="S11" s="10">
        <f t="shared" si="1"/>
        <v>0</v>
      </c>
      <c r="T11" s="32">
        <f t="shared" si="8"/>
        <v>69500</v>
      </c>
      <c r="U11" s="22">
        <f t="shared" si="9"/>
        <v>-17</v>
      </c>
      <c r="V11" s="23">
        <f t="shared" si="2"/>
        <v>-18</v>
      </c>
      <c r="W11" s="24">
        <f t="shared" si="3"/>
        <v>35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>
        <v>1</v>
      </c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>
        <v>7</v>
      </c>
      <c r="BT11" s="48" t="s">
        <v>148</v>
      </c>
      <c r="BU11" s="59" t="s">
        <v>152</v>
      </c>
      <c r="BV11" s="60" t="s">
        <v>89</v>
      </c>
      <c r="BW11" s="60" t="s">
        <v>88</v>
      </c>
      <c r="BX11" s="60" t="s">
        <v>88</v>
      </c>
      <c r="BY11" s="60" t="s">
        <v>93</v>
      </c>
      <c r="BZ11" s="60" t="s">
        <v>93</v>
      </c>
      <c r="CA11" s="60" t="s">
        <v>87</v>
      </c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2018-12-14T07:45:13Z</dcterms:modified>
</cp:coreProperties>
</file>