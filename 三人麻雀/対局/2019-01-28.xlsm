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1CA59B0D-6708-405C-9FD1-43ADDCF6D00C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/>
  <c r="T11" i="16"/>
  <c r="W11" i="16" s="1"/>
  <c r="O11" i="16"/>
  <c r="V11" i="16" s="1"/>
  <c r="J11" i="16"/>
  <c r="U11" i="16" s="1"/>
  <c r="D11" i="16"/>
  <c r="C11" i="16"/>
  <c r="B11" i="16"/>
  <c r="A11" i="16"/>
  <c r="T10" i="16"/>
  <c r="W10" i="16" s="1"/>
  <c r="O10" i="16"/>
  <c r="V10" i="16" s="1"/>
  <c r="J10" i="16"/>
  <c r="U10" i="16" s="1"/>
  <c r="D10" i="16"/>
  <c r="C10" i="16"/>
  <c r="B10" i="16"/>
  <c r="A10" i="16"/>
  <c r="D9" i="16"/>
  <c r="D8" i="16"/>
  <c r="C8" i="16"/>
  <c r="C9" i="16" s="1"/>
  <c r="D7" i="16"/>
  <c r="C7" i="16"/>
  <c r="D6" i="16"/>
  <c r="C6" i="16"/>
  <c r="O5" i="16"/>
  <c r="O6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A5" i="16" l="1"/>
  <c r="V5" i="16"/>
  <c r="B7" i="16"/>
  <c r="A7" i="16" s="1"/>
  <c r="V6" i="16"/>
  <c r="O7" i="16"/>
  <c r="T5" i="16"/>
  <c r="A6" i="16"/>
  <c r="J6" i="16"/>
  <c r="U6" i="16" l="1"/>
  <c r="J7" i="16"/>
  <c r="T6" i="16"/>
  <c r="W5" i="16"/>
  <c r="O8" i="16"/>
  <c r="V7" i="16"/>
  <c r="B8" i="16"/>
  <c r="A8" i="16" s="1"/>
  <c r="B9" i="16" l="1"/>
  <c r="A9" i="16" s="1"/>
  <c r="W6" i="16"/>
  <c r="T7" i="16"/>
  <c r="U7" i="16"/>
  <c r="J8" i="16"/>
  <c r="V8" i="16"/>
  <c r="O9" i="16"/>
  <c r="V9" i="16" s="1"/>
  <c r="T8" i="16" l="1"/>
  <c r="W7" i="16"/>
  <c r="U8" i="16"/>
  <c r="J9" i="16"/>
  <c r="U9" i="16" s="1"/>
  <c r="W8" i="16" l="1"/>
  <c r="T9" i="16"/>
  <c r="W9" i="16" s="1"/>
  <c r="W3" i="1" l="1"/>
  <c r="V3" i="1"/>
  <c r="U3" i="1"/>
  <c r="B5" i="1" l="1"/>
  <c r="A5" i="1" s="1"/>
  <c r="D6" i="1"/>
  <c r="C6" i="1"/>
  <c r="B6" i="1"/>
  <c r="A6" i="1" s="1"/>
  <c r="D5" i="1"/>
  <c r="C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O7" i="1"/>
  <c r="V6" i="1"/>
  <c r="J7" i="1"/>
  <c r="U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V9" i="1" l="1"/>
  <c r="U9" i="1"/>
  <c r="W7" i="1"/>
  <c r="J10" i="1"/>
  <c r="J11" i="1"/>
  <c r="U11" i="1" s="1"/>
  <c r="O10" i="1"/>
  <c r="T9" i="1"/>
  <c r="B14" i="1"/>
  <c r="A14" i="1" s="1"/>
  <c r="U10" i="1" l="1"/>
  <c r="V10" i="1"/>
  <c r="W9" i="1"/>
  <c r="O11" i="1"/>
  <c r="V11" i="1" s="1"/>
  <c r="J12" i="1"/>
  <c r="U12" i="1" s="1"/>
  <c r="T10" i="1"/>
  <c r="W10" i="1" l="1"/>
  <c r="J13" i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<sst xmlns="http://schemas.openxmlformats.org/spreadsheetml/2006/main" count="610" uniqueCount="148">
  <si>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</si>
  <si>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</si>
  <si>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</si>
  <si>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</si>
  <si>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</si>
  <si>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</si>
  <si>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</si>
  <si>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</si>
  <si>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</si>
  <si>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</si>
  <si>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</si>
  <si>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</si>
  <si>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</si>
  <si>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</si>
  <si>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</si>
  <si>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</si>
  <si>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</si>
  <si>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</si>
  <si>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</si>
  <si>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</si>
  <si>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</si>
  <si>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</si>
  <si>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</si>
  <si>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</si>
  <si>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</si>
  <si>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</si>
  <si>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</si>
  <si>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</si>
  <si>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</si>
  <si>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</si>
  <si>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</si>
  <si>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</si>
  <si>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</si>
  <si>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</si>
  <si>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</si>
  <si>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</si>
  <si>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</si>
  <si>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</si>
  <si>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</si>
  <si>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</si>
  <si>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</si>
  <si>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</si>
  <si>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</si>
  <si>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</si>
  <si>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</si>
  <si>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</si>
  <si>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</si>
  <si>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</si>
  <si>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</si>
  <si>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</si>
  <si>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</si>
  <si>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</si>
  <si>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</si>
  <si>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</si>
  <si>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</si>
  <si>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</si>
  <si>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</si>
  <si>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</si>
  <si>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</si>
  <si>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</si>
  <si>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</si>
  <si>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</si>
  <si>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</si>
  <si>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</si>
  <si>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</si>
  <si>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</si>
  <si>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</si>
  <si>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</si>
  <si>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</si>
  <si>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</si>
  <si>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</si>
  <si>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</si>
  <si>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</si>
  <si>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</si>
  <si>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</si>
  <si>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</si>
  <si>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</si>
  <si>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</si>
  <si>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</si>
  <si>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</si>
  <si>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</si>
  <si>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</si>
  <si>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</si>
  <si>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</si>
  <si>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</si>
  <si>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</si>
  <si>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</si>
  <si>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</si>
  <si>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</si>
  <si>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</si>
  <si>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</si>
  <si>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</si>
  <si>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</si>
  <si>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</si>
  <si>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</si>
  <si>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</si>
  <si>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</si>
  <si>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</si>
  <si>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</si>
  <si>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</si>
  <si>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</si>
  <si>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</si>
  <si>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</si>
  <si>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</si>
  <si>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</si>
  <si>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</si>
  <si>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</si>
  <si>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</si>
  <si>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</si>
  <si>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</si>
  <si>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</si>
  <si>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</si>
  <si>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</si>
  <si>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</si>
  <si>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</si>
  <si>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</si>
  <si>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</si>
  <si>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</si>
  <si>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</si>
  <si>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</si>
  <si>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</si>
  <si>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</si>
  <si>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</si>
  <si>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</si>
  <si>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</si>
  <si>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</si>
  <si>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</si>
  <si>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</si>
  <si>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</si>
  <si>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</si>
  <si>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</si>
  <si>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</si>
  <si>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</si>
  <si>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</si>
  <si>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</si>
  <si>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</si>
  <si>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</si>
  <si>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ただ</t>
  </si>
  <si>
    <t>ただ</t>
    <phoneticPr fontId="1"/>
  </si>
  <si>
    <t>れんたろう</t>
  </si>
  <si>
    <t>れんたろう</t>
    <phoneticPr fontId="1"/>
  </si>
  <si>
    <t>ツモ</t>
  </si>
  <si>
    <t>ツモ支払</t>
  </si>
  <si>
    <t>*</t>
  </si>
  <si>
    <t>01</t>
  </si>
  <si>
    <t>放銃</t>
  </si>
  <si>
    <t>ロン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</si>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</sst>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ただ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141</v>
      </c>
      <c r="G4" s="9">
        <v>8000</v>
      </c>
      <c r="H4" s="9"/>
      <c r="I4" s="55">
        <v>0</v>
      </c>
      <c r="J4" s="21">
        <f>IF(COUNTA($F4,$K4,$P4)&gt;0,J3+SUM(G4:I4),"")</f>
        <v>43000</v>
      </c>
      <c r="K4" s="8" t="s">
        <v>142</v>
      </c>
      <c r="L4" s="9">
        <v>-3000</v>
      </c>
      <c r="M4" s="9"/>
      <c r="N4" s="55">
        <v>0</v>
      </c>
      <c r="O4" s="21">
        <f>IF(COUNTA($F4,$K4,$P4)&gt;0,O3+SUM(L4:N4),"")</f>
        <v>32000</v>
      </c>
      <c r="P4" s="8" t="s">
        <v>142</v>
      </c>
      <c r="Q4" s="9">
        <v>-5000</v>
      </c>
      <c r="R4" s="9"/>
      <c r="S4" s="55">
        <v>0</v>
      </c>
      <c r="T4" s="21">
        <f>IF(COUNTA($F4,$K4,$P4)&gt;0,T3+SUM(Q4:S4),"")</f>
        <v>30000</v>
      </c>
      <c r="U4" s="60">
        <f t="shared" ref="U4:U30" si="0">IF($J4="","",ROUND(($J4-$J$3)/1000,1))</f>
        <v>8</v>
      </c>
      <c r="V4" s="61">
        <f t="shared" ref="V4:V30" si="1">IF($O4="","",ROUND(($O4-$O$3)/1000,1))</f>
        <v>-3</v>
      </c>
      <c r="W4" s="62">
        <f t="shared" ref="W4:W30" si="2">IF($T4="","",ROUND(($T4-$T$3)/1000,1))</f>
        <v>-5</v>
      </c>
      <c r="Y4" s="8"/>
      <c r="Z4" s="41"/>
      <c r="AA4" s="32"/>
      <c r="AB4" s="32"/>
      <c r="AC4" s="32">
        <v>5</v>
      </c>
      <c r="AD4" s="36" t="s">
        <v>143</v>
      </c>
      <c r="AE4" s="47" t="s">
        <v>144</v>
      </c>
      <c r="AF4" s="48" t="s">
        <v>80</v>
      </c>
      <c r="AG4" s="48" t="s">
        <v>82</v>
      </c>
      <c r="AH4" s="48" t="s">
        <v>82</v>
      </c>
      <c r="AI4" s="48" t="s">
        <v>87</v>
      </c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6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135</v>
      </c>
      <c r="F5" s="8" t="s">
        <v>142</v>
      </c>
      <c r="G5" s="9">
        <v>-7500</v>
      </c>
      <c r="H5" s="9"/>
      <c r="I5" s="55">
        <v>0</v>
      </c>
      <c r="J5" s="21">
        <f t="shared" ref="J5:J30" si="6">IF(COUNTA($F5,$K5,$P5)&gt;0,J4+SUM(G5:I5),"")</f>
        <v>35500</v>
      </c>
      <c r="K5" s="8" t="s">
        <v>141</v>
      </c>
      <c r="L5" s="9">
        <v>12000</v>
      </c>
      <c r="M5" s="9"/>
      <c r="N5" s="55">
        <v>0</v>
      </c>
      <c r="O5" s="21">
        <f t="shared" ref="O5:O30" si="7">IF(COUNTA($F5,$K5,$P5)&gt;0,O4+SUM(L5:N5),"")</f>
        <v>44000</v>
      </c>
      <c r="P5" s="8" t="s">
        <v>142</v>
      </c>
      <c r="Q5" s="9">
        <v>-4500</v>
      </c>
      <c r="R5" s="9"/>
      <c r="S5" s="55">
        <v>0</v>
      </c>
      <c r="T5" s="21">
        <f t="shared" ref="T5:T30" si="8">IF(COUNTA($F5,$K5,$P5)&gt;0,T4+SUM(Q5:S5),"")</f>
        <v>25500</v>
      </c>
      <c r="U5" s="60">
        <f t="shared" si="0"/>
        <v>0.5</v>
      </c>
      <c r="V5" s="61">
        <f t="shared" si="1"/>
        <v>9</v>
      </c>
      <c r="W5" s="62">
        <f t="shared" si="2"/>
        <v>-9.5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6</v>
      </c>
      <c r="AY5" s="36" t="s">
        <v>143</v>
      </c>
      <c r="AZ5" s="47" t="s">
        <v>87</v>
      </c>
      <c r="BA5" s="48" t="s">
        <v>105</v>
      </c>
      <c r="BB5" s="48" t="s">
        <v>80</v>
      </c>
      <c r="BC5" s="48" t="s">
        <v>80</v>
      </c>
      <c r="BD5" s="48" t="s">
        <v>82</v>
      </c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137</v>
      </c>
      <c r="F6" s="8" t="s">
        <v>145</v>
      </c>
      <c r="G6" s="9">
        <v>-5200</v>
      </c>
      <c r="H6" s="9"/>
      <c r="I6" s="55">
        <v>0</v>
      </c>
      <c r="J6" s="21">
        <f t="shared" si="6"/>
        <v>30300</v>
      </c>
      <c r="K6" s="8"/>
      <c r="L6" s="9"/>
      <c r="M6" s="9"/>
      <c r="N6" s="55"/>
      <c r="O6" s="21">
        <f t="shared" si="7"/>
        <v>44000</v>
      </c>
      <c r="P6" s="8" t="s">
        <v>146</v>
      </c>
      <c r="Q6" s="9">
        <v>5200</v>
      </c>
      <c r="R6" s="9"/>
      <c r="S6" s="55">
        <v>0</v>
      </c>
      <c r="T6" s="21">
        <f t="shared" si="8"/>
        <v>30700</v>
      </c>
      <c r="U6" s="60">
        <f t="shared" si="0"/>
        <v>-4.7</v>
      </c>
      <c r="V6" s="61">
        <f t="shared" si="1"/>
        <v>9</v>
      </c>
      <c r="W6" s="62">
        <f t="shared" si="2"/>
        <v>-4.3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3</v>
      </c>
      <c r="BT6" s="36">
        <v>40</v>
      </c>
      <c r="BU6" s="47" t="s">
        <v>144</v>
      </c>
      <c r="BV6" s="48" t="s">
        <v>85</v>
      </c>
      <c r="BW6" s="48" t="s">
        <v>80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南</v>
      </c>
      <c r="B7" s="18">
        <f t="shared" si="9"/>
        <v>1</v>
      </c>
      <c r="C7" s="18">
        <f t="shared" ref="C7:C30" si="11">IF($E7="","",IF(F6="チョンボ",C6,IF($E6=$E7,C6+1,0)))</f>
        <v>0</v>
      </c>
      <c r="D7" s="18">
        <f t="shared" si="5"/>
        <v>0</v>
      </c>
      <c r="E7" s="4" t="s">
        <v>139</v>
      </c>
      <c r="F7" s="8" t="s">
        <v>146</v>
      </c>
      <c r="G7" s="9">
        <v>5200</v>
      </c>
      <c r="H7" s="9"/>
      <c r="I7" s="55">
        <v>0</v>
      </c>
      <c r="J7" s="21">
        <f t="shared" si="6"/>
        <v>35500</v>
      </c>
      <c r="K7" s="8"/>
      <c r="L7" s="9"/>
      <c r="M7" s="9"/>
      <c r="N7" s="55"/>
      <c r="O7" s="21">
        <f t="shared" si="7"/>
        <v>44000</v>
      </c>
      <c r="P7" s="8" t="s">
        <v>145</v>
      </c>
      <c r="Q7" s="9">
        <v>-5200</v>
      </c>
      <c r="R7" s="9"/>
      <c r="S7" s="55">
        <v>0</v>
      </c>
      <c r="T7" s="21">
        <f t="shared" si="8"/>
        <v>25500</v>
      </c>
      <c r="U7" s="60">
        <f t="shared" si="0"/>
        <v>0.5</v>
      </c>
      <c r="V7" s="61">
        <f t="shared" si="1"/>
        <v>9</v>
      </c>
      <c r="W7" s="62">
        <f t="shared" si="2"/>
        <v>-9.5</v>
      </c>
      <c r="Y7" s="8"/>
      <c r="Z7" s="41"/>
      <c r="AA7" s="32">
        <v>1</v>
      </c>
      <c r="AB7" s="32"/>
      <c r="AC7" s="32">
        <v>3</v>
      </c>
      <c r="AD7" s="36">
        <v>40</v>
      </c>
      <c r="AE7" s="47" t="s">
        <v>144</v>
      </c>
      <c r="AF7" s="48" t="s">
        <v>85</v>
      </c>
      <c r="AG7" s="48" t="s">
        <v>82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南</v>
      </c>
      <c r="B8" s="18">
        <f t="shared" si="9"/>
        <v>2</v>
      </c>
      <c r="C8" s="18">
        <f t="shared" si="11"/>
        <v>0</v>
      </c>
      <c r="D8" s="18">
        <f t="shared" si="5"/>
        <v>0</v>
      </c>
      <c r="E8" s="4" t="s">
        <v>135</v>
      </c>
      <c r="F8" s="8" t="s">
        <v>146</v>
      </c>
      <c r="G8" s="9">
        <v>24000</v>
      </c>
      <c r="H8" s="9"/>
      <c r="I8" s="55">
        <v>0</v>
      </c>
      <c r="J8" s="21">
        <f t="shared" si="6"/>
        <v>59500</v>
      </c>
      <c r="K8" s="8"/>
      <c r="L8" s="9"/>
      <c r="M8" s="9"/>
      <c r="N8" s="55"/>
      <c r="O8" s="21">
        <f t="shared" si="7"/>
        <v>44000</v>
      </c>
      <c r="P8" s="8" t="s">
        <v>145</v>
      </c>
      <c r="Q8" s="9">
        <v>-24000</v>
      </c>
      <c r="R8" s="9"/>
      <c r="S8" s="55">
        <v>0</v>
      </c>
      <c r="T8" s="21">
        <f t="shared" si="8"/>
        <v>1500</v>
      </c>
      <c r="U8" s="60">
        <f t="shared" si="0"/>
        <v>24.5</v>
      </c>
      <c r="V8" s="61">
        <f t="shared" si="1"/>
        <v>9</v>
      </c>
      <c r="W8" s="62">
        <f t="shared" si="2"/>
        <v>-33.5</v>
      </c>
      <c r="Y8" s="8"/>
      <c r="Z8" s="41"/>
      <c r="AA8" s="32"/>
      <c r="AB8" s="32">
        <v>1</v>
      </c>
      <c r="AC8" s="32">
        <v>8</v>
      </c>
      <c r="AD8" s="36" t="s">
        <v>143</v>
      </c>
      <c r="AE8" s="47" t="s">
        <v>105</v>
      </c>
      <c r="AF8" s="48" t="s">
        <v>99</v>
      </c>
      <c r="AG8" s="48" t="s">
        <v>87</v>
      </c>
      <c r="AH8" s="48" t="s">
        <v>87</v>
      </c>
      <c r="AI8" s="48" t="s">
        <v>82</v>
      </c>
      <c r="AJ8" s="48" t="s">
        <v>82</v>
      </c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9"/>
        <v>2</v>
      </c>
      <c r="C9" s="18">
        <f t="shared" si="11"/>
        <v>1</v>
      </c>
      <c r="D9" s="18">
        <f t="shared" si="5"/>
        <v>0</v>
      </c>
      <c r="E9" s="4" t="s">
        <v>135</v>
      </c>
      <c r="F9" s="8" t="s">
        <v>142</v>
      </c>
      <c r="G9" s="9">
        <v>-1300</v>
      </c>
      <c r="H9" s="9">
        <v>-1000</v>
      </c>
      <c r="I9" s="55">
        <v>-500</v>
      </c>
      <c r="J9" s="21">
        <f t="shared" si="6"/>
        <v>56700</v>
      </c>
      <c r="K9" s="8" t="s">
        <v>141</v>
      </c>
      <c r="L9" s="9">
        <v>2100</v>
      </c>
      <c r="M9" s="9">
        <v>2000</v>
      </c>
      <c r="N9" s="55">
        <v>1000</v>
      </c>
      <c r="O9" s="21">
        <f t="shared" si="7"/>
        <v>49100</v>
      </c>
      <c r="P9" s="8" t="s">
        <v>142</v>
      </c>
      <c r="Q9" s="9">
        <v>-800</v>
      </c>
      <c r="R9" s="9">
        <v>-1000</v>
      </c>
      <c r="S9" s="55">
        <v>-500</v>
      </c>
      <c r="T9" s="21">
        <f t="shared" si="8"/>
        <v>-800</v>
      </c>
      <c r="U9" s="60">
        <f t="shared" si="0"/>
        <v>21.7</v>
      </c>
      <c r="V9" s="61">
        <f t="shared" si="1"/>
        <v>14.1</v>
      </c>
      <c r="W9" s="62">
        <f t="shared" si="2"/>
        <v>-35.799999999999997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>
        <v>2</v>
      </c>
      <c r="AY9" s="36">
        <v>30</v>
      </c>
      <c r="AZ9" s="47" t="s">
        <v>87</v>
      </c>
      <c r="BA9" s="48" t="s">
        <v>87</v>
      </c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/>
      </c>
      <c r="B10" s="18" t="str">
        <f t="shared" si="9"/>
        <v/>
      </c>
      <c r="C10" s="18" t="str">
        <f t="shared" si="11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9"/>
        <v/>
      </c>
      <c r="C11" s="18" t="str">
        <f t="shared" si="11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9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268C4-2113-4562-A066-D4DC2D128230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ただ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142</v>
      </c>
      <c r="G4" s="9">
        <v>-7500</v>
      </c>
      <c r="H4" s="9"/>
      <c r="I4" s="55">
        <v>0</v>
      </c>
      <c r="J4" s="21">
        <f>IF(COUNTA($F4,$K4,$P4)&gt;0,J3+SUM(G4:I4),"")</f>
        <v>27500</v>
      </c>
      <c r="K4" s="8" t="s">
        <v>142</v>
      </c>
      <c r="L4" s="9">
        <v>-4500</v>
      </c>
      <c r="M4" s="9">
        <v>-1000</v>
      </c>
      <c r="N4" s="55">
        <v>0</v>
      </c>
      <c r="O4" s="21">
        <f>IF(COUNTA($F4,$K4,$P4)&gt;0,O3+SUM(L4:N4),"")</f>
        <v>29500</v>
      </c>
      <c r="P4" s="8" t="s">
        <v>141</v>
      </c>
      <c r="Q4" s="9">
        <v>12000</v>
      </c>
      <c r="R4" s="9">
        <v>1000</v>
      </c>
      <c r="S4" s="55">
        <v>0</v>
      </c>
      <c r="T4" s="21">
        <f>IF(COUNTA($F4,$K4,$P4)&gt;0,T3+SUM(Q4:S4),"")</f>
        <v>48000</v>
      </c>
      <c r="U4" s="60">
        <f t="shared" ref="U4:U30" si="0">IF($J4="","",ROUND(($J4-$J$3)/1000,1))</f>
        <v>-7.5</v>
      </c>
      <c r="V4" s="61">
        <f t="shared" ref="V4:V30" si="1">IF($O4="","",ROUND(($O4-$O$3)/1000,1))</f>
        <v>-5.5</v>
      </c>
      <c r="W4" s="62">
        <f t="shared" ref="W4:W30" si="2">IF($T4="","",ROUND(($T4-$T$3)/1000,1))</f>
        <v>13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>
        <v>6</v>
      </c>
      <c r="BT4" s="36" t="s">
        <v>143</v>
      </c>
      <c r="BU4" s="47" t="s">
        <v>83</v>
      </c>
      <c r="BV4" s="48" t="s">
        <v>87</v>
      </c>
      <c r="BW4" s="48" t="s">
        <v>82</v>
      </c>
      <c r="BX4" s="48" t="s">
        <v>82</v>
      </c>
      <c r="BY4" s="48" t="s">
        <v>80</v>
      </c>
      <c r="BZ4" s="48" t="s">
        <v>80</v>
      </c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137</v>
      </c>
      <c r="F5" s="8" t="s">
        <v>141</v>
      </c>
      <c r="G5" s="9">
        <v>8000</v>
      </c>
      <c r="H5" s="9"/>
      <c r="I5" s="55">
        <v>0</v>
      </c>
      <c r="J5" s="21">
        <f t="shared" ref="J5:J30" si="6">IF(COUNTA($F5,$K5,$P5)&gt;0,J4+SUM(G5:I5),"")</f>
        <v>35500</v>
      </c>
      <c r="K5" s="8" t="s">
        <v>142</v>
      </c>
      <c r="L5" s="9">
        <v>-5000</v>
      </c>
      <c r="M5" s="9"/>
      <c r="N5" s="55">
        <v>0</v>
      </c>
      <c r="O5" s="21">
        <f t="shared" ref="O5:O30" si="7">IF(COUNTA($F5,$K5,$P5)&gt;0,O4+SUM(L5:N5),"")</f>
        <v>24500</v>
      </c>
      <c r="P5" s="8" t="s">
        <v>142</v>
      </c>
      <c r="Q5" s="9">
        <v>-3000</v>
      </c>
      <c r="R5" s="9"/>
      <c r="S5" s="55">
        <v>0</v>
      </c>
      <c r="T5" s="21">
        <f t="shared" ref="T5:T30" si="8">IF(COUNTA($F5,$K5,$P5)&gt;0,T4+SUM(Q5:S5),"")</f>
        <v>45000</v>
      </c>
      <c r="U5" s="60">
        <f t="shared" si="0"/>
        <v>0.5</v>
      </c>
      <c r="V5" s="61">
        <f t="shared" si="1"/>
        <v>-10.5</v>
      </c>
      <c r="W5" s="62">
        <f t="shared" si="2"/>
        <v>10</v>
      </c>
      <c r="Y5" s="8"/>
      <c r="Z5" s="41"/>
      <c r="AA5" s="32">
        <v>1</v>
      </c>
      <c r="AB5" s="32"/>
      <c r="AC5" s="32">
        <v>4</v>
      </c>
      <c r="AD5" s="36">
        <v>30</v>
      </c>
      <c r="AE5" s="47" t="s">
        <v>144</v>
      </c>
      <c r="AF5" s="48" t="s">
        <v>83</v>
      </c>
      <c r="AG5" s="48" t="s">
        <v>82</v>
      </c>
      <c r="AH5" s="48" t="s">
        <v>82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139</v>
      </c>
      <c r="F6" s="8" t="s">
        <v>146</v>
      </c>
      <c r="G6" s="9">
        <v>3200</v>
      </c>
      <c r="H6" s="9">
        <v>1000</v>
      </c>
      <c r="I6" s="55">
        <v>0</v>
      </c>
      <c r="J6" s="21">
        <f t="shared" si="6"/>
        <v>39700</v>
      </c>
      <c r="K6" s="8"/>
      <c r="L6" s="9"/>
      <c r="M6" s="9"/>
      <c r="N6" s="55"/>
      <c r="O6" s="21">
        <f t="shared" si="7"/>
        <v>24500</v>
      </c>
      <c r="P6" s="8" t="s">
        <v>145</v>
      </c>
      <c r="Q6" s="9">
        <v>-3200</v>
      </c>
      <c r="R6" s="9">
        <v>-1000</v>
      </c>
      <c r="S6" s="55">
        <v>0</v>
      </c>
      <c r="T6" s="21">
        <f t="shared" si="8"/>
        <v>40800</v>
      </c>
      <c r="U6" s="60">
        <f t="shared" si="0"/>
        <v>4.7</v>
      </c>
      <c r="V6" s="61">
        <f t="shared" si="1"/>
        <v>-10.5</v>
      </c>
      <c r="W6" s="62">
        <f t="shared" si="2"/>
        <v>5.8</v>
      </c>
      <c r="Y6" s="8"/>
      <c r="Z6" s="41"/>
      <c r="AA6" s="32">
        <v>1</v>
      </c>
      <c r="AB6" s="32"/>
      <c r="AC6" s="32">
        <v>3</v>
      </c>
      <c r="AD6" s="36">
        <v>25</v>
      </c>
      <c r="AE6" s="47" t="s">
        <v>144</v>
      </c>
      <c r="AF6" s="48" t="s">
        <v>102</v>
      </c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9"/>
        <v>1</v>
      </c>
      <c r="C7" s="18">
        <f t="shared" si="4"/>
        <v>0</v>
      </c>
      <c r="D7" s="18">
        <f t="shared" si="5"/>
        <v>0</v>
      </c>
      <c r="E7" s="4" t="s">
        <v>135</v>
      </c>
      <c r="F7" s="8" t="s">
        <v>147</v>
      </c>
      <c r="G7" s="9">
        <v>5000</v>
      </c>
      <c r="H7" s="9"/>
      <c r="I7" s="55"/>
      <c r="J7" s="21">
        <f t="shared" si="6"/>
        <v>44700</v>
      </c>
      <c r="K7" s="8" t="s">
        <v>147</v>
      </c>
      <c r="L7" s="9">
        <v>3000</v>
      </c>
      <c r="M7" s="9"/>
      <c r="N7" s="55"/>
      <c r="O7" s="21">
        <f t="shared" si="7"/>
        <v>27500</v>
      </c>
      <c r="P7" s="8" t="s">
        <v>147</v>
      </c>
      <c r="Q7" s="9">
        <v>-8000</v>
      </c>
      <c r="R7" s="9"/>
      <c r="S7" s="55"/>
      <c r="T7" s="21">
        <f t="shared" si="8"/>
        <v>32800</v>
      </c>
      <c r="U7" s="60">
        <f t="shared" si="0"/>
        <v>9.6999999999999993</v>
      </c>
      <c r="V7" s="61">
        <f t="shared" si="1"/>
        <v>-7.5</v>
      </c>
      <c r="W7" s="62">
        <f t="shared" si="2"/>
        <v>-2.2000000000000002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>
        <v>1</v>
      </c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135</v>
      </c>
      <c r="F8" s="8" t="s">
        <v>146</v>
      </c>
      <c r="G8" s="9">
        <v>18000</v>
      </c>
      <c r="H8" s="9"/>
      <c r="I8" s="55">
        <v>0</v>
      </c>
      <c r="J8" s="21">
        <f t="shared" si="6"/>
        <v>62700</v>
      </c>
      <c r="K8" s="8" t="s">
        <v>145</v>
      </c>
      <c r="L8" s="9">
        <v>-18000</v>
      </c>
      <c r="M8" s="9"/>
      <c r="N8" s="55">
        <v>0</v>
      </c>
      <c r="O8" s="21">
        <f t="shared" si="7"/>
        <v>9500</v>
      </c>
      <c r="P8" s="8"/>
      <c r="Q8" s="9"/>
      <c r="R8" s="9"/>
      <c r="S8" s="55"/>
      <c r="T8" s="21">
        <f t="shared" si="8"/>
        <v>32800</v>
      </c>
      <c r="U8" s="60">
        <f t="shared" si="0"/>
        <v>27.7</v>
      </c>
      <c r="V8" s="61">
        <f t="shared" si="1"/>
        <v>-25.5</v>
      </c>
      <c r="W8" s="62">
        <f t="shared" si="2"/>
        <v>-2.2000000000000002</v>
      </c>
      <c r="Y8" s="8"/>
      <c r="Z8" s="41"/>
      <c r="AA8" s="32"/>
      <c r="AB8" s="32"/>
      <c r="AC8" s="32">
        <v>7</v>
      </c>
      <c r="AD8" s="36" t="s">
        <v>143</v>
      </c>
      <c r="AE8" s="47" t="s">
        <v>85</v>
      </c>
      <c r="AF8" s="48" t="s">
        <v>107</v>
      </c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1</v>
      </c>
      <c r="D9" s="18">
        <f t="shared" si="5"/>
        <v>0</v>
      </c>
      <c r="E9" s="4" t="s">
        <v>135</v>
      </c>
      <c r="F9" s="8" t="s">
        <v>146</v>
      </c>
      <c r="G9" s="9">
        <v>12000</v>
      </c>
      <c r="H9" s="9"/>
      <c r="I9" s="55">
        <v>1000</v>
      </c>
      <c r="J9" s="21">
        <f t="shared" si="6"/>
        <v>75700</v>
      </c>
      <c r="K9" s="8" t="s">
        <v>145</v>
      </c>
      <c r="L9" s="9">
        <v>-12000</v>
      </c>
      <c r="M9" s="9"/>
      <c r="N9" s="55">
        <v>-1000</v>
      </c>
      <c r="O9" s="21">
        <f t="shared" si="7"/>
        <v>-3500</v>
      </c>
      <c r="P9" s="8"/>
      <c r="Q9" s="9"/>
      <c r="R9" s="9"/>
      <c r="S9" s="55"/>
      <c r="T9" s="21">
        <f t="shared" si="8"/>
        <v>32800</v>
      </c>
      <c r="U9" s="60">
        <f t="shared" si="0"/>
        <v>40.700000000000003</v>
      </c>
      <c r="V9" s="61">
        <f t="shared" si="1"/>
        <v>-38.5</v>
      </c>
      <c r="W9" s="62">
        <f t="shared" si="2"/>
        <v>-2.2000000000000002</v>
      </c>
      <c r="Y9" s="8"/>
      <c r="Z9" s="41"/>
      <c r="AA9" s="32">
        <v>1</v>
      </c>
      <c r="AB9" s="32"/>
      <c r="AC9" s="32">
        <v>5</v>
      </c>
      <c r="AD9" s="36" t="s">
        <v>143</v>
      </c>
      <c r="AE9" s="47" t="s">
        <v>144</v>
      </c>
      <c r="AF9" s="48" t="s">
        <v>82</v>
      </c>
      <c r="AG9" s="48" t="s">
        <v>82</v>
      </c>
      <c r="AH9" s="48" t="s">
        <v>82</v>
      </c>
      <c r="AI9" s="48" t="s">
        <v>80</v>
      </c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9"/>
        <v/>
      </c>
      <c r="C10" s="18" t="str">
        <f t="shared" si="4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D5B9154-90C4-44DC-8577-F96DC8157211}">
      <formula1>$U$2:$W$2</formula1>
    </dataValidation>
    <dataValidation type="list" showInputMessage="1" showErrorMessage="1" sqref="K4:K30 P4:P30 F4:F30" xr:uid="{1147C051-5E4D-4349-B3AB-0FC638D4B55C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2019-01-28T07:17:22Z</dcterms:modified>
</cp:coreProperties>
</file>