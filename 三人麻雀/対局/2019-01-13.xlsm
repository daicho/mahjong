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157BD851-FE35-4DDC-9B7C-630E803FDF3F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6" l="1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 s="1"/>
  <c r="T12" i="16"/>
  <c r="O12" i="16"/>
  <c r="J12" i="16"/>
  <c r="D12" i="16"/>
  <c r="C12" i="16"/>
  <c r="B12" i="16"/>
  <c r="A12" i="16" s="1"/>
  <c r="T11" i="16"/>
  <c r="O11" i="16"/>
  <c r="J11" i="16"/>
  <c r="D11" i="16"/>
  <c r="C11" i="16"/>
  <c r="B11" i="16"/>
  <c r="A11" i="16" s="1"/>
  <c r="D10" i="16"/>
  <c r="C10" i="16"/>
  <c r="D8" i="16"/>
  <c r="D9" i="16" s="1"/>
  <c r="C8" i="16"/>
  <c r="C9" i="16" s="1"/>
  <c r="D7" i="16"/>
  <c r="C7" i="16"/>
  <c r="D6" i="16"/>
  <c r="C6" i="16"/>
  <c r="O5" i="16"/>
  <c r="O6" i="16" s="1"/>
  <c r="J5" i="16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A5" i="16" l="1"/>
  <c r="O7" i="16"/>
  <c r="B7" i="16"/>
  <c r="T5" i="16"/>
  <c r="J6" i="16"/>
  <c r="A6" i="16"/>
  <c r="T6" i="16" l="1"/>
  <c r="B8" i="16"/>
  <c r="J7" i="16"/>
  <c r="A7" i="16"/>
  <c r="O8" i="16"/>
  <c r="B5" i="1"/>
  <c r="A5" i="1" s="1"/>
  <c r="D6" i="1"/>
  <c r="C6" i="1"/>
  <c r="D5" i="1"/>
  <c r="C5" i="1"/>
  <c r="O9" i="16" l="1"/>
  <c r="J8" i="16"/>
  <c r="B9" i="16"/>
  <c r="T7" i="16"/>
  <c r="A8" i="16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8" i="1"/>
  <c r="C9" i="1" s="1"/>
  <c r="C7" i="1"/>
  <c r="A9" i="16" l="1"/>
  <c r="T8" i="16"/>
  <c r="J9" i="16"/>
  <c r="O10" i="16"/>
  <c r="B10" i="16"/>
  <c r="A10" i="16" s="1"/>
  <c r="Y1" i="1"/>
  <c r="J10" i="16" l="1"/>
  <c r="T9" i="16"/>
  <c r="BO1" i="1"/>
  <c r="AT1" i="1"/>
  <c r="T10" i="16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A8" i="1" l="1"/>
  <c r="J6" i="1"/>
  <c r="T5" i="1"/>
  <c r="O6" i="1"/>
  <c r="B10" i="1"/>
  <c r="O7" i="1" l="1"/>
  <c r="O8" i="1" s="1"/>
  <c r="J7" i="1"/>
  <c r="J8" i="1" s="1"/>
  <c r="B11" i="1"/>
  <c r="A11" i="1" s="1"/>
  <c r="A10" i="1"/>
  <c r="T6" i="1"/>
  <c r="B12" i="1"/>
  <c r="A12" i="1" s="1"/>
  <c r="T7" i="1" l="1"/>
  <c r="J9" i="1"/>
  <c r="O9" i="1"/>
  <c r="B13" i="1"/>
  <c r="A13" i="1" s="1"/>
  <c r="T8" i="1" l="1"/>
  <c r="J10" i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<sst xmlns="http://schemas.openxmlformats.org/spreadsheetml/2006/main" count="667" uniqueCount="151">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</sst>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142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142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12</v>
      </c>
      <c r="V4" s="61">
        <f t="shared" ref="V4:V30" si="1">IF($O4="","",ROUND(($O4-$O$3)/1000,1))</f>
        <v>-4.5</v>
      </c>
      <c r="W4" s="62">
        <f t="shared" ref="W4:W30" si="2">IF($T4="","",ROUND(($T4-$T$3)/1000,1))</f>
        <v>-7.5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83</v>
      </c>
      <c r="AG4" s="48" t="s">
        <v>81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4">IF(COUNTA($F5,$K5,$P5)&gt;0,J4+SUM(G5:I5),"")</f>
        <v>47000</v>
      </c>
      <c r="K5" s="8" t="s">
        <v>145</v>
      </c>
      <c r="L5" s="9">
        <v>3900</v>
      </c>
      <c r="M5" s="9"/>
      <c r="N5" s="55">
        <v>0</v>
      </c>
      <c r="O5" s="21">
        <f t="shared" ref="O5:O30" si="5">IF(COUNTA($F5,$K5,$P5)&gt;0,O4+SUM(L5:N5),"")</f>
        <v>34400</v>
      </c>
      <c r="P5" s="8" t="s">
        <v>146</v>
      </c>
      <c r="Q5" s="9">
        <v>-3900</v>
      </c>
      <c r="R5" s="9"/>
      <c r="S5" s="55">
        <v>0</v>
      </c>
      <c r="T5" s="21">
        <f t="shared" ref="T5:T30" si="6">IF(COUNTA($F5,$K5,$P5)&gt;0,T4+SUM(Q5:S5),"")</f>
        <v>23600</v>
      </c>
      <c r="U5" s="60">
        <f t="shared" si="0"/>
        <v>12</v>
      </c>
      <c r="V5" s="61">
        <f t="shared" si="1"/>
        <v>-0.6</v>
      </c>
      <c r="W5" s="62">
        <f t="shared" si="2"/>
        <v>-11.4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80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>IF($E6="","",IF(F5="チョンボ",C5,IF($E5=$E6,C5+1,0)))</f>
        <v>0</v>
      </c>
      <c r="D6" s="18">
        <f t="shared" si="3"/>
        <v>0</v>
      </c>
      <c r="E6" s="4" t="s">
        <v>137</v>
      </c>
      <c r="F6" s="8" t="s">
        <v>145</v>
      </c>
      <c r="G6" s="9">
        <v>8000</v>
      </c>
      <c r="H6" s="9"/>
      <c r="I6" s="55">
        <v>0</v>
      </c>
      <c r="J6" s="21">
        <f t="shared" si="4"/>
        <v>55000</v>
      </c>
      <c r="K6" s="8" t="s">
        <v>146</v>
      </c>
      <c r="L6" s="9">
        <v>-8000</v>
      </c>
      <c r="M6" s="9"/>
      <c r="N6" s="55">
        <v>0</v>
      </c>
      <c r="O6" s="21">
        <f t="shared" si="5"/>
        <v>26400</v>
      </c>
      <c r="P6" s="8"/>
      <c r="Q6" s="9"/>
      <c r="R6" s="9"/>
      <c r="S6" s="55"/>
      <c r="T6" s="21">
        <f t="shared" si="6"/>
        <v>23600</v>
      </c>
      <c r="U6" s="60">
        <f t="shared" si="0"/>
        <v>20</v>
      </c>
      <c r="V6" s="61">
        <f t="shared" si="1"/>
        <v>-8.6</v>
      </c>
      <c r="W6" s="62">
        <f t="shared" si="2"/>
        <v>-11.4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144</v>
      </c>
      <c r="AF6" s="48" t="s">
        <v>84</v>
      </c>
      <c r="AG6" s="48" t="s">
        <v>85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南</v>
      </c>
      <c r="B7" s="18">
        <f t="shared" si="7"/>
        <v>1</v>
      </c>
      <c r="C7" s="18">
        <f t="shared" ref="C7:C30" si="9">IF($E7="","",IF(F6="チョンボ",C6,IF($E6=$E7,C6+1,0)))</f>
        <v>0</v>
      </c>
      <c r="D7" s="18">
        <f t="shared" si="3"/>
        <v>0</v>
      </c>
      <c r="E7" s="4" t="s">
        <v>139</v>
      </c>
      <c r="F7" s="8" t="s">
        <v>141</v>
      </c>
      <c r="G7" s="9">
        <v>8000</v>
      </c>
      <c r="H7" s="9"/>
      <c r="I7" s="55">
        <v>0</v>
      </c>
      <c r="J7" s="21">
        <f t="shared" si="4"/>
        <v>63000</v>
      </c>
      <c r="K7" s="8" t="s">
        <v>142</v>
      </c>
      <c r="L7" s="9">
        <v>-3000</v>
      </c>
      <c r="M7" s="9"/>
      <c r="N7" s="55">
        <v>0</v>
      </c>
      <c r="O7" s="21">
        <f t="shared" si="5"/>
        <v>23400</v>
      </c>
      <c r="P7" s="8" t="s">
        <v>142</v>
      </c>
      <c r="Q7" s="9">
        <v>-5000</v>
      </c>
      <c r="R7" s="9"/>
      <c r="S7" s="55">
        <v>0</v>
      </c>
      <c r="T7" s="21">
        <f t="shared" si="6"/>
        <v>18600</v>
      </c>
      <c r="U7" s="60">
        <f t="shared" si="0"/>
        <v>28</v>
      </c>
      <c r="V7" s="61">
        <f t="shared" si="1"/>
        <v>-11.6</v>
      </c>
      <c r="W7" s="62">
        <f t="shared" si="2"/>
        <v>-16.399999999999999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81</v>
      </c>
      <c r="AH7" s="48" t="s">
        <v>93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南</v>
      </c>
      <c r="B8" s="18">
        <f t="shared" si="7"/>
        <v>2</v>
      </c>
      <c r="C8" s="18">
        <f t="shared" si="9"/>
        <v>0</v>
      </c>
      <c r="D8" s="18">
        <f t="shared" si="3"/>
        <v>0</v>
      </c>
      <c r="E8" s="4" t="s">
        <v>135</v>
      </c>
      <c r="F8" s="8" t="s">
        <v>149</v>
      </c>
      <c r="G8" s="9">
        <v>1500</v>
      </c>
      <c r="H8" s="9"/>
      <c r="I8" s="55"/>
      <c r="J8" s="21">
        <f t="shared" si="4"/>
        <v>64500</v>
      </c>
      <c r="K8" s="8" t="s">
        <v>149</v>
      </c>
      <c r="L8" s="9">
        <v>-3000</v>
      </c>
      <c r="M8" s="9"/>
      <c r="N8" s="55"/>
      <c r="O8" s="21">
        <f t="shared" si="5"/>
        <v>20400</v>
      </c>
      <c r="P8" s="8" t="s">
        <v>149</v>
      </c>
      <c r="Q8" s="9">
        <v>1500</v>
      </c>
      <c r="R8" s="9">
        <v>-1000</v>
      </c>
      <c r="S8" s="55"/>
      <c r="T8" s="21">
        <f t="shared" si="6"/>
        <v>19100</v>
      </c>
      <c r="U8" s="60">
        <f t="shared" si="0"/>
        <v>29.5</v>
      </c>
      <c r="V8" s="61">
        <f t="shared" si="1"/>
        <v>-14.6</v>
      </c>
      <c r="W8" s="62">
        <f t="shared" si="2"/>
        <v>-15.9</v>
      </c>
      <c r="Y8" s="8" t="s">
        <v>147</v>
      </c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南</v>
      </c>
      <c r="B9" s="18">
        <f t="shared" si="7"/>
        <v>2</v>
      </c>
      <c r="C9" s="18">
        <f t="shared" si="9"/>
        <v>1</v>
      </c>
      <c r="D9" s="18">
        <f t="shared" si="3"/>
        <v>1</v>
      </c>
      <c r="E9" s="4" t="s">
        <v>135</v>
      </c>
      <c r="F9" s="8" t="s">
        <v>142</v>
      </c>
      <c r="G9" s="9">
        <v>-5000</v>
      </c>
      <c r="H9" s="9"/>
      <c r="I9" s="55">
        <v>-500</v>
      </c>
      <c r="J9" s="21">
        <f t="shared" si="4"/>
        <v>59000</v>
      </c>
      <c r="K9" s="8" t="s">
        <v>141</v>
      </c>
      <c r="L9" s="9">
        <v>8000</v>
      </c>
      <c r="M9" s="9">
        <v>1000</v>
      </c>
      <c r="N9" s="55">
        <v>1000</v>
      </c>
      <c r="O9" s="21">
        <f t="shared" si="5"/>
        <v>30400</v>
      </c>
      <c r="P9" s="8" t="s">
        <v>142</v>
      </c>
      <c r="Q9" s="9">
        <v>-3000</v>
      </c>
      <c r="R9" s="9"/>
      <c r="S9" s="55">
        <v>-500</v>
      </c>
      <c r="T9" s="21">
        <f t="shared" si="6"/>
        <v>15600</v>
      </c>
      <c r="U9" s="60">
        <f t="shared" si="0"/>
        <v>24</v>
      </c>
      <c r="V9" s="61">
        <f t="shared" si="1"/>
        <v>-4.5999999999999996</v>
      </c>
      <c r="W9" s="62">
        <f t="shared" si="2"/>
        <v>-19.399999999999999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143</v>
      </c>
      <c r="AZ9" s="47" t="s">
        <v>144</v>
      </c>
      <c r="BA9" s="48" t="s">
        <v>83</v>
      </c>
      <c r="BB9" s="48" t="s">
        <v>87</v>
      </c>
      <c r="BC9" s="48" t="s">
        <v>81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南</v>
      </c>
      <c r="B10" s="18">
        <f t="shared" si="7"/>
        <v>3</v>
      </c>
      <c r="C10" s="18">
        <f t="shared" si="9"/>
        <v>0</v>
      </c>
      <c r="D10" s="18">
        <f t="shared" si="3"/>
        <v>0</v>
      </c>
      <c r="E10" s="4" t="s">
        <v>137</v>
      </c>
      <c r="F10" s="8" t="s">
        <v>142</v>
      </c>
      <c r="G10" s="9">
        <v>-4500</v>
      </c>
      <c r="H10" s="9"/>
      <c r="I10" s="55">
        <v>0</v>
      </c>
      <c r="J10" s="21">
        <f t="shared" si="4"/>
        <v>54500</v>
      </c>
      <c r="K10" s="8" t="s">
        <v>142</v>
      </c>
      <c r="L10" s="9">
        <v>-7500</v>
      </c>
      <c r="M10" s="9"/>
      <c r="N10" s="55">
        <v>0</v>
      </c>
      <c r="O10" s="21">
        <f t="shared" si="5"/>
        <v>22900</v>
      </c>
      <c r="P10" s="8" t="s">
        <v>141</v>
      </c>
      <c r="Q10" s="9">
        <v>12000</v>
      </c>
      <c r="R10" s="9"/>
      <c r="S10" s="55">
        <v>0</v>
      </c>
      <c r="T10" s="21">
        <f t="shared" si="6"/>
        <v>27600</v>
      </c>
      <c r="U10" s="60">
        <f t="shared" si="0"/>
        <v>19.5</v>
      </c>
      <c r="V10" s="61">
        <f t="shared" si="1"/>
        <v>-12.1</v>
      </c>
      <c r="W10" s="62">
        <f t="shared" si="2"/>
        <v>-7.4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143</v>
      </c>
      <c r="BU10" s="47" t="s">
        <v>144</v>
      </c>
      <c r="BV10" s="48" t="s">
        <v>83</v>
      </c>
      <c r="BW10" s="48" t="s">
        <v>93</v>
      </c>
      <c r="BX10" s="48" t="s">
        <v>82</v>
      </c>
      <c r="BY10" s="48" t="s">
        <v>81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/>
      </c>
      <c r="B11" s="18" t="str">
        <f t="shared" si="7"/>
        <v/>
      </c>
      <c r="C11" s="18" t="str">
        <f t="shared" si="9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/>
      </c>
      <c r="B12" s="18" t="str">
        <f t="shared" si="7"/>
        <v/>
      </c>
      <c r="C12" s="18" t="str">
        <f t="shared" si="9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E3EC-7313-4E18-BA93-625FF9DF5407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146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0</v>
      </c>
      <c r="V4" s="61">
        <f t="shared" ref="V4:V30" si="1">IF($O4="","",ROUND(($O4-$O$3)/1000,1))</f>
        <v>8</v>
      </c>
      <c r="W4" s="62">
        <f t="shared" ref="W4:W30" si="2">IF($T4="","",ROUND(($T4-$T$3)/1000,1))</f>
        <v>-8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5</v>
      </c>
      <c r="AY4" s="36" t="s">
        <v>143</v>
      </c>
      <c r="AZ4" s="47" t="s">
        <v>105</v>
      </c>
      <c r="BA4" s="48" t="s">
        <v>80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3">IF($E5="","",IF(OR($F4="流局",$F4="チョンボ"),D4+($H4+$M4+$R4)/-1000,0))</f>
        <v>0</v>
      </c>
      <c r="E5" s="4" t="s">
        <v>137</v>
      </c>
      <c r="F5" s="8" t="s">
        <v>149</v>
      </c>
      <c r="G5" s="9">
        <v>-3000</v>
      </c>
      <c r="H5" s="9"/>
      <c r="I5" s="55"/>
      <c r="J5" s="21">
        <f t="shared" ref="J5:J30" si="4">IF(COUNTA($F5,$K5,$P5)&gt;0,J4+SUM(G5:I5),"")</f>
        <v>32000</v>
      </c>
      <c r="K5" s="8" t="s">
        <v>149</v>
      </c>
      <c r="L5" s="9">
        <v>1500</v>
      </c>
      <c r="M5" s="9"/>
      <c r="N5" s="55"/>
      <c r="O5" s="21">
        <f t="shared" ref="O5:O30" si="5">IF(COUNTA($F5,$K5,$P5)&gt;0,O4+SUM(L5:N5),"")</f>
        <v>44500</v>
      </c>
      <c r="P5" s="8" t="s">
        <v>149</v>
      </c>
      <c r="Q5" s="9">
        <v>1500</v>
      </c>
      <c r="R5" s="9">
        <v>-1000</v>
      </c>
      <c r="S5" s="55"/>
      <c r="T5" s="21">
        <f t="shared" ref="T5:T30" si="6">IF(COUNTA($F5,$K5,$P5)&gt;0,T4+SUM(Q5:S5),"")</f>
        <v>27500</v>
      </c>
      <c r="U5" s="60">
        <f t="shared" si="0"/>
        <v>-3</v>
      </c>
      <c r="V5" s="61">
        <f t="shared" si="1"/>
        <v>9.5</v>
      </c>
      <c r="W5" s="62">
        <f t="shared" si="2"/>
        <v>-7.5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2</v>
      </c>
      <c r="C6" s="18">
        <f>IF($E6="","",IF(F5="チョンボ",C5,IF($E5=$E6,C5+1,0)))</f>
        <v>1</v>
      </c>
      <c r="D6" s="18">
        <f t="shared" si="3"/>
        <v>1</v>
      </c>
      <c r="E6" s="4" t="s">
        <v>137</v>
      </c>
      <c r="F6" s="8"/>
      <c r="G6" s="9"/>
      <c r="H6" s="9"/>
      <c r="I6" s="55"/>
      <c r="J6" s="21">
        <f t="shared" si="4"/>
        <v>32000</v>
      </c>
      <c r="K6" s="8" t="s">
        <v>146</v>
      </c>
      <c r="L6" s="9">
        <v>-16000</v>
      </c>
      <c r="M6" s="9"/>
      <c r="N6" s="55">
        <v>-1000</v>
      </c>
      <c r="O6" s="21">
        <f t="shared" si="5"/>
        <v>27500</v>
      </c>
      <c r="P6" s="8" t="s">
        <v>145</v>
      </c>
      <c r="Q6" s="9">
        <v>16000</v>
      </c>
      <c r="R6" s="9">
        <v>1000</v>
      </c>
      <c r="S6" s="55">
        <v>1000</v>
      </c>
      <c r="T6" s="21">
        <f t="shared" si="6"/>
        <v>45500</v>
      </c>
      <c r="U6" s="60">
        <f t="shared" si="0"/>
        <v>-3</v>
      </c>
      <c r="V6" s="61">
        <f t="shared" si="1"/>
        <v>-7.5</v>
      </c>
      <c r="W6" s="62">
        <f t="shared" si="2"/>
        <v>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8</v>
      </c>
      <c r="BT6" s="36" t="s">
        <v>143</v>
      </c>
      <c r="BU6" s="47" t="s">
        <v>105</v>
      </c>
      <c r="BV6" s="48" t="s">
        <v>102</v>
      </c>
      <c r="BW6" s="48" t="s">
        <v>80</v>
      </c>
      <c r="BX6" s="48" t="s">
        <v>80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8">IF($E7="","",IF(AND(B6=3,B7=1),_xlfn.SWITCH(A6,"東","南","南","西","西","北","北","東"),A6))</f>
        <v>東</v>
      </c>
      <c r="B7" s="18">
        <f t="shared" si="7"/>
        <v>3</v>
      </c>
      <c r="C7" s="18">
        <f t="shared" ref="C7:C30" si="9">IF($E7="","",IF(F6="チョンボ",C6,IF($E6=$E7,C6+1,0)))</f>
        <v>0</v>
      </c>
      <c r="D7" s="18">
        <f t="shared" si="3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4"/>
        <v>20000</v>
      </c>
      <c r="K7" s="8"/>
      <c r="L7" s="9"/>
      <c r="M7" s="9"/>
      <c r="N7" s="55"/>
      <c r="O7" s="21">
        <f t="shared" si="5"/>
        <v>27500</v>
      </c>
      <c r="P7" s="8" t="s">
        <v>145</v>
      </c>
      <c r="Q7" s="9">
        <v>12000</v>
      </c>
      <c r="R7" s="9"/>
      <c r="S7" s="55">
        <v>0</v>
      </c>
      <c r="T7" s="21">
        <f t="shared" si="6"/>
        <v>57500</v>
      </c>
      <c r="U7" s="60">
        <f t="shared" si="0"/>
        <v>-15</v>
      </c>
      <c r="V7" s="61">
        <f t="shared" si="1"/>
        <v>-7.5</v>
      </c>
      <c r="W7" s="62">
        <f t="shared" si="2"/>
        <v>22.5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144</v>
      </c>
      <c r="BV7" s="48" t="s">
        <v>150</v>
      </c>
      <c r="BW7" s="48" t="s">
        <v>85</v>
      </c>
      <c r="BX7" s="48" t="s">
        <v>82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8"/>
        <v>東</v>
      </c>
      <c r="B8" s="18">
        <f t="shared" si="7"/>
        <v>3</v>
      </c>
      <c r="C8" s="18">
        <f t="shared" si="9"/>
        <v>1</v>
      </c>
      <c r="D8" s="18">
        <f t="shared" si="3"/>
        <v>0</v>
      </c>
      <c r="E8" s="4" t="s">
        <v>139</v>
      </c>
      <c r="F8" s="8" t="s">
        <v>142</v>
      </c>
      <c r="G8" s="9">
        <v>-12000</v>
      </c>
      <c r="H8" s="9"/>
      <c r="I8" s="55">
        <v>-500</v>
      </c>
      <c r="J8" s="21">
        <f t="shared" si="4"/>
        <v>7500</v>
      </c>
      <c r="K8" s="8" t="s">
        <v>141</v>
      </c>
      <c r="L8" s="9">
        <v>32000</v>
      </c>
      <c r="M8" s="9">
        <v>1000</v>
      </c>
      <c r="N8" s="55">
        <v>1000</v>
      </c>
      <c r="O8" s="21">
        <f t="shared" si="5"/>
        <v>61500</v>
      </c>
      <c r="P8" s="8" t="s">
        <v>142</v>
      </c>
      <c r="Q8" s="9">
        <v>-20000</v>
      </c>
      <c r="R8" s="9">
        <v>-1000</v>
      </c>
      <c r="S8" s="55">
        <v>-500</v>
      </c>
      <c r="T8" s="21">
        <f t="shared" si="6"/>
        <v>36000</v>
      </c>
      <c r="U8" s="60">
        <f t="shared" si="0"/>
        <v>-27.5</v>
      </c>
      <c r="V8" s="61">
        <f t="shared" si="1"/>
        <v>26.5</v>
      </c>
      <c r="W8" s="62">
        <f t="shared" si="2"/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13</v>
      </c>
      <c r="AY8" s="36" t="s">
        <v>143</v>
      </c>
      <c r="AZ8" s="47" t="s">
        <v>107</v>
      </c>
      <c r="BA8" s="48" t="s">
        <v>99</v>
      </c>
      <c r="BB8" s="48" t="s">
        <v>97</v>
      </c>
      <c r="BC8" s="48" t="s">
        <v>82</v>
      </c>
      <c r="BD8" s="48" t="s">
        <v>80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8"/>
        <v>南</v>
      </c>
      <c r="B9" s="18">
        <f t="shared" si="7"/>
        <v>1</v>
      </c>
      <c r="C9" s="18">
        <f t="shared" si="9"/>
        <v>0</v>
      </c>
      <c r="D9" s="18">
        <f t="shared" si="3"/>
        <v>0</v>
      </c>
      <c r="E9" s="4" t="s">
        <v>135</v>
      </c>
      <c r="F9" s="8"/>
      <c r="G9" s="9"/>
      <c r="H9" s="9"/>
      <c r="I9" s="55"/>
      <c r="J9" s="21">
        <f t="shared" si="4"/>
        <v>7500</v>
      </c>
      <c r="K9" s="8" t="s">
        <v>145</v>
      </c>
      <c r="L9" s="9">
        <v>3900</v>
      </c>
      <c r="M9" s="9"/>
      <c r="N9" s="55">
        <v>0</v>
      </c>
      <c r="O9" s="21">
        <f t="shared" si="5"/>
        <v>65400</v>
      </c>
      <c r="P9" s="8" t="s">
        <v>146</v>
      </c>
      <c r="Q9" s="9">
        <v>-3900</v>
      </c>
      <c r="R9" s="9"/>
      <c r="S9" s="55">
        <v>0</v>
      </c>
      <c r="T9" s="21">
        <f t="shared" si="6"/>
        <v>32100</v>
      </c>
      <c r="U9" s="60">
        <f t="shared" si="0"/>
        <v>-27.5</v>
      </c>
      <c r="V9" s="61">
        <f t="shared" si="1"/>
        <v>30.4</v>
      </c>
      <c r="W9" s="62">
        <f t="shared" si="2"/>
        <v>-2.9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80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8"/>
        <v>南</v>
      </c>
      <c r="B10" s="18">
        <f t="shared" si="7"/>
        <v>2</v>
      </c>
      <c r="C10" s="18">
        <f t="shared" si="9"/>
        <v>0</v>
      </c>
      <c r="D10" s="18">
        <f t="shared" si="3"/>
        <v>0</v>
      </c>
      <c r="E10" s="4" t="s">
        <v>137</v>
      </c>
      <c r="F10" s="8" t="s">
        <v>146</v>
      </c>
      <c r="G10" s="9">
        <v>-3900</v>
      </c>
      <c r="H10" s="9">
        <v>-1000</v>
      </c>
      <c r="I10" s="55">
        <v>0</v>
      </c>
      <c r="J10" s="21">
        <f t="shared" si="4"/>
        <v>2600</v>
      </c>
      <c r="K10" s="8" t="s">
        <v>145</v>
      </c>
      <c r="L10" s="9">
        <v>3900</v>
      </c>
      <c r="M10" s="9">
        <v>2000</v>
      </c>
      <c r="N10" s="55">
        <v>0</v>
      </c>
      <c r="O10" s="21">
        <f t="shared" si="5"/>
        <v>71300</v>
      </c>
      <c r="P10" s="8"/>
      <c r="Q10" s="9"/>
      <c r="R10" s="9">
        <v>-1000</v>
      </c>
      <c r="S10" s="55"/>
      <c r="T10" s="21">
        <f t="shared" si="6"/>
        <v>31100</v>
      </c>
      <c r="U10" s="60">
        <f t="shared" si="0"/>
        <v>-32.4</v>
      </c>
      <c r="V10" s="61">
        <f t="shared" si="1"/>
        <v>36.299999999999997</v>
      </c>
      <c r="W10" s="62">
        <f t="shared" si="2"/>
        <v>-3.9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144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8"/>
        <v>南</v>
      </c>
      <c r="B11" s="18">
        <f t="shared" si="7"/>
        <v>2</v>
      </c>
      <c r="C11" s="18">
        <f t="shared" si="9"/>
        <v>1</v>
      </c>
      <c r="D11" s="18">
        <f t="shared" si="3"/>
        <v>0</v>
      </c>
      <c r="E11" s="4" t="s">
        <v>137</v>
      </c>
      <c r="F11" s="8" t="s">
        <v>141</v>
      </c>
      <c r="G11" s="9">
        <v>16000</v>
      </c>
      <c r="H11" s="9">
        <v>1000</v>
      </c>
      <c r="I11" s="55">
        <v>1000</v>
      </c>
      <c r="J11" s="21">
        <f t="shared" si="4"/>
        <v>20600</v>
      </c>
      <c r="K11" s="8" t="s">
        <v>142</v>
      </c>
      <c r="L11" s="9">
        <v>-10000</v>
      </c>
      <c r="M11" s="9">
        <v>-1000</v>
      </c>
      <c r="N11" s="55">
        <v>-500</v>
      </c>
      <c r="O11" s="21">
        <f t="shared" si="5"/>
        <v>59800</v>
      </c>
      <c r="P11" s="8" t="s">
        <v>142</v>
      </c>
      <c r="Q11" s="9">
        <v>-6000</v>
      </c>
      <c r="R11" s="9"/>
      <c r="S11" s="55">
        <v>-500</v>
      </c>
      <c r="T11" s="21">
        <f t="shared" si="6"/>
        <v>24600</v>
      </c>
      <c r="U11" s="60">
        <f t="shared" si="0"/>
        <v>-14.4</v>
      </c>
      <c r="V11" s="61">
        <f t="shared" si="1"/>
        <v>24.8</v>
      </c>
      <c r="W11" s="62">
        <f t="shared" si="2"/>
        <v>-10.4</v>
      </c>
      <c r="Y11" s="8"/>
      <c r="Z11" s="41"/>
      <c r="AA11" s="32">
        <v>1</v>
      </c>
      <c r="AB11" s="32"/>
      <c r="AC11" s="32">
        <v>9</v>
      </c>
      <c r="AD11" s="36" t="s">
        <v>143</v>
      </c>
      <c r="AE11" s="47" t="s">
        <v>144</v>
      </c>
      <c r="AF11" s="48" t="s">
        <v>83</v>
      </c>
      <c r="AG11" s="48" t="s">
        <v>88</v>
      </c>
      <c r="AH11" s="48" t="s">
        <v>84</v>
      </c>
      <c r="AI11" s="48" t="s">
        <v>86</v>
      </c>
      <c r="AJ11" s="48" t="s">
        <v>82</v>
      </c>
      <c r="AK11" s="48" t="s">
        <v>80</v>
      </c>
      <c r="AL11" s="48" t="s">
        <v>81</v>
      </c>
      <c r="AM11" s="48" t="s">
        <v>81</v>
      </c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8"/>
        <v>南</v>
      </c>
      <c r="B12" s="18">
        <f t="shared" si="7"/>
        <v>3</v>
      </c>
      <c r="C12" s="18">
        <f t="shared" si="9"/>
        <v>0</v>
      </c>
      <c r="D12" s="18">
        <f t="shared" si="3"/>
        <v>0</v>
      </c>
      <c r="E12" s="4" t="s">
        <v>139</v>
      </c>
      <c r="F12" s="8" t="s">
        <v>145</v>
      </c>
      <c r="G12" s="9">
        <v>8000</v>
      </c>
      <c r="H12" s="9">
        <v>1000</v>
      </c>
      <c r="I12" s="55">
        <v>0</v>
      </c>
      <c r="J12" s="21">
        <f t="shared" si="4"/>
        <v>29600</v>
      </c>
      <c r="K12" s="8" t="s">
        <v>146</v>
      </c>
      <c r="L12" s="9">
        <v>-8000</v>
      </c>
      <c r="M12" s="9">
        <v>-1000</v>
      </c>
      <c r="N12" s="55">
        <v>0</v>
      </c>
      <c r="O12" s="21">
        <f t="shared" si="5"/>
        <v>50800</v>
      </c>
      <c r="P12" s="8"/>
      <c r="Q12" s="9"/>
      <c r="R12" s="9"/>
      <c r="S12" s="55"/>
      <c r="T12" s="21">
        <f t="shared" si="6"/>
        <v>24600</v>
      </c>
      <c r="U12" s="60">
        <f t="shared" si="0"/>
        <v>-5.4</v>
      </c>
      <c r="V12" s="61">
        <f t="shared" si="1"/>
        <v>15.8</v>
      </c>
      <c r="W12" s="62">
        <f t="shared" si="2"/>
        <v>-10.4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87</v>
      </c>
      <c r="AG12" s="48" t="s">
        <v>82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8"/>
        <v/>
      </c>
      <c r="B13" s="18" t="str">
        <f t="shared" si="7"/>
        <v/>
      </c>
      <c r="C13" s="18" t="str">
        <f t="shared" si="9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8"/>
        <v/>
      </c>
      <c r="B14" s="18" t="str">
        <f t="shared" si="7"/>
        <v/>
      </c>
      <c r="C14" s="18" t="str">
        <f t="shared" si="9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8"/>
        <v/>
      </c>
      <c r="B15" s="18" t="str">
        <f t="shared" si="7"/>
        <v/>
      </c>
      <c r="C15" s="18" t="str">
        <f t="shared" si="9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8"/>
        <v/>
      </c>
      <c r="B16" s="18" t="str">
        <f t="shared" si="7"/>
        <v/>
      </c>
      <c r="C16" s="18" t="str">
        <f t="shared" si="9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8"/>
        <v/>
      </c>
      <c r="B17" s="18" t="str">
        <f t="shared" si="7"/>
        <v/>
      </c>
      <c r="C17" s="18" t="str">
        <f t="shared" si="9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8"/>
        <v/>
      </c>
      <c r="B18" s="18" t="str">
        <f t="shared" si="7"/>
        <v/>
      </c>
      <c r="C18" s="18" t="str">
        <f t="shared" si="9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8"/>
        <v/>
      </c>
      <c r="B19" s="18" t="str">
        <f t="shared" si="7"/>
        <v/>
      </c>
      <c r="C19" s="18" t="str">
        <f t="shared" si="9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8"/>
        <v/>
      </c>
      <c r="B20" s="18" t="str">
        <f t="shared" si="7"/>
        <v/>
      </c>
      <c r="C20" s="18" t="str">
        <f t="shared" si="9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8"/>
        <v/>
      </c>
      <c r="B21" s="18" t="str">
        <f t="shared" si="7"/>
        <v/>
      </c>
      <c r="C21" s="18" t="str">
        <f t="shared" si="9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8"/>
        <v/>
      </c>
      <c r="B22" s="18" t="str">
        <f t="shared" si="7"/>
        <v/>
      </c>
      <c r="C22" s="18" t="str">
        <f t="shared" si="9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8"/>
        <v/>
      </c>
      <c r="B23" s="18" t="str">
        <f t="shared" si="7"/>
        <v/>
      </c>
      <c r="C23" s="18" t="str">
        <f t="shared" si="9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8"/>
        <v/>
      </c>
      <c r="B24" s="18" t="str">
        <f t="shared" si="7"/>
        <v/>
      </c>
      <c r="C24" s="18" t="str">
        <f t="shared" si="9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8"/>
        <v/>
      </c>
      <c r="B25" s="18" t="str">
        <f t="shared" si="7"/>
        <v/>
      </c>
      <c r="C25" s="18" t="str">
        <f t="shared" si="9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8"/>
        <v/>
      </c>
      <c r="B26" s="18" t="str">
        <f t="shared" si="7"/>
        <v/>
      </c>
      <c r="C26" s="18" t="str">
        <f t="shared" si="9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8"/>
        <v/>
      </c>
      <c r="B27" s="18" t="str">
        <f t="shared" si="7"/>
        <v/>
      </c>
      <c r="C27" s="18" t="str">
        <f t="shared" si="9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8"/>
        <v/>
      </c>
      <c r="B28" s="18" t="str">
        <f t="shared" si="7"/>
        <v/>
      </c>
      <c r="C28" s="18" t="str">
        <f t="shared" si="9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8"/>
        <v/>
      </c>
      <c r="B29" s="18" t="str">
        <f t="shared" si="7"/>
        <v/>
      </c>
      <c r="C29" s="18" t="str">
        <f t="shared" si="9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8"/>
        <v/>
      </c>
      <c r="B30" s="19" t="str">
        <f t="shared" si="7"/>
        <v/>
      </c>
      <c r="C30" s="19" t="str">
        <f t="shared" si="9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BCED4AE-7472-40B0-A2BD-2A97C792319D}">
      <formula1>$U$2:$W$2</formula1>
    </dataValidation>
    <dataValidation type="list" showInputMessage="1" showErrorMessage="1" sqref="K4:K30 P4:P30 F4:F30" xr:uid="{8D79BBC4-81C3-4B77-8D58-AC0A8C2D4CD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2019-01-13T07:56:07Z</dcterms:modified>
</cp:coreProperties>
</file>