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CFB611F4-62E3-4EE1-AA9B-C88FC83CC50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4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4" l="1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4" l="1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S17" i="14"/>
  <c r="N17" i="14"/>
  <c r="I17" i="14"/>
  <c r="D17" i="14"/>
  <c r="C17" i="14"/>
  <c r="S16" i="14"/>
  <c r="I16" i="14"/>
  <c r="D16" i="14"/>
  <c r="C16" i="14"/>
  <c r="N16" i="14" s="1"/>
  <c r="S15" i="14"/>
  <c r="S14" i="14"/>
  <c r="N14" i="14"/>
  <c r="I14" i="14"/>
  <c r="D14" i="14"/>
  <c r="D15" i="14" s="1"/>
  <c r="S13" i="14"/>
  <c r="D13" i="14"/>
  <c r="C13" i="14"/>
  <c r="N13" i="14" s="1"/>
  <c r="D12" i="14"/>
  <c r="N11" i="14"/>
  <c r="D11" i="14"/>
  <c r="S10" i="14"/>
  <c r="D10" i="14"/>
  <c r="C10" i="14"/>
  <c r="I10" i="14" s="1"/>
  <c r="S9" i="14"/>
  <c r="D9" i="14"/>
  <c r="I8" i="14"/>
  <c r="D8" i="14"/>
  <c r="S7" i="14"/>
  <c r="I7" i="14"/>
  <c r="D7" i="14"/>
  <c r="C7" i="14"/>
  <c r="C8" i="14" s="1"/>
  <c r="N6" i="14"/>
  <c r="D6" i="14"/>
  <c r="C6" i="14"/>
  <c r="B6" i="14"/>
  <c r="B7" i="14" s="1"/>
  <c r="D5" i="14"/>
  <c r="C5" i="14"/>
  <c r="B5" i="14"/>
  <c r="A6" i="14" s="1"/>
  <c r="S4" i="14"/>
  <c r="T4" i="14" s="1"/>
  <c r="N4" i="14"/>
  <c r="O4" i="14" s="1"/>
  <c r="I4" i="14"/>
  <c r="J4" i="14" s="1"/>
  <c r="W2" i="14"/>
  <c r="V2" i="14"/>
  <c r="U2" i="14"/>
  <c r="A5" i="14" l="1"/>
  <c r="B8" i="14"/>
  <c r="A7" i="14"/>
  <c r="S6" i="14"/>
  <c r="I6" i="14"/>
  <c r="N8" i="14"/>
  <c r="S8" i="14"/>
  <c r="S5" i="14"/>
  <c r="T5" i="14" s="1"/>
  <c r="I5" i="14"/>
  <c r="J5" i="14" s="1"/>
  <c r="N5" i="14"/>
  <c r="O5" i="14" s="1"/>
  <c r="C9" i="14"/>
  <c r="I13" i="14"/>
  <c r="C14" i="14"/>
  <c r="C15" i="14" s="1"/>
  <c r="C11" i="14"/>
  <c r="N10" i="14"/>
  <c r="N7" i="14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J6" i="14" l="1"/>
  <c r="I9" i="14"/>
  <c r="N9" i="14"/>
  <c r="C12" i="14"/>
  <c r="I11" i="14"/>
  <c r="S11" i="14"/>
  <c r="O6" i="14"/>
  <c r="B9" i="14"/>
  <c r="A9" i="14" s="1"/>
  <c r="T6" i="14"/>
  <c r="N15" i="14"/>
  <c r="I15" i="14"/>
  <c r="A8" i="14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O7" i="14" l="1"/>
  <c r="B10" i="14"/>
  <c r="A10" i="14" s="1"/>
  <c r="T7" i="14"/>
  <c r="N12" i="14"/>
  <c r="S12" i="14"/>
  <c r="I12" i="14"/>
  <c r="J7" i="14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J8" i="14" l="1"/>
  <c r="T8" i="14"/>
  <c r="B11" i="14"/>
  <c r="A11" i="14"/>
  <c r="O8" i="14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5" i="1"/>
  <c r="O6" i="1" s="1"/>
  <c r="O7" i="1" s="1"/>
  <c r="O8" i="1" s="1"/>
  <c r="O9" i="1" s="1"/>
  <c r="O10" i="1" s="1"/>
  <c r="O11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6" i="1"/>
  <c r="J7" i="1" s="1"/>
  <c r="J8" i="1" s="1"/>
  <c r="J9" i="1" s="1"/>
  <c r="J10" i="1" s="1"/>
  <c r="O9" i="14" l="1"/>
  <c r="T9" i="14"/>
  <c r="B12" i="14"/>
  <c r="J9" i="14"/>
  <c r="J11" i="1"/>
  <c r="B10" i="1"/>
  <c r="B11" i="1" s="1"/>
  <c r="T9" i="1"/>
  <c r="T10" i="1" s="1"/>
  <c r="T11" i="1" s="1"/>
  <c r="T10" i="14" l="1"/>
  <c r="B13" i="14"/>
  <c r="J10" i="14"/>
  <c r="A12" i="14"/>
  <c r="A13" i="14" s="1"/>
  <c r="O10" i="14"/>
  <c r="A10" i="1"/>
  <c r="A11" i="1"/>
  <c r="B12" i="1"/>
  <c r="B14" i="14" l="1"/>
  <c r="O11" i="14"/>
  <c r="T11" i="14"/>
  <c r="J11" i="14"/>
  <c r="B13" i="1"/>
  <c r="A13" i="1"/>
  <c r="A12" i="1"/>
  <c r="W2" i="1"/>
  <c r="V2" i="1"/>
  <c r="U2" i="1"/>
  <c r="J12" i="14" l="1"/>
  <c r="O12" i="14"/>
  <c r="B15" i="14"/>
  <c r="T12" i="14"/>
  <c r="A14" i="14"/>
  <c r="A15" i="14" s="1"/>
  <c r="B14" i="1"/>
  <c r="A14" i="1" s="1"/>
  <c r="O13" i="14" l="1"/>
  <c r="T13" i="14"/>
  <c r="B16" i="14"/>
  <c r="A16" i="14"/>
  <c r="J13" i="14"/>
  <c r="J14" i="14" l="1"/>
  <c r="T14" i="14"/>
  <c r="B17" i="14"/>
  <c r="A17" i="14" s="1"/>
  <c r="O14" i="14"/>
  <c r="T15" i="14" l="1"/>
  <c r="O15" i="14"/>
  <c r="J15" i="14"/>
  <c r="T16" i="14" l="1"/>
  <c r="O16" i="14"/>
  <c r="J16" i="14"/>
  <c r="O17" i="14" l="1"/>
  <c r="J17" i="14"/>
  <c r="T17" i="14"/>
</calcChain>
</file>

<file path=xl/sharedStrings.xml><?xml version="1.0" encoding="utf-8"?>
<sst xmlns="http://schemas.openxmlformats.org/spreadsheetml/2006/main" count="158" uniqueCount="31">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</sst>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23</v>
      </c>
      <c r="G4" s="15">
        <v>-9000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26000</v>
      </c>
      <c r="K4" s="14" t="s">
        <v>22</v>
      </c>
      <c r="L4" s="15">
        <v>18000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53000</v>
      </c>
      <c r="P4" s="14" t="s">
        <v>23</v>
      </c>
      <c r="Q4" s="15">
        <v>-9000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26000</v>
      </c>
      <c r="U4" s="44">
        <f t="shared" si="0"/>
        <v>-9</v>
      </c>
      <c r="V4" s="45">
        <f t="shared" si="1"/>
        <v>18</v>
      </c>
      <c r="W4" s="46">
        <f t="shared" si="2"/>
        <v>-9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26</v>
      </c>
      <c r="F5" s="14" t="s">
        <v>23</v>
      </c>
      <c r="G5" s="15">
        <v>-3000</v>
      </c>
      <c r="H5" s="15"/>
      <c r="I5" s="16">
        <f>IF(OR(F5="ロン",F5="ツモ"),$C5*1000,IF(F5="放銃",$C5*-1000,IF(F5="ツモ支払",$C5*-500,"")))</f>
        <v>-500</v>
      </c>
      <c r="J5" s="17">
        <f t="shared" si="3"/>
        <v>22500</v>
      </c>
      <c r="K5" s="14" t="s">
        <v>22</v>
      </c>
      <c r="L5" s="15">
        <v>6000</v>
      </c>
      <c r="M5" s="15"/>
      <c r="N5" s="16">
        <f t="shared" ref="N5:N30" si="6">IF(OR(K5="ロン",K5="ツモ"),$C5*1000,IF(K5="放銃",$C5*-1000,IF(K5="ツモ支払",$C5*-500,"")))</f>
        <v>1000</v>
      </c>
      <c r="O5" s="17">
        <f t="shared" si="4"/>
        <v>60000</v>
      </c>
      <c r="P5" s="14" t="s">
        <v>23</v>
      </c>
      <c r="Q5" s="15">
        <v>-3000</v>
      </c>
      <c r="R5" s="15"/>
      <c r="S5" s="16">
        <f t="shared" ref="S5:S30" si="7">IF(OR(P5="ロン",P5="ツモ"),$C5*1000,IF(P5="放銃",$C5*-1000,IF(P5="ツモ支払",$C5*-500,"")))</f>
        <v>-500</v>
      </c>
      <c r="T5" s="17">
        <f t="shared" si="5"/>
        <v>22500</v>
      </c>
      <c r="U5" s="44">
        <f t="shared" si="0"/>
        <v>-12.5</v>
      </c>
      <c r="V5" s="45">
        <f t="shared" si="1"/>
        <v>25</v>
      </c>
      <c r="W5" s="46">
        <f t="shared" si="2"/>
        <v>-12.5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4" t="s">
        <v>25</v>
      </c>
      <c r="G6" s="15">
        <v>12000</v>
      </c>
      <c r="H6" s="15"/>
      <c r="I6" s="16">
        <f t="shared" ref="I6:I30" si="12">IF(OR(F6="ロン",F6="ツモ"),$C6*1000,IF(F6="放銃",$C6*-1000,IF(F6="ツモ支払",$C6*-500,"")))</f>
        <v>2000</v>
      </c>
      <c r="J6" s="17">
        <f t="shared" si="3"/>
        <v>36500</v>
      </c>
      <c r="K6" s="14"/>
      <c r="L6" s="15"/>
      <c r="M6" s="15"/>
      <c r="N6" s="16" t="str">
        <f t="shared" si="6"/>
        <v/>
      </c>
      <c r="O6" s="17">
        <f t="shared" si="4"/>
        <v>60000</v>
      </c>
      <c r="P6" s="14" t="s">
        <v>24</v>
      </c>
      <c r="Q6" s="15">
        <v>-12000</v>
      </c>
      <c r="R6" s="15"/>
      <c r="S6" s="16">
        <f t="shared" si="7"/>
        <v>-2000</v>
      </c>
      <c r="T6" s="17">
        <f t="shared" si="5"/>
        <v>8500</v>
      </c>
      <c r="U6" s="44">
        <f t="shared" si="0"/>
        <v>1.5</v>
      </c>
      <c r="V6" s="45">
        <f t="shared" si="1"/>
        <v>25</v>
      </c>
      <c r="W6" s="46">
        <f t="shared" si="2"/>
        <v>-26.5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0</v>
      </c>
      <c r="D7" s="25">
        <f t="shared" si="11"/>
        <v>0</v>
      </c>
      <c r="E7" s="6" t="s">
        <v>28</v>
      </c>
      <c r="F7" s="14"/>
      <c r="G7" s="15"/>
      <c r="H7" s="15"/>
      <c r="I7" s="16" t="str">
        <f t="shared" si="12"/>
        <v/>
      </c>
      <c r="J7" s="17">
        <f t="shared" si="3"/>
        <v>36500</v>
      </c>
      <c r="K7" s="14" t="s">
        <v>24</v>
      </c>
      <c r="L7" s="15">
        <v>-12000</v>
      </c>
      <c r="M7" s="15"/>
      <c r="N7" s="16">
        <f t="shared" si="6"/>
        <v>0</v>
      </c>
      <c r="O7" s="17">
        <f t="shared" si="4"/>
        <v>48000</v>
      </c>
      <c r="P7" s="14" t="s">
        <v>25</v>
      </c>
      <c r="Q7" s="15">
        <v>12000</v>
      </c>
      <c r="R7" s="15"/>
      <c r="S7" s="16">
        <f t="shared" si="7"/>
        <v>0</v>
      </c>
      <c r="T7" s="17">
        <f t="shared" si="5"/>
        <v>20500</v>
      </c>
      <c r="U7" s="44">
        <f t="shared" si="0"/>
        <v>1.5</v>
      </c>
      <c r="V7" s="45">
        <f t="shared" si="1"/>
        <v>13</v>
      </c>
      <c r="W7" s="46">
        <f t="shared" si="2"/>
        <v>-14.5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1</v>
      </c>
      <c r="D8" s="25">
        <f t="shared" si="11"/>
        <v>0</v>
      </c>
      <c r="E8" s="6" t="s">
        <v>28</v>
      </c>
      <c r="F8" s="14"/>
      <c r="G8" s="15"/>
      <c r="H8" s="15"/>
      <c r="I8" s="16" t="str">
        <f t="shared" si="12"/>
        <v/>
      </c>
      <c r="J8" s="17">
        <f t="shared" si="3"/>
        <v>36500</v>
      </c>
      <c r="K8" s="14" t="s">
        <v>24</v>
      </c>
      <c r="L8" s="15">
        <v>-5800</v>
      </c>
      <c r="M8" s="15">
        <v>-1000</v>
      </c>
      <c r="N8" s="16">
        <f t="shared" si="6"/>
        <v>-1000</v>
      </c>
      <c r="O8" s="17">
        <f t="shared" si="4"/>
        <v>40200</v>
      </c>
      <c r="P8" s="14" t="s">
        <v>25</v>
      </c>
      <c r="Q8" s="15">
        <v>5800</v>
      </c>
      <c r="R8" s="15">
        <v>1000</v>
      </c>
      <c r="S8" s="16">
        <f t="shared" si="7"/>
        <v>1000</v>
      </c>
      <c r="T8" s="17">
        <f t="shared" si="5"/>
        <v>28300</v>
      </c>
      <c r="U8" s="44">
        <f t="shared" si="0"/>
        <v>1.5</v>
      </c>
      <c r="V8" s="45">
        <f t="shared" si="1"/>
        <v>5.2</v>
      </c>
      <c r="W8" s="46">
        <f t="shared" si="2"/>
        <v>-6.7</v>
      </c>
    </row>
    <row r="9" spans="1:23" x14ac:dyDescent="0.4">
      <c r="A9" s="24" t="str">
        <f t="shared" si="8"/>
        <v>東</v>
      </c>
      <c r="B9" s="25">
        <f t="shared" si="9"/>
        <v>2</v>
      </c>
      <c r="C9" s="25">
        <f t="shared" si="10"/>
        <v>2</v>
      </c>
      <c r="D9" s="25">
        <f t="shared" si="11"/>
        <v>0</v>
      </c>
      <c r="E9" s="6" t="s">
        <v>28</v>
      </c>
      <c r="F9" s="14" t="s">
        <v>25</v>
      </c>
      <c r="G9" s="15">
        <v>8000</v>
      </c>
      <c r="H9" s="15">
        <v>1000</v>
      </c>
      <c r="I9" s="16">
        <f t="shared" si="12"/>
        <v>2000</v>
      </c>
      <c r="J9" s="17">
        <f t="shared" si="3"/>
        <v>47500</v>
      </c>
      <c r="K9" s="14" t="s">
        <v>24</v>
      </c>
      <c r="L9" s="15">
        <v>-8000</v>
      </c>
      <c r="M9" s="15">
        <v>-1000</v>
      </c>
      <c r="N9" s="16">
        <f t="shared" si="6"/>
        <v>-2000</v>
      </c>
      <c r="O9" s="17">
        <f t="shared" si="4"/>
        <v>29200</v>
      </c>
      <c r="P9" s="14"/>
      <c r="Q9" s="15"/>
      <c r="R9" s="15"/>
      <c r="S9" s="16" t="str">
        <f t="shared" si="7"/>
        <v/>
      </c>
      <c r="T9" s="17">
        <f t="shared" si="5"/>
        <v>28300</v>
      </c>
      <c r="U9" s="44">
        <f t="shared" si="0"/>
        <v>12.5</v>
      </c>
      <c r="V9" s="45">
        <f t="shared" si="1"/>
        <v>-5.8</v>
      </c>
      <c r="W9" s="46">
        <f t="shared" si="2"/>
        <v>-6.7</v>
      </c>
    </row>
    <row r="10" spans="1:23" x14ac:dyDescent="0.4">
      <c r="A10" s="24" t="str">
        <f t="shared" si="8"/>
        <v>東</v>
      </c>
      <c r="B10" s="25">
        <f t="shared" si="9"/>
        <v>3</v>
      </c>
      <c r="C10" s="25">
        <f t="shared" si="10"/>
        <v>0</v>
      </c>
      <c r="D10" s="25">
        <f t="shared" si="11"/>
        <v>0</v>
      </c>
      <c r="E10" s="6" t="s">
        <v>19</v>
      </c>
      <c r="F10" s="14" t="s">
        <v>25</v>
      </c>
      <c r="G10" s="15">
        <v>7700</v>
      </c>
      <c r="H10" s="15"/>
      <c r="I10" s="16">
        <f t="shared" si="12"/>
        <v>0</v>
      </c>
      <c r="J10" s="17">
        <f t="shared" si="3"/>
        <v>55200</v>
      </c>
      <c r="K10" s="14" t="s">
        <v>24</v>
      </c>
      <c r="L10" s="15">
        <v>-7700</v>
      </c>
      <c r="M10" s="15"/>
      <c r="N10" s="16">
        <f t="shared" si="6"/>
        <v>0</v>
      </c>
      <c r="O10" s="17">
        <f t="shared" si="4"/>
        <v>21500</v>
      </c>
      <c r="P10" s="14"/>
      <c r="Q10" s="15"/>
      <c r="R10" s="15"/>
      <c r="S10" s="16" t="str">
        <f t="shared" si="7"/>
        <v/>
      </c>
      <c r="T10" s="17">
        <f t="shared" si="5"/>
        <v>28300</v>
      </c>
      <c r="U10" s="44">
        <f t="shared" si="0"/>
        <v>20.2</v>
      </c>
      <c r="V10" s="45">
        <f t="shared" si="1"/>
        <v>-13.5</v>
      </c>
      <c r="W10" s="46">
        <f t="shared" si="2"/>
        <v>-6.7</v>
      </c>
    </row>
    <row r="11" spans="1:23" x14ac:dyDescent="0.4">
      <c r="A11" s="24" t="str">
        <f t="shared" si="8"/>
        <v>東</v>
      </c>
      <c r="B11" s="25">
        <f t="shared" si="9"/>
        <v>3</v>
      </c>
      <c r="C11" s="25">
        <f t="shared" si="10"/>
        <v>1</v>
      </c>
      <c r="D11" s="25">
        <f t="shared" si="11"/>
        <v>0</v>
      </c>
      <c r="E11" s="6" t="s">
        <v>19</v>
      </c>
      <c r="F11" s="14" t="s">
        <v>25</v>
      </c>
      <c r="G11" s="15">
        <v>12000</v>
      </c>
      <c r="H11" s="15"/>
      <c r="I11" s="16">
        <f t="shared" si="12"/>
        <v>1000</v>
      </c>
      <c r="J11" s="17">
        <f t="shared" si="3"/>
        <v>68200</v>
      </c>
      <c r="K11" s="14"/>
      <c r="L11" s="15"/>
      <c r="M11" s="15"/>
      <c r="N11" s="16" t="str">
        <f t="shared" si="6"/>
        <v/>
      </c>
      <c r="O11" s="17">
        <f t="shared" si="4"/>
        <v>21500</v>
      </c>
      <c r="P11" s="14" t="s">
        <v>24</v>
      </c>
      <c r="Q11" s="15">
        <v>-12000</v>
      </c>
      <c r="R11" s="15"/>
      <c r="S11" s="16">
        <f t="shared" si="7"/>
        <v>-1000</v>
      </c>
      <c r="T11" s="17">
        <f t="shared" si="5"/>
        <v>15300</v>
      </c>
      <c r="U11" s="44">
        <f t="shared" si="0"/>
        <v>33.200000000000003</v>
      </c>
      <c r="V11" s="45">
        <f t="shared" si="1"/>
        <v>-13.5</v>
      </c>
      <c r="W11" s="46">
        <f t="shared" si="2"/>
        <v>-19.7</v>
      </c>
    </row>
    <row r="12" spans="1:23" x14ac:dyDescent="0.4">
      <c r="A12" s="24" t="str">
        <f t="shared" si="8"/>
        <v>東</v>
      </c>
      <c r="B12" s="25">
        <f t="shared" si="9"/>
        <v>3</v>
      </c>
      <c r="C12" s="25">
        <f t="shared" si="10"/>
        <v>2</v>
      </c>
      <c r="D12" s="25">
        <f t="shared" si="11"/>
        <v>0</v>
      </c>
      <c r="E12" s="6" t="s">
        <v>19</v>
      </c>
      <c r="F12" s="14" t="s">
        <v>23</v>
      </c>
      <c r="G12" s="15">
        <v>-1300</v>
      </c>
      <c r="H12" s="15"/>
      <c r="I12" s="16">
        <f t="shared" si="12"/>
        <v>-1000</v>
      </c>
      <c r="J12" s="17">
        <f t="shared" si="3"/>
        <v>65900</v>
      </c>
      <c r="K12" s="14" t="s">
        <v>23</v>
      </c>
      <c r="L12" s="15">
        <v>-800</v>
      </c>
      <c r="M12" s="15">
        <v>-1000</v>
      </c>
      <c r="N12" s="16">
        <f t="shared" si="6"/>
        <v>-1000</v>
      </c>
      <c r="O12" s="17">
        <f t="shared" si="4"/>
        <v>18700</v>
      </c>
      <c r="P12" s="14" t="s">
        <v>22</v>
      </c>
      <c r="Q12" s="15">
        <v>2100</v>
      </c>
      <c r="R12" s="15">
        <v>1000</v>
      </c>
      <c r="S12" s="16">
        <f t="shared" si="7"/>
        <v>2000</v>
      </c>
      <c r="T12" s="17">
        <f t="shared" si="5"/>
        <v>20400</v>
      </c>
      <c r="U12" s="44">
        <f t="shared" si="0"/>
        <v>30.9</v>
      </c>
      <c r="V12" s="45">
        <f t="shared" si="1"/>
        <v>-16.3</v>
      </c>
      <c r="W12" s="46">
        <f t="shared" si="2"/>
        <v>-14.6</v>
      </c>
    </row>
    <row r="13" spans="1:23" x14ac:dyDescent="0.4">
      <c r="A13" s="24" t="str">
        <f t="shared" si="8"/>
        <v>南</v>
      </c>
      <c r="B13" s="25">
        <f t="shared" si="9"/>
        <v>1</v>
      </c>
      <c r="C13" s="25">
        <f t="shared" si="10"/>
        <v>0</v>
      </c>
      <c r="D13" s="25">
        <f t="shared" si="11"/>
        <v>0</v>
      </c>
      <c r="E13" s="6" t="s">
        <v>26</v>
      </c>
      <c r="F13" s="14" t="s">
        <v>24</v>
      </c>
      <c r="G13" s="15">
        <v>-2900</v>
      </c>
      <c r="H13" s="15"/>
      <c r="I13" s="16">
        <f t="shared" si="12"/>
        <v>0</v>
      </c>
      <c r="J13" s="17">
        <f t="shared" si="3"/>
        <v>63000</v>
      </c>
      <c r="K13" s="14" t="s">
        <v>25</v>
      </c>
      <c r="L13" s="15">
        <v>2900</v>
      </c>
      <c r="M13" s="15"/>
      <c r="N13" s="16">
        <f t="shared" si="6"/>
        <v>0</v>
      </c>
      <c r="O13" s="17">
        <f t="shared" si="4"/>
        <v>21600</v>
      </c>
      <c r="P13" s="14"/>
      <c r="Q13" s="15"/>
      <c r="R13" s="15"/>
      <c r="S13" s="16" t="str">
        <f t="shared" si="7"/>
        <v/>
      </c>
      <c r="T13" s="17">
        <f t="shared" si="5"/>
        <v>20400</v>
      </c>
      <c r="U13" s="44">
        <f t="shared" si="0"/>
        <v>28</v>
      </c>
      <c r="V13" s="45">
        <f t="shared" si="1"/>
        <v>-13.4</v>
      </c>
      <c r="W13" s="46">
        <f t="shared" si="2"/>
        <v>-14.6</v>
      </c>
    </row>
    <row r="14" spans="1:23" x14ac:dyDescent="0.4">
      <c r="A14" s="24" t="str">
        <f t="shared" si="8"/>
        <v>南</v>
      </c>
      <c r="B14" s="25">
        <f t="shared" si="9"/>
        <v>1</v>
      </c>
      <c r="C14" s="25">
        <f t="shared" si="10"/>
        <v>1</v>
      </c>
      <c r="D14" s="25">
        <f t="shared" si="11"/>
        <v>0</v>
      </c>
      <c r="E14" s="6" t="s">
        <v>26</v>
      </c>
      <c r="F14" s="14" t="s">
        <v>30</v>
      </c>
      <c r="G14" s="15">
        <v>3000</v>
      </c>
      <c r="H14" s="15"/>
      <c r="I14" s="16" t="str">
        <f t="shared" si="12"/>
        <v/>
      </c>
      <c r="J14" s="17">
        <f t="shared" si="3"/>
        <v>66000</v>
      </c>
      <c r="K14" s="14" t="s">
        <v>30</v>
      </c>
      <c r="L14" s="15">
        <v>5000</v>
      </c>
      <c r="M14" s="15"/>
      <c r="N14" s="16" t="str">
        <f t="shared" si="6"/>
        <v/>
      </c>
      <c r="O14" s="17">
        <f t="shared" si="4"/>
        <v>26600</v>
      </c>
      <c r="P14" s="14" t="s">
        <v>30</v>
      </c>
      <c r="Q14" s="15">
        <v>-8000</v>
      </c>
      <c r="R14" s="15">
        <v>-1000</v>
      </c>
      <c r="S14" s="16" t="str">
        <f t="shared" si="7"/>
        <v/>
      </c>
      <c r="T14" s="17">
        <f t="shared" si="5"/>
        <v>11400</v>
      </c>
      <c r="U14" s="44">
        <f t="shared" si="0"/>
        <v>31</v>
      </c>
      <c r="V14" s="45">
        <f t="shared" si="1"/>
        <v>-8.4</v>
      </c>
      <c r="W14" s="46">
        <f t="shared" si="2"/>
        <v>-23.6</v>
      </c>
    </row>
    <row r="15" spans="1:23" x14ac:dyDescent="0.4">
      <c r="A15" s="24" t="str">
        <f t="shared" si="8"/>
        <v>南</v>
      </c>
      <c r="B15" s="25">
        <f t="shared" si="9"/>
        <v>1</v>
      </c>
      <c r="C15" s="25">
        <f t="shared" si="10"/>
        <v>2</v>
      </c>
      <c r="D15" s="25">
        <f t="shared" si="11"/>
        <v>1</v>
      </c>
      <c r="E15" s="6" t="s">
        <v>26</v>
      </c>
      <c r="F15" s="14" t="s">
        <v>25</v>
      </c>
      <c r="G15" s="15">
        <v>8000</v>
      </c>
      <c r="H15" s="15">
        <v>1000</v>
      </c>
      <c r="I15" s="16">
        <f t="shared" si="12"/>
        <v>2000</v>
      </c>
      <c r="J15" s="17">
        <f t="shared" si="3"/>
        <v>77000</v>
      </c>
      <c r="K15" s="14" t="s">
        <v>24</v>
      </c>
      <c r="L15" s="15">
        <v>-8000</v>
      </c>
      <c r="M15" s="15"/>
      <c r="N15" s="16">
        <f t="shared" si="6"/>
        <v>-2000</v>
      </c>
      <c r="O15" s="17">
        <f t="shared" si="4"/>
        <v>16600</v>
      </c>
      <c r="P15" s="14"/>
      <c r="Q15" s="15"/>
      <c r="R15" s="15"/>
      <c r="S15" s="16" t="str">
        <f t="shared" si="7"/>
        <v/>
      </c>
      <c r="T15" s="17">
        <f t="shared" si="5"/>
        <v>11400</v>
      </c>
      <c r="U15" s="44">
        <f t="shared" si="0"/>
        <v>42</v>
      </c>
      <c r="V15" s="45">
        <f t="shared" si="1"/>
        <v>-18.399999999999999</v>
      </c>
      <c r="W15" s="46">
        <f t="shared" si="2"/>
        <v>-23.6</v>
      </c>
    </row>
    <row r="16" spans="1:23" x14ac:dyDescent="0.4">
      <c r="A16" s="24" t="str">
        <f t="shared" si="8"/>
        <v>南</v>
      </c>
      <c r="B16" s="25">
        <f t="shared" si="9"/>
        <v>2</v>
      </c>
      <c r="C16" s="25">
        <f t="shared" si="10"/>
        <v>0</v>
      </c>
      <c r="D16" s="25">
        <f t="shared" si="11"/>
        <v>0</v>
      </c>
      <c r="E16" s="6" t="s">
        <v>28</v>
      </c>
      <c r="F16" s="14" t="s">
        <v>22</v>
      </c>
      <c r="G16" s="15">
        <v>12000</v>
      </c>
      <c r="H16" s="15"/>
      <c r="I16" s="16">
        <f t="shared" si="12"/>
        <v>0</v>
      </c>
      <c r="J16" s="17">
        <f t="shared" si="3"/>
        <v>89000</v>
      </c>
      <c r="K16" s="14" t="s">
        <v>23</v>
      </c>
      <c r="L16" s="15">
        <v>-4500</v>
      </c>
      <c r="M16" s="15"/>
      <c r="N16" s="16">
        <f t="shared" si="6"/>
        <v>0</v>
      </c>
      <c r="O16" s="17">
        <f t="shared" si="4"/>
        <v>12100</v>
      </c>
      <c r="P16" s="14" t="s">
        <v>23</v>
      </c>
      <c r="Q16" s="15">
        <v>-7500</v>
      </c>
      <c r="R16" s="15"/>
      <c r="S16" s="16">
        <f t="shared" si="7"/>
        <v>0</v>
      </c>
      <c r="T16" s="17">
        <f t="shared" si="5"/>
        <v>3900</v>
      </c>
      <c r="U16" s="44">
        <f t="shared" si="0"/>
        <v>54</v>
      </c>
      <c r="V16" s="45">
        <f t="shared" si="1"/>
        <v>-22.9</v>
      </c>
      <c r="W16" s="46">
        <f t="shared" si="2"/>
        <v>-31.1</v>
      </c>
    </row>
    <row r="17" spans="1:23" x14ac:dyDescent="0.4">
      <c r="A17" s="24" t="str">
        <f t="shared" si="8"/>
        <v>南</v>
      </c>
      <c r="B17" s="25">
        <f t="shared" si="9"/>
        <v>3</v>
      </c>
      <c r="C17" s="25">
        <f t="shared" si="10"/>
        <v>0</v>
      </c>
      <c r="D17" s="25">
        <f t="shared" si="11"/>
        <v>0</v>
      </c>
      <c r="E17" s="6" t="s">
        <v>19</v>
      </c>
      <c r="F17" s="14" t="s">
        <v>21</v>
      </c>
      <c r="G17" s="15">
        <v>3000</v>
      </c>
      <c r="H17" s="15"/>
      <c r="I17" s="16" t="str">
        <f t="shared" si="12"/>
        <v/>
      </c>
      <c r="J17" s="17">
        <f t="shared" si="3"/>
        <v>92000</v>
      </c>
      <c r="K17" s="14" t="s">
        <v>21</v>
      </c>
      <c r="L17" s="15">
        <v>-1000</v>
      </c>
      <c r="M17" s="15"/>
      <c r="N17" s="16" t="str">
        <f t="shared" si="6"/>
        <v/>
      </c>
      <c r="O17" s="17">
        <f t="shared" si="4"/>
        <v>11100</v>
      </c>
      <c r="P17" s="14" t="s">
        <v>21</v>
      </c>
      <c r="Q17" s="15">
        <v>-1000</v>
      </c>
      <c r="R17" s="15"/>
      <c r="S17" s="16" t="str">
        <f t="shared" si="7"/>
        <v/>
      </c>
      <c r="T17" s="17">
        <f t="shared" si="5"/>
        <v>2900</v>
      </c>
      <c r="U17" s="44">
        <f t="shared" si="0"/>
        <v>57</v>
      </c>
      <c r="V17" s="45">
        <f t="shared" si="1"/>
        <v>-23.9</v>
      </c>
      <c r="W17" s="46">
        <f t="shared" si="2"/>
        <v>-32.1</v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0132-E62F-4EC3-B0BE-B057132144BB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23</v>
      </c>
      <c r="G4" s="15">
        <v>-6000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29000</v>
      </c>
      <c r="K4" s="14" t="s">
        <v>22</v>
      </c>
      <c r="L4" s="15">
        <v>12000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47000</v>
      </c>
      <c r="P4" s="14" t="s">
        <v>23</v>
      </c>
      <c r="Q4" s="15">
        <v>-6000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29000</v>
      </c>
      <c r="U4" s="44">
        <f t="shared" si="0"/>
        <v>-6</v>
      </c>
      <c r="V4" s="45">
        <f t="shared" si="1"/>
        <v>12</v>
      </c>
      <c r="W4" s="46">
        <f t="shared" si="2"/>
        <v>-6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26</v>
      </c>
      <c r="F5" s="14"/>
      <c r="G5" s="15"/>
      <c r="H5" s="15"/>
      <c r="I5" s="16" t="str">
        <f>IF(OR(F5="ロン",F5="ツモ"),$C5*1000,IF(F5="放銃",$C5*-1000,IF(F5="ツモ支払",$C5*-500,"")))</f>
        <v/>
      </c>
      <c r="J5" s="17">
        <f t="shared" si="3"/>
        <v>29000</v>
      </c>
      <c r="K5" s="14" t="s">
        <v>24</v>
      </c>
      <c r="L5" s="15">
        <v>-8000</v>
      </c>
      <c r="M5" s="15">
        <v>-1000</v>
      </c>
      <c r="N5" s="16">
        <f t="shared" ref="N5:N30" si="6">IF(OR(K5="ロン",K5="ツモ"),$C5*1000,IF(K5="放銃",$C5*-1000,IF(K5="ツモ支払",$C5*-500,"")))</f>
        <v>-1000</v>
      </c>
      <c r="O5" s="17">
        <f t="shared" si="4"/>
        <v>37000</v>
      </c>
      <c r="P5" s="14" t="s">
        <v>25</v>
      </c>
      <c r="Q5" s="15">
        <v>8000</v>
      </c>
      <c r="R5" s="15">
        <v>1000</v>
      </c>
      <c r="S5" s="16">
        <f t="shared" ref="S5:S30" si="7">IF(OR(P5="ロン",P5="ツモ"),$C5*1000,IF(P5="放銃",$C5*-1000,IF(P5="ツモ支払",$C5*-500,"")))</f>
        <v>1000</v>
      </c>
      <c r="T5" s="17">
        <f t="shared" si="5"/>
        <v>39000</v>
      </c>
      <c r="U5" s="44">
        <f t="shared" si="0"/>
        <v>-6</v>
      </c>
      <c r="V5" s="45">
        <f t="shared" si="1"/>
        <v>2</v>
      </c>
      <c r="W5" s="46">
        <f t="shared" si="2"/>
        <v>4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23</v>
      </c>
      <c r="G6" s="15">
        <v>-6000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23000</v>
      </c>
      <c r="K6" s="14" t="s">
        <v>22</v>
      </c>
      <c r="L6" s="15">
        <v>16000</v>
      </c>
      <c r="M6" s="15"/>
      <c r="N6" s="16">
        <f t="shared" si="6"/>
        <v>0</v>
      </c>
      <c r="O6" s="17">
        <f t="shared" si="4"/>
        <v>53000</v>
      </c>
      <c r="P6" s="14" t="s">
        <v>23</v>
      </c>
      <c r="Q6" s="15">
        <v>-10000</v>
      </c>
      <c r="R6" s="15"/>
      <c r="S6" s="16">
        <f t="shared" si="7"/>
        <v>0</v>
      </c>
      <c r="T6" s="17">
        <f t="shared" si="5"/>
        <v>29000</v>
      </c>
      <c r="U6" s="44">
        <f t="shared" si="0"/>
        <v>-12</v>
      </c>
      <c r="V6" s="45">
        <f t="shared" si="1"/>
        <v>18</v>
      </c>
      <c r="W6" s="46">
        <f t="shared" si="2"/>
        <v>-6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24</v>
      </c>
      <c r="G7" s="15">
        <v>-8000</v>
      </c>
      <c r="H7" s="15"/>
      <c r="I7" s="16">
        <f t="shared" si="12"/>
        <v>0</v>
      </c>
      <c r="J7" s="17">
        <f t="shared" si="3"/>
        <v>15000</v>
      </c>
      <c r="K7" s="14"/>
      <c r="L7" s="15"/>
      <c r="M7" s="15"/>
      <c r="N7" s="16" t="str">
        <f t="shared" si="6"/>
        <v/>
      </c>
      <c r="O7" s="17">
        <f t="shared" si="4"/>
        <v>53000</v>
      </c>
      <c r="P7" s="14" t="s">
        <v>25</v>
      </c>
      <c r="Q7" s="15">
        <v>8000</v>
      </c>
      <c r="R7" s="15"/>
      <c r="S7" s="16">
        <f t="shared" si="7"/>
        <v>0</v>
      </c>
      <c r="T7" s="17">
        <f t="shared" si="5"/>
        <v>37000</v>
      </c>
      <c r="U7" s="44">
        <f t="shared" si="0"/>
        <v>-20</v>
      </c>
      <c r="V7" s="45">
        <f t="shared" si="1"/>
        <v>18</v>
      </c>
      <c r="W7" s="46">
        <f t="shared" si="2"/>
        <v>2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0</v>
      </c>
      <c r="D8" s="25">
        <f t="shared" si="11"/>
        <v>0</v>
      </c>
      <c r="E8" s="6" t="s">
        <v>26</v>
      </c>
      <c r="F8" s="14" t="s">
        <v>23</v>
      </c>
      <c r="G8" s="15">
        <v>-24000</v>
      </c>
      <c r="H8" s="15"/>
      <c r="I8" s="16">
        <f t="shared" si="12"/>
        <v>0</v>
      </c>
      <c r="J8" s="17">
        <f t="shared" si="3"/>
        <v>-9000</v>
      </c>
      <c r="K8" s="14" t="s">
        <v>25</v>
      </c>
      <c r="L8" s="15">
        <v>48000</v>
      </c>
      <c r="M8" s="15"/>
      <c r="N8" s="16">
        <f t="shared" si="6"/>
        <v>0</v>
      </c>
      <c r="O8" s="17">
        <f t="shared" si="4"/>
        <v>101000</v>
      </c>
      <c r="P8" s="14" t="s">
        <v>23</v>
      </c>
      <c r="Q8" s="15">
        <v>-24000</v>
      </c>
      <c r="R8" s="15"/>
      <c r="S8" s="16">
        <f t="shared" si="7"/>
        <v>0</v>
      </c>
      <c r="T8" s="17">
        <f t="shared" si="5"/>
        <v>13000</v>
      </c>
      <c r="U8" s="44">
        <f t="shared" si="0"/>
        <v>-44</v>
      </c>
      <c r="V8" s="45">
        <f t="shared" si="1"/>
        <v>66</v>
      </c>
      <c r="W8" s="46">
        <f t="shared" si="2"/>
        <v>-22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4" t="str">
        <f t="shared" si="0"/>
        <v/>
      </c>
      <c r="V9" s="45" t="str">
        <f t="shared" si="1"/>
        <v/>
      </c>
      <c r="W9" s="4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CB2931D5-7E9B-4933-82F4-3C5785FDB8C7}">
      <formula1>$U$2:$W$2</formula1>
    </dataValidation>
    <dataValidation type="list" showInputMessage="1" showErrorMessage="1" sqref="K4:K30 P4:P30 F4:F30" xr:uid="{2556A05F-8DFB-401E-9596-4ADAF1CAB7C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2018-12-20T05:39:45Z</dcterms:modified>
</cp:coreProperties>
</file>