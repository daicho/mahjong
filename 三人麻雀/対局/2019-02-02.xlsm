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BCE82C51-BFB3-4ECC-A357-3DAFCDF7E6D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Sheet8" sheetId="22" r:id="rId8"/>
    <sheet name="Sheet9" sheetId="23" r:id="rId9"/>
    <sheet name="Sheet10" sheetId="24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W11" i="24" s="1"/>
  <c r="O11" i="24"/>
  <c r="V11" i="24" s="1"/>
  <c r="J11" i="24"/>
  <c r="U11" i="24" s="1"/>
  <c r="D11" i="24"/>
  <c r="C11" i="24"/>
  <c r="B11" i="24"/>
  <c r="A11" i="24" s="1"/>
  <c r="D10" i="24"/>
  <c r="C10" i="24"/>
  <c r="D9" i="24"/>
  <c r="C9" i="24"/>
  <c r="D8" i="24"/>
  <c r="C8" i="24"/>
  <c r="D7" i="24"/>
  <c r="D6" i="24"/>
  <c r="C6" i="24"/>
  <c r="C7" i="24" s="1"/>
  <c r="O5" i="24"/>
  <c r="O6" i="24" s="1"/>
  <c r="J5" i="24"/>
  <c r="U5" i="24" s="1"/>
  <c r="D5" i="24"/>
  <c r="C5" i="24"/>
  <c r="B5" i="24"/>
  <c r="B6" i="24" s="1"/>
  <c r="T4" i="24"/>
  <c r="W4" i="24" s="1"/>
  <c r="O4" i="24"/>
  <c r="V4" i="24" s="1"/>
  <c r="J4" i="24"/>
  <c r="U4" i="24" s="1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D10" i="23"/>
  <c r="C10" i="23"/>
  <c r="D9" i="23"/>
  <c r="C9" i="23"/>
  <c r="D8" i="23"/>
  <c r="C8" i="23"/>
  <c r="D7" i="23"/>
  <c r="C7" i="23"/>
  <c r="D6" i="23"/>
  <c r="C6" i="23"/>
  <c r="O5" i="23"/>
  <c r="O6" i="23" s="1"/>
  <c r="J5" i="23"/>
  <c r="U5" i="23" s="1"/>
  <c r="D5" i="23"/>
  <c r="C5" i="23"/>
  <c r="B5" i="23"/>
  <c r="B6" i="23" s="1"/>
  <c r="T4" i="23"/>
  <c r="W4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A5" i="24" l="1"/>
  <c r="V5" i="24"/>
  <c r="B7" i="24"/>
  <c r="A7" i="24" s="1"/>
  <c r="O7" i="24"/>
  <c r="V6" i="24"/>
  <c r="T5" i="24"/>
  <c r="A6" i="24"/>
  <c r="J6" i="24"/>
  <c r="A5" i="23"/>
  <c r="V5" i="23"/>
  <c r="B7" i="23"/>
  <c r="A7" i="23" s="1"/>
  <c r="V6" i="23"/>
  <c r="O7" i="23"/>
  <c r="T5" i="23"/>
  <c r="A6" i="23"/>
  <c r="J6" i="23"/>
  <c r="U6" i="24" l="1"/>
  <c r="J7" i="24"/>
  <c r="O8" i="24"/>
  <c r="V7" i="24"/>
  <c r="W5" i="24"/>
  <c r="T6" i="24"/>
  <c r="B8" i="24"/>
  <c r="A8" i="24" s="1"/>
  <c r="O8" i="23"/>
  <c r="V7" i="23"/>
  <c r="U6" i="23"/>
  <c r="J7" i="23"/>
  <c r="W5" i="23"/>
  <c r="T6" i="23"/>
  <c r="B8" i="23"/>
  <c r="A8" i="23" s="1"/>
  <c r="V8" i="24" l="1"/>
  <c r="O9" i="24"/>
  <c r="B9" i="24"/>
  <c r="W6" i="24"/>
  <c r="T7" i="24"/>
  <c r="U7" i="24"/>
  <c r="J8" i="24"/>
  <c r="U7" i="23"/>
  <c r="J8" i="23"/>
  <c r="W6" i="23"/>
  <c r="T7" i="23"/>
  <c r="B9" i="23"/>
  <c r="A9" i="23" s="1"/>
  <c r="V8" i="23"/>
  <c r="O9" i="23"/>
  <c r="U8" i="24" l="1"/>
  <c r="J9" i="24"/>
  <c r="B10" i="24"/>
  <c r="A9" i="24"/>
  <c r="W7" i="24"/>
  <c r="T8" i="24"/>
  <c r="O10" i="24"/>
  <c r="V10" i="24" s="1"/>
  <c r="V9" i="24"/>
  <c r="O10" i="23"/>
  <c r="V10" i="23" s="1"/>
  <c r="V9" i="23"/>
  <c r="W7" i="23"/>
  <c r="T8" i="23"/>
  <c r="U8" i="23"/>
  <c r="J9" i="23"/>
  <c r="B10" i="23"/>
  <c r="A10" i="23" s="1"/>
  <c r="A10" i="24" l="1"/>
  <c r="W8" i="24"/>
  <c r="T9" i="24"/>
  <c r="U9" i="24"/>
  <c r="J10" i="24"/>
  <c r="U10" i="24" s="1"/>
  <c r="W8" i="23"/>
  <c r="T9" i="23"/>
  <c r="U9" i="23"/>
  <c r="J10" i="23"/>
  <c r="U10" i="23" s="1"/>
  <c r="T10" i="24" l="1"/>
  <c r="W10" i="24" s="1"/>
  <c r="W9" i="24"/>
  <c r="W9" i="23"/>
  <c r="T10" i="23"/>
  <c r="W10" i="23" s="1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D15" i="22"/>
  <c r="C15" i="22"/>
  <c r="D14" i="22"/>
  <c r="D13" i="22"/>
  <c r="D12" i="22"/>
  <c r="C12" i="22"/>
  <c r="C13" i="22" s="1"/>
  <c r="C14" i="22" s="1"/>
  <c r="D11" i="22"/>
  <c r="D10" i="22"/>
  <c r="C10" i="22"/>
  <c r="C11" i="22" s="1"/>
  <c r="D9" i="22"/>
  <c r="D8" i="22"/>
  <c r="C8" i="22"/>
  <c r="C9" i="22" s="1"/>
  <c r="D7" i="22"/>
  <c r="C7" i="22"/>
  <c r="D6" i="22"/>
  <c r="C6" i="22"/>
  <c r="J5" i="22"/>
  <c r="U5" i="22" s="1"/>
  <c r="D5" i="22"/>
  <c r="C5" i="22"/>
  <c r="B5" i="22"/>
  <c r="B6" i="22" s="1"/>
  <c r="T4" i="22"/>
  <c r="W4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C10" i="21"/>
  <c r="D9" i="21"/>
  <c r="D10" i="21" s="1"/>
  <c r="C9" i="21"/>
  <c r="D8" i="21"/>
  <c r="C8" i="21"/>
  <c r="D7" i="21"/>
  <c r="C7" i="21"/>
  <c r="D6" i="21"/>
  <c r="C6" i="21"/>
  <c r="B6" i="21"/>
  <c r="B7" i="21" s="1"/>
  <c r="T5" i="21"/>
  <c r="W5" i="21" s="1"/>
  <c r="D5" i="21"/>
  <c r="C5" i="21"/>
  <c r="B5" i="21"/>
  <c r="A5" i="21" s="1"/>
  <c r="T4" i="21"/>
  <c r="W4" i="21" s="1"/>
  <c r="O4" i="21"/>
  <c r="O5" i="21" s="1"/>
  <c r="J4" i="21"/>
  <c r="U4" i="21" s="1"/>
  <c r="W3" i="21"/>
  <c r="V3" i="21"/>
  <c r="U3" i="21"/>
  <c r="W2" i="21"/>
  <c r="V2" i="21"/>
  <c r="U2" i="21"/>
  <c r="BO1" i="21"/>
  <c r="AT1" i="21"/>
  <c r="Y1" i="21"/>
  <c r="A5" i="22" l="1"/>
  <c r="B7" i="22"/>
  <c r="O5" i="22"/>
  <c r="T5" i="22"/>
  <c r="A6" i="22"/>
  <c r="J6" i="22"/>
  <c r="A6" i="21"/>
  <c r="V4" i="21"/>
  <c r="O6" i="21"/>
  <c r="V5" i="21"/>
  <c r="B8" i="21"/>
  <c r="J5" i="21"/>
  <c r="T6" i="21"/>
  <c r="A7" i="21"/>
  <c r="T6" i="22" l="1"/>
  <c r="W5" i="22"/>
  <c r="O6" i="22"/>
  <c r="V5" i="22"/>
  <c r="J7" i="22"/>
  <c r="U6" i="22"/>
  <c r="B8" i="22"/>
  <c r="A8" i="22" s="1"/>
  <c r="A7" i="22"/>
  <c r="A8" i="21"/>
  <c r="U5" i="21"/>
  <c r="J6" i="21"/>
  <c r="B9" i="21"/>
  <c r="A9" i="21" s="1"/>
  <c r="W6" i="21"/>
  <c r="T7" i="21"/>
  <c r="O7" i="21"/>
  <c r="V6" i="21"/>
  <c r="B9" i="22" l="1"/>
  <c r="A9" i="22" s="1"/>
  <c r="V6" i="22"/>
  <c r="O7" i="22"/>
  <c r="U7" i="22"/>
  <c r="J8" i="22"/>
  <c r="W6" i="22"/>
  <c r="T7" i="22"/>
  <c r="B10" i="21"/>
  <c r="A10" i="21" s="1"/>
  <c r="V7" i="21"/>
  <c r="O8" i="21"/>
  <c r="W7" i="21"/>
  <c r="T8" i="21"/>
  <c r="U6" i="21"/>
  <c r="J7" i="21"/>
  <c r="O8" i="22" l="1"/>
  <c r="V7" i="22"/>
  <c r="T8" i="22"/>
  <c r="W7" i="22"/>
  <c r="J9" i="22"/>
  <c r="U8" i="22"/>
  <c r="B10" i="22"/>
  <c r="A10" i="22" s="1"/>
  <c r="O9" i="21"/>
  <c r="V8" i="21"/>
  <c r="U7" i="21"/>
  <c r="J8" i="21"/>
  <c r="W8" i="21"/>
  <c r="T9" i="21"/>
  <c r="W8" i="22" l="1"/>
  <c r="T9" i="22"/>
  <c r="B11" i="22"/>
  <c r="A11" i="22" s="1"/>
  <c r="U9" i="22"/>
  <c r="J10" i="22"/>
  <c r="V8" i="22"/>
  <c r="O9" i="22"/>
  <c r="U8" i="21"/>
  <c r="J9" i="21"/>
  <c r="W9" i="21"/>
  <c r="T10" i="21"/>
  <c r="W10" i="21" s="1"/>
  <c r="O10" i="21"/>
  <c r="V10" i="21" s="1"/>
  <c r="V9" i="21"/>
  <c r="O10" i="22" l="1"/>
  <c r="V9" i="22"/>
  <c r="W9" i="22"/>
  <c r="T10" i="22"/>
  <c r="B12" i="22"/>
  <c r="A12" i="22"/>
  <c r="J11" i="22"/>
  <c r="U10" i="22"/>
  <c r="U9" i="21"/>
  <c r="J10" i="21"/>
  <c r="U10" i="21" s="1"/>
  <c r="W10" i="22" l="1"/>
  <c r="T11" i="22"/>
  <c r="U11" i="22"/>
  <c r="J12" i="22"/>
  <c r="B13" i="22"/>
  <c r="V10" i="22"/>
  <c r="O11" i="22"/>
  <c r="J13" i="22" l="1"/>
  <c r="U12" i="22"/>
  <c r="W11" i="22"/>
  <c r="T12" i="22"/>
  <c r="O12" i="22"/>
  <c r="V11" i="22"/>
  <c r="B14" i="22"/>
  <c r="A14" i="22"/>
  <c r="A13" i="22"/>
  <c r="W12" i="22" l="1"/>
  <c r="T13" i="22"/>
  <c r="B15" i="22"/>
  <c r="A15" i="22"/>
  <c r="V12" i="22"/>
  <c r="O13" i="22"/>
  <c r="U13" i="22"/>
  <c r="J14" i="22"/>
  <c r="J15" i="22" l="1"/>
  <c r="U15" i="22" s="1"/>
  <c r="U14" i="22"/>
  <c r="T14" i="22"/>
  <c r="W13" i="22"/>
  <c r="O14" i="22"/>
  <c r="V13" i="22"/>
  <c r="W14" i="22" l="1"/>
  <c r="T15" i="22"/>
  <c r="W15" i="22" s="1"/>
  <c r="V14" i="22"/>
  <c r="O15" i="22"/>
  <c r="V15" i="22" s="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W10" i="20" s="1"/>
  <c r="O10" i="20"/>
  <c r="V10" i="20" s="1"/>
  <c r="J10" i="20"/>
  <c r="U10" i="20" s="1"/>
  <c r="D10" i="20"/>
  <c r="C10" i="20"/>
  <c r="B10" i="20"/>
  <c r="A10" i="20" s="1"/>
  <c r="T9" i="20"/>
  <c r="W9" i="20" s="1"/>
  <c r="O9" i="20"/>
  <c r="V9" i="20" s="1"/>
  <c r="J9" i="20"/>
  <c r="U9" i="20" s="1"/>
  <c r="D9" i="20"/>
  <c r="C9" i="20"/>
  <c r="B9" i="20"/>
  <c r="A9" i="20" s="1"/>
  <c r="T8" i="20"/>
  <c r="W8" i="20" s="1"/>
  <c r="O8" i="20"/>
  <c r="V8" i="20" s="1"/>
  <c r="J8" i="20"/>
  <c r="U8" i="20" s="1"/>
  <c r="D8" i="20"/>
  <c r="C8" i="20"/>
  <c r="B8" i="20"/>
  <c r="A8" i="20" s="1"/>
  <c r="D7" i="20"/>
  <c r="C7" i="20"/>
  <c r="D6" i="20"/>
  <c r="C6" i="20"/>
  <c r="B6" i="20"/>
  <c r="B7" i="20" s="1"/>
  <c r="J5" i="20"/>
  <c r="J6" i="20" s="1"/>
  <c r="D5" i="20"/>
  <c r="C5" i="20"/>
  <c r="B5" i="20"/>
  <c r="T4" i="20"/>
  <c r="T5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A6" i="20" l="1"/>
  <c r="A5" i="20"/>
  <c r="U5" i="20"/>
  <c r="W4" i="20"/>
  <c r="T6" i="20"/>
  <c r="W5" i="20"/>
  <c r="J7" i="20"/>
  <c r="U7" i="20" s="1"/>
  <c r="U6" i="20"/>
  <c r="A7" i="20"/>
  <c r="O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W10" i="18" s="1"/>
  <c r="O10" i="18"/>
  <c r="V10" i="18" s="1"/>
  <c r="J10" i="18"/>
  <c r="U10" i="18" s="1"/>
  <c r="D10" i="18"/>
  <c r="C10" i="18"/>
  <c r="B10" i="18"/>
  <c r="A10" i="18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C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20" l="1"/>
  <c r="O6" i="20"/>
  <c r="T7" i="20"/>
  <c r="W7" i="20" s="1"/>
  <c r="W6" i="20"/>
  <c r="A5" i="19"/>
  <c r="V5" i="19"/>
  <c r="B7" i="19"/>
  <c r="A7" i="19" s="1"/>
  <c r="V6" i="19"/>
  <c r="O7" i="19"/>
  <c r="T5" i="19"/>
  <c r="J6" i="19"/>
  <c r="A6" i="19"/>
  <c r="V5" i="18"/>
  <c r="B7" i="18"/>
  <c r="A7" i="18" s="1"/>
  <c r="V6" i="18"/>
  <c r="O7" i="18"/>
  <c r="A6" i="18"/>
  <c r="J6" i="18"/>
  <c r="T5" i="18"/>
  <c r="A5" i="17"/>
  <c r="V5" i="17"/>
  <c r="B7" i="17"/>
  <c r="O7" i="17"/>
  <c r="V6" i="17"/>
  <c r="T5" i="17"/>
  <c r="A6" i="17"/>
  <c r="J6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D11" i="16"/>
  <c r="C11" i="16"/>
  <c r="D10" i="16"/>
  <c r="C10" i="16"/>
  <c r="D8" i="16"/>
  <c r="D9" i="16" s="1"/>
  <c r="C8" i="16"/>
  <c r="C9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6" i="20" l="1"/>
  <c r="O7" i="20"/>
  <c r="V7" i="20" s="1"/>
  <c r="W5" i="19"/>
  <c r="T6" i="19"/>
  <c r="O8" i="19"/>
  <c r="V8" i="19" s="1"/>
  <c r="V7" i="19"/>
  <c r="U6" i="19"/>
  <c r="J7" i="19"/>
  <c r="B8" i="19"/>
  <c r="A8" i="19" s="1"/>
  <c r="O8" i="18"/>
  <c r="V7" i="18"/>
  <c r="T6" i="18"/>
  <c r="W5" i="18"/>
  <c r="U6" i="18"/>
  <c r="J7" i="18"/>
  <c r="B8" i="18"/>
  <c r="A8" i="18" s="1"/>
  <c r="A7" i="17"/>
  <c r="O8" i="17"/>
  <c r="V7" i="17"/>
  <c r="U6" i="17"/>
  <c r="J7" i="17"/>
  <c r="W5" i="17"/>
  <c r="T6" i="17"/>
  <c r="B8" i="17"/>
  <c r="A8" i="17" s="1"/>
  <c r="A5" i="16"/>
  <c r="V5" i="16"/>
  <c r="B7" i="16"/>
  <c r="V6" i="16"/>
  <c r="O7" i="16"/>
  <c r="T5" i="16"/>
  <c r="A6" i="16"/>
  <c r="J6" i="16"/>
  <c r="W3" i="1"/>
  <c r="V3" i="1"/>
  <c r="U3" i="1"/>
  <c r="U7" i="19" l="1"/>
  <c r="J8" i="19"/>
  <c r="U8" i="19" s="1"/>
  <c r="W6" i="19"/>
  <c r="T7" i="19"/>
  <c r="B9" i="18"/>
  <c r="A9" i="18" s="1"/>
  <c r="W6" i="18"/>
  <c r="T7" i="18"/>
  <c r="U7" i="18"/>
  <c r="J8" i="18"/>
  <c r="V8" i="18"/>
  <c r="O9" i="18"/>
  <c r="V9" i="18" s="1"/>
  <c r="V8" i="17"/>
  <c r="O9" i="17"/>
  <c r="U7" i="17"/>
  <c r="J8" i="17"/>
  <c r="B9" i="17"/>
  <c r="A9" i="17"/>
  <c r="W6" i="17"/>
  <c r="T7" i="17"/>
  <c r="B8" i="16"/>
  <c r="A8" i="16" s="1"/>
  <c r="T6" i="16"/>
  <c r="W5" i="16"/>
  <c r="A7" i="16"/>
  <c r="O8" i="16"/>
  <c r="V7" i="16"/>
  <c r="U6" i="16"/>
  <c r="J7" i="16"/>
  <c r="B5" i="1"/>
  <c r="A5" i="1" s="1"/>
  <c r="D6" i="1"/>
  <c r="C6" i="1"/>
  <c r="B6" i="1"/>
  <c r="A6" i="1" s="1"/>
  <c r="D5" i="1"/>
  <c r="C5" i="1"/>
  <c r="W7" i="19" l="1"/>
  <c r="T8" i="19"/>
  <c r="W8" i="19" s="1"/>
  <c r="W7" i="18"/>
  <c r="T8" i="18"/>
  <c r="J9" i="18"/>
  <c r="U9" i="18" s="1"/>
  <c r="U8" i="18"/>
  <c r="W7" i="17"/>
  <c r="T8" i="17"/>
  <c r="O10" i="17"/>
  <c r="V9" i="17"/>
  <c r="U8" i="17"/>
  <c r="J9" i="17"/>
  <c r="B10" i="17"/>
  <c r="V8" i="16"/>
  <c r="O9" i="16"/>
  <c r="W6" i="16"/>
  <c r="T7" i="16"/>
  <c r="U7" i="16"/>
  <c r="J8" i="16"/>
  <c r="B9" i="16"/>
  <c r="A9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W8" i="18" l="1"/>
  <c r="T9" i="18"/>
  <c r="W9" i="18" s="1"/>
  <c r="B11" i="17"/>
  <c r="V10" i="17"/>
  <c r="O11" i="17"/>
  <c r="V11" i="17" s="1"/>
  <c r="W8" i="17"/>
  <c r="T9" i="17"/>
  <c r="A10" i="17"/>
  <c r="A11" i="17" s="1"/>
  <c r="U9" i="17"/>
  <c r="J10" i="17"/>
  <c r="W7" i="16"/>
  <c r="T8" i="16"/>
  <c r="B10" i="16"/>
  <c r="A10" i="16"/>
  <c r="U8" i="16"/>
  <c r="J9" i="16"/>
  <c r="O10" i="16"/>
  <c r="V9" i="16"/>
  <c r="Y1" i="1"/>
  <c r="T10" i="17" l="1"/>
  <c r="W9" i="17"/>
  <c r="U10" i="17"/>
  <c r="J11" i="17"/>
  <c r="U11" i="17" s="1"/>
  <c r="O11" i="16"/>
  <c r="V11" i="16" s="1"/>
  <c r="V10" i="16"/>
  <c r="B11" i="16"/>
  <c r="A11" i="16" s="1"/>
  <c r="U9" i="16"/>
  <c r="J10" i="16"/>
  <c r="W8" i="16"/>
  <c r="T9" i="16"/>
  <c r="BO1" i="1"/>
  <c r="AT1" i="1"/>
  <c r="W10" i="17" l="1"/>
  <c r="T11" i="17"/>
  <c r="W11" i="17" s="1"/>
  <c r="W9" i="16"/>
  <c r="T10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6" l="1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<sst xmlns="http://schemas.openxmlformats.org/spreadsheetml/2006/main" count="1466" uniqueCount="159">
  <si>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</si>
  <si>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</si>
  <si>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</si>
  <si>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</si>
  <si>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</si>
  <si>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</si>
  <si>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</si>
  <si>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</si>
  <si>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</si>
  <si>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</si>
  <si>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</si>
  <si>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</si>
  <si>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</si>
  <si>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</si>
  <si>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</si>
  <si>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</si>
  <si>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</si>
  <si>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</si>
  <si>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</si>
  <si>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</si>
  <si>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</si>
  <si>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</si>
  <si>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</si>
  <si>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</si>
  <si>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</si>
  <si>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</si>
  <si>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</si>
  <si>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</si>
  <si>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</si>
  <si>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</si>
  <si>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</si>
  <si>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</si>
  <si>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</si>
  <si>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</si>
  <si>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</si>
  <si>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</si>
  <si>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</si>
  <si>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</si>
  <si>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</si>
  <si>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</si>
  <si>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</si>
  <si>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</si>
  <si>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</si>
  <si>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</si>
  <si>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</si>
  <si>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</si>
  <si>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</si>
  <si>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</si>
  <si>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</si>
  <si>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</si>
  <si>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</si>
  <si>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</si>
  <si>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</si>
  <si>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</si>
  <si>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</si>
  <si>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</si>
  <si>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</si>
  <si>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</si>
  <si>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</si>
  <si>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</si>
  <si>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</si>
  <si>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</si>
  <si>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</si>
  <si>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</si>
  <si>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</si>
  <si>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</si>
  <si>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</si>
  <si>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</si>
  <si>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</si>
  <si>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</si>
  <si>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</si>
  <si>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</si>
  <si>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</si>
  <si>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</si>
  <si>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</si>
  <si>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</si>
  <si>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</si>
  <si>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</si>
  <si>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</si>
  <si>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</si>
  <si>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</si>
  <si>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</si>
  <si>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</si>
  <si>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</si>
  <si>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</si>
  <si>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</si>
  <si>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</si>
  <si>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</si>
  <si>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</si>
  <si>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</si>
  <si>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</si>
  <si>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</si>
  <si>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</si>
  <si>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</si>
  <si>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</si>
  <si>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</si>
  <si>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</si>
  <si>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</si>
  <si>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</si>
  <si>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</si>
  <si>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</si>
  <si>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</si>
  <si>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</si>
  <si>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</si>
  <si>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</si>
  <si>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</si>
  <si>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</si>
  <si>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</si>
  <si>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</si>
  <si>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</si>
  <si>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</si>
  <si>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</si>
  <si>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</si>
  <si>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</si>
  <si>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</si>
  <si>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</si>
  <si>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</si>
  <si>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</si>
  <si>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</si>
  <si>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</si>
  <si>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</si>
  <si>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</si>
  <si>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</si>
  <si>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</si>
  <si>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</si>
  <si>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</si>
  <si>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</si>
  <si>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</si>
  <si>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</si>
  <si>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</si>
  <si>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</si>
  <si>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</si>
  <si>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</si>
  <si>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</si>
  <si>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</si>
  <si>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</si>
  <si>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</si>
  <si>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まっつん</t>
  </si>
  <si>
    <t>まっつん</t>
    <phoneticPr fontId="1"/>
  </si>
  <si>
    <t>れんたろう</t>
  </si>
  <si>
    <t>れんたろう</t>
    <phoneticPr fontId="1"/>
  </si>
  <si>
    <t>ロン</t>
  </si>
  <si>
    <t>放銃</t>
  </si>
  <si>
    <t>01</t>
  </si>
  <si>
    <t>*</t>
  </si>
  <si>
    <t>ツモ支払</t>
  </si>
  <si>
    <t>ツモ</t>
  </si>
  <si>
    <t>T</t>
  </si>
  <si>
    <t>流局</t>
    <phoneticPr fontId="1"/>
  </si>
  <si>
    <t>N</t>
  </si>
  <si>
    <t>流局</t>
    <phoneticPr fontId="1"/>
  </si>
  <si>
    <t>02</t>
  </si>
  <si>
    <t>あさひ</t>
  </si>
  <si>
    <t>あさひ</t>
    <phoneticPr fontId="1"/>
  </si>
  <si>
    <t>ただ</t>
  </si>
  <si>
    <t>ただ</t>
    <phoneticPr fontId="1"/>
  </si>
  <si>
    <t>たかの</t>
  </si>
  <si>
    <t>たかの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</si>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</sst>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 t="shared" ref="U4:U30" si="0">IF($J4="","",ROUND(($J4-$J$3)/1000,1))</f>
        <v>8</v>
      </c>
      <c r="V4" s="61">
        <f t="shared" ref="V4:V30" si="1">IF($O4="","",ROUND(($O4-$O$3)/1000,1))</f>
        <v>0</v>
      </c>
      <c r="W4" s="62">
        <f t="shared" ref="W4:W30" si="2">IF($T4="","",ROUND(($T4-$T$3)/1000,1))</f>
        <v>-8</v>
      </c>
      <c r="Y4" s="8"/>
      <c r="Z4" s="41"/>
      <c r="AA4" s="32">
        <v>1</v>
      </c>
      <c r="AB4" s="32"/>
      <c r="AC4" s="32">
        <v>4</v>
      </c>
      <c r="AD4" s="36">
        <v>30</v>
      </c>
      <c r="AE4" s="47" t="s">
        <v>143</v>
      </c>
      <c r="AF4" s="48" t="s">
        <v>84</v>
      </c>
      <c r="AG4" s="48" t="s">
        <v>82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8000</v>
      </c>
      <c r="H5" s="9"/>
      <c r="I5" s="55">
        <v>0</v>
      </c>
      <c r="J5" s="21">
        <f t="shared" ref="J5:J30" si="6">IF(COUNTA($F5,$K5,$P5)&gt;0,J4+SUM(G5:I5),"")</f>
        <v>51000</v>
      </c>
      <c r="K5" s="8" t="s">
        <v>142</v>
      </c>
      <c r="L5" s="9">
        <v>-8000</v>
      </c>
      <c r="M5" s="9"/>
      <c r="N5" s="55">
        <v>0</v>
      </c>
      <c r="O5" s="21">
        <f t="shared" ref="O5:O30" si="7">IF(COUNTA($F5,$K5,$P5)&gt;0,O4+SUM(L5:N5),"")</f>
        <v>27000</v>
      </c>
      <c r="P5" s="8"/>
      <c r="Q5" s="9"/>
      <c r="R5" s="9"/>
      <c r="S5" s="55"/>
      <c r="T5" s="21">
        <f t="shared" ref="T5:T30" si="8">IF(COUNTA($F5,$K5,$P5)&gt;0,T4+SUM(Q5:S5),"")</f>
        <v>27000</v>
      </c>
      <c r="U5" s="60">
        <f t="shared" si="0"/>
        <v>16</v>
      </c>
      <c r="V5" s="61">
        <f t="shared" si="1"/>
        <v>-8</v>
      </c>
      <c r="W5" s="62">
        <f t="shared" si="2"/>
        <v>-8</v>
      </c>
      <c r="Y5" s="8"/>
      <c r="Z5" s="41"/>
      <c r="AA5" s="32">
        <v>1</v>
      </c>
      <c r="AB5" s="32"/>
      <c r="AC5" s="32">
        <v>5</v>
      </c>
      <c r="AD5" s="36" t="s">
        <v>144</v>
      </c>
      <c r="AE5" s="47" t="s">
        <v>143</v>
      </c>
      <c r="AF5" s="48" t="s">
        <v>82</v>
      </c>
      <c r="AG5" s="48" t="s">
        <v>82</v>
      </c>
      <c r="AH5" s="48" t="s">
        <v>81</v>
      </c>
      <c r="AI5" s="48" t="s">
        <v>81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141</v>
      </c>
      <c r="G6" s="9">
        <v>12000</v>
      </c>
      <c r="H6" s="9">
        <v>1000</v>
      </c>
      <c r="I6" s="55">
        <v>0</v>
      </c>
      <c r="J6" s="21">
        <f t="shared" si="6"/>
        <v>64000</v>
      </c>
      <c r="K6" s="8"/>
      <c r="L6" s="9"/>
      <c r="M6" s="9">
        <v>-1000</v>
      </c>
      <c r="N6" s="55"/>
      <c r="O6" s="21">
        <f t="shared" si="7"/>
        <v>26000</v>
      </c>
      <c r="P6" s="8" t="s">
        <v>142</v>
      </c>
      <c r="Q6" s="9">
        <v>-12000</v>
      </c>
      <c r="R6" s="9"/>
      <c r="S6" s="55">
        <v>0</v>
      </c>
      <c r="T6" s="21">
        <f t="shared" si="8"/>
        <v>15000</v>
      </c>
      <c r="U6" s="60">
        <f t="shared" si="0"/>
        <v>29</v>
      </c>
      <c r="V6" s="61">
        <f t="shared" si="1"/>
        <v>-9</v>
      </c>
      <c r="W6" s="62">
        <f t="shared" si="2"/>
        <v>-20</v>
      </c>
      <c r="Y6" s="8"/>
      <c r="Z6" s="41"/>
      <c r="AA6" s="32"/>
      <c r="AB6" s="32">
        <v>1</v>
      </c>
      <c r="AC6" s="32">
        <v>5</v>
      </c>
      <c r="AD6" s="36" t="s">
        <v>144</v>
      </c>
      <c r="AE6" s="47" t="s">
        <v>82</v>
      </c>
      <c r="AF6" s="48" t="s">
        <v>82</v>
      </c>
      <c r="AG6" s="48" t="s">
        <v>87</v>
      </c>
      <c r="AH6" s="48" t="s">
        <v>87</v>
      </c>
      <c r="AI6" s="48" t="s">
        <v>87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135</v>
      </c>
      <c r="F7" s="8" t="s">
        <v>145</v>
      </c>
      <c r="G7" s="9">
        <v>-2500</v>
      </c>
      <c r="H7" s="9"/>
      <c r="I7" s="55">
        <v>-500</v>
      </c>
      <c r="J7" s="21">
        <f t="shared" si="6"/>
        <v>61000</v>
      </c>
      <c r="K7" s="8" t="s">
        <v>145</v>
      </c>
      <c r="L7" s="9">
        <v>-1500</v>
      </c>
      <c r="M7" s="9"/>
      <c r="N7" s="55">
        <v>-500</v>
      </c>
      <c r="O7" s="21">
        <f t="shared" si="7"/>
        <v>24000</v>
      </c>
      <c r="P7" s="8" t="s">
        <v>146</v>
      </c>
      <c r="Q7" s="9">
        <v>4000</v>
      </c>
      <c r="R7" s="9"/>
      <c r="S7" s="55">
        <v>1000</v>
      </c>
      <c r="T7" s="21">
        <f t="shared" si="8"/>
        <v>20000</v>
      </c>
      <c r="U7" s="60">
        <f t="shared" si="0"/>
        <v>26</v>
      </c>
      <c r="V7" s="61">
        <f t="shared" si="1"/>
        <v>-11</v>
      </c>
      <c r="W7" s="62">
        <f t="shared" si="2"/>
        <v>-15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30</v>
      </c>
      <c r="BU7" s="47" t="s">
        <v>143</v>
      </c>
      <c r="BV7" s="48" t="s">
        <v>83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1</v>
      </c>
      <c r="C8" s="18">
        <f t="shared" si="11"/>
        <v>0</v>
      </c>
      <c r="D8" s="18">
        <f t="shared" si="5"/>
        <v>0</v>
      </c>
      <c r="E8" s="4" t="s">
        <v>137</v>
      </c>
      <c r="F8" s="8" t="s">
        <v>148</v>
      </c>
      <c r="G8" s="9">
        <v>0</v>
      </c>
      <c r="H8" s="9"/>
      <c r="I8" s="55"/>
      <c r="J8" s="21">
        <f t="shared" si="6"/>
        <v>61000</v>
      </c>
      <c r="K8" s="8" t="s">
        <v>148</v>
      </c>
      <c r="L8" s="9">
        <v>0</v>
      </c>
      <c r="M8" s="9"/>
      <c r="N8" s="55"/>
      <c r="O8" s="21">
        <f t="shared" si="7"/>
        <v>24000</v>
      </c>
      <c r="P8" s="8" t="s">
        <v>148</v>
      </c>
      <c r="Q8" s="9">
        <v>0</v>
      </c>
      <c r="R8" s="9">
        <v>-1000</v>
      </c>
      <c r="S8" s="55"/>
      <c r="T8" s="21">
        <f t="shared" si="8"/>
        <v>19000</v>
      </c>
      <c r="U8" s="60">
        <f t="shared" si="0"/>
        <v>26</v>
      </c>
      <c r="V8" s="61">
        <f t="shared" si="1"/>
        <v>-11</v>
      </c>
      <c r="W8" s="62">
        <f t="shared" si="2"/>
        <v>-16</v>
      </c>
      <c r="Y8" s="8" t="s">
        <v>147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147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147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1</v>
      </c>
      <c r="D9" s="18">
        <f t="shared" si="5"/>
        <v>1</v>
      </c>
      <c r="E9" s="4" t="s">
        <v>137</v>
      </c>
      <c r="F9" s="8" t="s">
        <v>145</v>
      </c>
      <c r="G9" s="9">
        <v>-12000</v>
      </c>
      <c r="H9" s="9"/>
      <c r="I9" s="55">
        <v>-500</v>
      </c>
      <c r="J9" s="21">
        <f t="shared" si="6"/>
        <v>48500</v>
      </c>
      <c r="K9" s="8" t="s">
        <v>145</v>
      </c>
      <c r="L9" s="9">
        <v>-20000</v>
      </c>
      <c r="M9" s="9"/>
      <c r="N9" s="55">
        <v>-500</v>
      </c>
      <c r="O9" s="21">
        <f t="shared" si="7"/>
        <v>3500</v>
      </c>
      <c r="P9" s="8" t="s">
        <v>146</v>
      </c>
      <c r="Q9" s="9">
        <v>32000</v>
      </c>
      <c r="R9" s="9">
        <v>1000</v>
      </c>
      <c r="S9" s="55">
        <v>1000</v>
      </c>
      <c r="T9" s="21">
        <f t="shared" si="8"/>
        <v>53000</v>
      </c>
      <c r="U9" s="60">
        <f t="shared" si="0"/>
        <v>13.5</v>
      </c>
      <c r="V9" s="61">
        <f t="shared" si="1"/>
        <v>-31.5</v>
      </c>
      <c r="W9" s="62">
        <f t="shared" si="2"/>
        <v>18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13</v>
      </c>
      <c r="BT9" s="36" t="s">
        <v>144</v>
      </c>
      <c r="BU9" s="47" t="s">
        <v>105</v>
      </c>
      <c r="BV9" s="48" t="s">
        <v>82</v>
      </c>
      <c r="BW9" s="48" t="s">
        <v>80</v>
      </c>
      <c r="BX9" s="48" t="s">
        <v>80</v>
      </c>
      <c r="BY9" s="48" t="s">
        <v>80</v>
      </c>
      <c r="BZ9" s="48" t="s">
        <v>80</v>
      </c>
      <c r="CA9" s="48" t="s">
        <v>80</v>
      </c>
      <c r="CB9" s="48" t="s">
        <v>80</v>
      </c>
      <c r="CC9" s="48" t="s">
        <v>90</v>
      </c>
      <c r="CD9" s="48" t="s">
        <v>87</v>
      </c>
      <c r="CE9" s="48" t="s">
        <v>87</v>
      </c>
      <c r="CF9" s="48" t="s">
        <v>87</v>
      </c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139</v>
      </c>
      <c r="F10" s="8" t="s">
        <v>141</v>
      </c>
      <c r="G10" s="9">
        <v>5200</v>
      </c>
      <c r="H10" s="9">
        <v>1000</v>
      </c>
      <c r="I10" s="55">
        <v>0</v>
      </c>
      <c r="J10" s="21">
        <f t="shared" si="6"/>
        <v>54700</v>
      </c>
      <c r="K10" s="8"/>
      <c r="L10" s="9"/>
      <c r="M10" s="9"/>
      <c r="N10" s="55"/>
      <c r="O10" s="21">
        <f t="shared" si="7"/>
        <v>3500</v>
      </c>
      <c r="P10" s="8" t="s">
        <v>142</v>
      </c>
      <c r="Q10" s="9">
        <v>-5200</v>
      </c>
      <c r="R10" s="9">
        <v>-1000</v>
      </c>
      <c r="S10" s="55">
        <v>0</v>
      </c>
      <c r="T10" s="21">
        <f t="shared" si="8"/>
        <v>46800</v>
      </c>
      <c r="U10" s="60">
        <f t="shared" si="0"/>
        <v>19.7</v>
      </c>
      <c r="V10" s="61">
        <f t="shared" si="1"/>
        <v>-31.5</v>
      </c>
      <c r="W10" s="62">
        <f t="shared" si="2"/>
        <v>11.8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143</v>
      </c>
      <c r="AF10" s="48" t="s">
        <v>83</v>
      </c>
      <c r="AG10" s="48" t="s">
        <v>82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135</v>
      </c>
      <c r="F11" s="8" t="s">
        <v>142</v>
      </c>
      <c r="G11" s="9">
        <v>-8000</v>
      </c>
      <c r="H11" s="9"/>
      <c r="I11" s="55">
        <v>0</v>
      </c>
      <c r="J11" s="21">
        <f t="shared" si="6"/>
        <v>46700</v>
      </c>
      <c r="K11" s="8" t="s">
        <v>141</v>
      </c>
      <c r="L11" s="9">
        <v>8000</v>
      </c>
      <c r="M11" s="9"/>
      <c r="N11" s="55">
        <v>0</v>
      </c>
      <c r="O11" s="21">
        <f t="shared" si="7"/>
        <v>11500</v>
      </c>
      <c r="P11" s="8"/>
      <c r="Q11" s="9"/>
      <c r="R11" s="9"/>
      <c r="S11" s="55"/>
      <c r="T11" s="21">
        <f t="shared" si="8"/>
        <v>46800</v>
      </c>
      <c r="U11" s="60">
        <f t="shared" si="0"/>
        <v>11.7</v>
      </c>
      <c r="V11" s="61">
        <f t="shared" si="1"/>
        <v>-23.5</v>
      </c>
      <c r="W11" s="62">
        <f t="shared" si="2"/>
        <v>11.8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5</v>
      </c>
      <c r="AY11" s="36" t="s">
        <v>144</v>
      </c>
      <c r="AZ11" s="47" t="s">
        <v>82</v>
      </c>
      <c r="BA11" s="48" t="s">
        <v>82</v>
      </c>
      <c r="BB11" s="48" t="s">
        <v>87</v>
      </c>
      <c r="BC11" s="48" t="s">
        <v>99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2BFFA-EBE5-4D66-97D5-BC9D3B55CCAF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6400</v>
      </c>
      <c r="H4" s="9"/>
      <c r="I4" s="55">
        <v>0</v>
      </c>
      <c r="J4" s="21">
        <f>IF(COUNTA($F4,$K4,$P4)&gt;0,J3+SUM(G4:I4),"")</f>
        <v>41400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-6400</v>
      </c>
      <c r="R4" s="9"/>
      <c r="S4" s="55">
        <v>0</v>
      </c>
      <c r="T4" s="21">
        <f>IF(COUNTA($F4,$K4,$P4)&gt;0,T3+SUM(Q4:S4),"")</f>
        <v>28600</v>
      </c>
      <c r="U4" s="60">
        <f t="shared" ref="U4:U30" si="0">IF($J4="","",ROUND(($J4-$J$3)/1000,1))</f>
        <v>6.4</v>
      </c>
      <c r="V4" s="61">
        <f t="shared" ref="V4:V30" si="1">IF($O4="","",ROUND(($O4-$O$3)/1000,1))</f>
        <v>0</v>
      </c>
      <c r="W4" s="62">
        <f t="shared" ref="W4:W30" si="2">IF($T4="","",ROUND(($T4-$T$3)/1000,1))</f>
        <v>-6.4</v>
      </c>
      <c r="Y4" s="8"/>
      <c r="Z4" s="41"/>
      <c r="AA4" s="32">
        <v>1</v>
      </c>
      <c r="AB4" s="32"/>
      <c r="AC4" s="32">
        <v>3</v>
      </c>
      <c r="AD4" s="36">
        <v>50</v>
      </c>
      <c r="AE4" s="47" t="s">
        <v>143</v>
      </c>
      <c r="AF4" s="48" t="s">
        <v>87</v>
      </c>
      <c r="AG4" s="48" t="s">
        <v>81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145</v>
      </c>
      <c r="G5" s="9">
        <v>-1500</v>
      </c>
      <c r="H5" s="9"/>
      <c r="I5" s="55">
        <v>0</v>
      </c>
      <c r="J5" s="21">
        <f t="shared" ref="J5:J30" si="6">IF(COUNTA($F5,$K5,$P5)&gt;0,J4+SUM(G5:I5),"")</f>
        <v>39900</v>
      </c>
      <c r="K5" s="8" t="s">
        <v>145</v>
      </c>
      <c r="L5" s="9">
        <v>-1500</v>
      </c>
      <c r="M5" s="9"/>
      <c r="N5" s="55">
        <v>0</v>
      </c>
      <c r="O5" s="21">
        <f t="shared" ref="O5:O30" si="7">IF(COUNTA($F5,$K5,$P5)&gt;0,O4+SUM(L5:N5),"")</f>
        <v>33500</v>
      </c>
      <c r="P5" s="8" t="s">
        <v>146</v>
      </c>
      <c r="Q5" s="9">
        <v>3000</v>
      </c>
      <c r="R5" s="9"/>
      <c r="S5" s="55">
        <v>0</v>
      </c>
      <c r="T5" s="21">
        <f t="shared" ref="T5:T30" si="8">IF(COUNTA($F5,$K5,$P5)&gt;0,T4+SUM(Q5:S5),"")</f>
        <v>31600</v>
      </c>
      <c r="U5" s="60">
        <f t="shared" si="0"/>
        <v>4.9000000000000004</v>
      </c>
      <c r="V5" s="61">
        <f t="shared" si="1"/>
        <v>-1.5</v>
      </c>
      <c r="W5" s="62">
        <f t="shared" si="2"/>
        <v>-3.4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 t="s">
        <v>142</v>
      </c>
      <c r="G6" s="9">
        <v>-12000</v>
      </c>
      <c r="H6" s="9"/>
      <c r="I6" s="55">
        <v>-1000</v>
      </c>
      <c r="J6" s="21">
        <f t="shared" si="6"/>
        <v>26900</v>
      </c>
      <c r="K6" s="8" t="s">
        <v>141</v>
      </c>
      <c r="L6" s="9">
        <v>12000</v>
      </c>
      <c r="M6" s="9"/>
      <c r="N6" s="55">
        <v>1000</v>
      </c>
      <c r="O6" s="21">
        <f t="shared" si="7"/>
        <v>46500</v>
      </c>
      <c r="P6" s="8"/>
      <c r="Q6" s="9"/>
      <c r="R6" s="9"/>
      <c r="S6" s="55"/>
      <c r="T6" s="21">
        <f t="shared" si="8"/>
        <v>31600</v>
      </c>
      <c r="U6" s="60">
        <f t="shared" si="0"/>
        <v>-8.1</v>
      </c>
      <c r="V6" s="61">
        <f t="shared" si="1"/>
        <v>11.5</v>
      </c>
      <c r="W6" s="62">
        <f t="shared" si="2"/>
        <v>-3.4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6</v>
      </c>
      <c r="AY6" s="36" t="s">
        <v>144</v>
      </c>
      <c r="AZ6" s="47" t="s">
        <v>87</v>
      </c>
      <c r="BA6" s="48" t="s">
        <v>80</v>
      </c>
      <c r="BB6" s="48" t="s">
        <v>80</v>
      </c>
      <c r="BC6" s="48" t="s">
        <v>80</v>
      </c>
      <c r="BD6" s="48" t="s">
        <v>99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150</v>
      </c>
      <c r="G7" s="9">
        <v>1500</v>
      </c>
      <c r="H7" s="9"/>
      <c r="I7" s="55"/>
      <c r="J7" s="21">
        <f t="shared" si="6"/>
        <v>28400</v>
      </c>
      <c r="K7" s="8" t="s">
        <v>150</v>
      </c>
      <c r="L7" s="9">
        <v>1500</v>
      </c>
      <c r="M7" s="9"/>
      <c r="N7" s="55"/>
      <c r="O7" s="21">
        <f t="shared" si="7"/>
        <v>48000</v>
      </c>
      <c r="P7" s="8" t="s">
        <v>150</v>
      </c>
      <c r="Q7" s="9">
        <v>-3000</v>
      </c>
      <c r="R7" s="9"/>
      <c r="S7" s="55"/>
      <c r="T7" s="21">
        <f t="shared" si="8"/>
        <v>28600</v>
      </c>
      <c r="U7" s="60">
        <f t="shared" si="0"/>
        <v>-6.6</v>
      </c>
      <c r="V7" s="61">
        <f t="shared" si="1"/>
        <v>13</v>
      </c>
      <c r="W7" s="62">
        <f t="shared" si="2"/>
        <v>-6.4</v>
      </c>
      <c r="Y7" s="8" t="s">
        <v>147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149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135</v>
      </c>
      <c r="F8" s="8" t="s">
        <v>145</v>
      </c>
      <c r="G8" s="9">
        <v>-5000</v>
      </c>
      <c r="H8" s="9">
        <v>-1000</v>
      </c>
      <c r="I8" s="55">
        <v>-500</v>
      </c>
      <c r="J8" s="21">
        <f t="shared" si="6"/>
        <v>21900</v>
      </c>
      <c r="K8" s="8" t="s">
        <v>145</v>
      </c>
      <c r="L8" s="9">
        <v>-3000</v>
      </c>
      <c r="M8" s="9"/>
      <c r="N8" s="55">
        <v>-500</v>
      </c>
      <c r="O8" s="21">
        <f t="shared" si="7"/>
        <v>44500</v>
      </c>
      <c r="P8" s="8" t="s">
        <v>146</v>
      </c>
      <c r="Q8" s="9">
        <v>8000</v>
      </c>
      <c r="R8" s="9">
        <v>1000</v>
      </c>
      <c r="S8" s="55">
        <v>1000</v>
      </c>
      <c r="T8" s="21">
        <f t="shared" si="8"/>
        <v>38600</v>
      </c>
      <c r="U8" s="60">
        <f t="shared" si="0"/>
        <v>-13.1</v>
      </c>
      <c r="V8" s="61">
        <f t="shared" si="1"/>
        <v>9.5</v>
      </c>
      <c r="W8" s="62">
        <f t="shared" si="2"/>
        <v>3.6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4</v>
      </c>
      <c r="BT8" s="36">
        <v>30</v>
      </c>
      <c r="BU8" s="47" t="s">
        <v>83</v>
      </c>
      <c r="BV8" s="48" t="s">
        <v>82</v>
      </c>
      <c r="BW8" s="48" t="s">
        <v>80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137</v>
      </c>
      <c r="F9" s="8" t="s">
        <v>141</v>
      </c>
      <c r="G9" s="9">
        <v>5200</v>
      </c>
      <c r="H9" s="9"/>
      <c r="I9" s="55">
        <v>0</v>
      </c>
      <c r="J9" s="21">
        <f t="shared" si="6"/>
        <v>27100</v>
      </c>
      <c r="K9" s="8"/>
      <c r="L9" s="9"/>
      <c r="M9" s="9"/>
      <c r="N9" s="55"/>
      <c r="O9" s="21">
        <f t="shared" si="7"/>
        <v>44500</v>
      </c>
      <c r="P9" s="8" t="s">
        <v>142</v>
      </c>
      <c r="Q9" s="9">
        <v>-5200</v>
      </c>
      <c r="R9" s="9"/>
      <c r="S9" s="55">
        <v>0</v>
      </c>
      <c r="T9" s="21">
        <f t="shared" si="8"/>
        <v>33400</v>
      </c>
      <c r="U9" s="60">
        <f t="shared" si="0"/>
        <v>-7.9</v>
      </c>
      <c r="V9" s="61">
        <f t="shared" si="1"/>
        <v>9.5</v>
      </c>
      <c r="W9" s="62">
        <f t="shared" si="2"/>
        <v>-1.6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143</v>
      </c>
      <c r="AF9" s="48" t="s">
        <v>82</v>
      </c>
      <c r="AG9" s="48" t="s">
        <v>80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146</v>
      </c>
      <c r="G10" s="9">
        <v>12000</v>
      </c>
      <c r="H10" s="9"/>
      <c r="I10" s="55">
        <v>0</v>
      </c>
      <c r="J10" s="21">
        <f t="shared" si="6"/>
        <v>39100</v>
      </c>
      <c r="K10" s="8" t="s">
        <v>145</v>
      </c>
      <c r="L10" s="9">
        <v>-4500</v>
      </c>
      <c r="M10" s="9"/>
      <c r="N10" s="55">
        <v>0</v>
      </c>
      <c r="O10" s="21">
        <f t="shared" si="7"/>
        <v>40000</v>
      </c>
      <c r="P10" s="8" t="s">
        <v>145</v>
      </c>
      <c r="Q10" s="9">
        <v>-7500</v>
      </c>
      <c r="R10" s="9"/>
      <c r="S10" s="55">
        <v>0</v>
      </c>
      <c r="T10" s="21">
        <f t="shared" si="8"/>
        <v>25900</v>
      </c>
      <c r="U10" s="60">
        <f t="shared" si="0"/>
        <v>4.0999999999999996</v>
      </c>
      <c r="V10" s="61">
        <f t="shared" si="1"/>
        <v>5</v>
      </c>
      <c r="W10" s="62">
        <f t="shared" si="2"/>
        <v>-9.1</v>
      </c>
      <c r="Y10" s="8"/>
      <c r="Z10" s="41"/>
      <c r="AA10" s="32">
        <v>1</v>
      </c>
      <c r="AB10" s="32"/>
      <c r="AC10" s="32">
        <v>6</v>
      </c>
      <c r="AD10" s="36" t="s">
        <v>144</v>
      </c>
      <c r="AE10" s="47" t="s">
        <v>143</v>
      </c>
      <c r="AF10" s="48" t="s">
        <v>83</v>
      </c>
      <c r="AG10" s="48" t="s">
        <v>151</v>
      </c>
      <c r="AH10" s="48" t="s">
        <v>82</v>
      </c>
      <c r="AI10" s="48" t="s">
        <v>82</v>
      </c>
      <c r="AJ10" s="48" t="s">
        <v>81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146</v>
      </c>
      <c r="G11" s="9">
        <v>12000</v>
      </c>
      <c r="H11" s="9"/>
      <c r="I11" s="55">
        <v>0</v>
      </c>
      <c r="J11" s="21">
        <f t="shared" si="6"/>
        <v>51100</v>
      </c>
      <c r="K11" s="8" t="s">
        <v>145</v>
      </c>
      <c r="L11" s="9">
        <v>-6000</v>
      </c>
      <c r="M11" s="9"/>
      <c r="N11" s="55">
        <v>0</v>
      </c>
      <c r="O11" s="21">
        <f t="shared" si="7"/>
        <v>34000</v>
      </c>
      <c r="P11" s="8" t="s">
        <v>145</v>
      </c>
      <c r="Q11" s="9">
        <v>-6000</v>
      </c>
      <c r="R11" s="9"/>
      <c r="S11" s="55">
        <v>0</v>
      </c>
      <c r="T11" s="21">
        <f t="shared" si="8"/>
        <v>19900</v>
      </c>
      <c r="U11" s="60">
        <f t="shared" si="0"/>
        <v>16.100000000000001</v>
      </c>
      <c r="V11" s="61">
        <f t="shared" si="1"/>
        <v>-1</v>
      </c>
      <c r="W11" s="62">
        <f t="shared" si="2"/>
        <v>-15.1</v>
      </c>
      <c r="Y11" s="8"/>
      <c r="Z11" s="41"/>
      <c r="AA11" s="32">
        <v>1</v>
      </c>
      <c r="AB11" s="32"/>
      <c r="AC11" s="32">
        <v>4</v>
      </c>
      <c r="AD11" s="36">
        <v>30</v>
      </c>
      <c r="AE11" s="47" t="s">
        <v>143</v>
      </c>
      <c r="AF11" s="48" t="s">
        <v>83</v>
      </c>
      <c r="AG11" s="48" t="s">
        <v>82</v>
      </c>
      <c r="AH11" s="48" t="s">
        <v>81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2">
    <dataValidation type="list" allowBlank="1" showInputMessage="1" showErrorMessage="1" sqref="E4:E30" xr:uid="{49D8DE4A-8D9B-45D7-9B36-EAD3295DD563}">
      <formula1>$U$2:$W$2</formula1>
    </dataValidation>
    <dataValidation type="list" showInputMessage="1" showErrorMessage="1" sqref="K4:K30 P4:P30 F4:F30" xr:uid="{41783E17-C79E-4286-83BB-AB377831A98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7BF66-C975-48B6-8C32-AEC63AA8D7B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-500</v>
      </c>
      <c r="H4" s="9"/>
      <c r="I4" s="55">
        <v>0</v>
      </c>
      <c r="J4" s="21">
        <f>IF(COUNTA($F4,$K4,$P4)&gt;0,J3+SUM(G4:I4),"")</f>
        <v>34500</v>
      </c>
      <c r="K4" s="8" t="s">
        <v>146</v>
      </c>
      <c r="L4" s="9">
        <v>1200</v>
      </c>
      <c r="M4" s="9">
        <v>1000</v>
      </c>
      <c r="N4" s="55">
        <v>0</v>
      </c>
      <c r="O4" s="21">
        <f>IF(COUNTA($F4,$K4,$P4)&gt;0,O3+SUM(L4:N4),"")</f>
        <v>37200</v>
      </c>
      <c r="P4" s="8" t="s">
        <v>145</v>
      </c>
      <c r="Q4" s="9">
        <v>-700</v>
      </c>
      <c r="R4" s="9">
        <v>-1000</v>
      </c>
      <c r="S4" s="55">
        <v>0</v>
      </c>
      <c r="T4" s="21">
        <f>IF(COUNTA($F4,$K4,$P4)&gt;0,T3+SUM(Q4:S4),"")</f>
        <v>33300</v>
      </c>
      <c r="U4" s="60">
        <f t="shared" ref="U4:U30" si="0">IF($J4="","",ROUND(($J4-$J$3)/1000,1))</f>
        <v>-0.5</v>
      </c>
      <c r="V4" s="61">
        <f t="shared" ref="V4:V30" si="1">IF($O4="","",ROUND(($O4-$O$3)/1000,1))</f>
        <v>2.2000000000000002</v>
      </c>
      <c r="W4" s="62">
        <f t="shared" ref="W4:W30" si="2">IF($T4="","",ROUND(($T4-$T$3)/1000,1))</f>
        <v>-1.7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1</v>
      </c>
      <c r="AY4" s="36">
        <v>30</v>
      </c>
      <c r="AZ4" s="47" t="s">
        <v>87</v>
      </c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150</v>
      </c>
      <c r="G5" s="9">
        <v>-3000</v>
      </c>
      <c r="H5" s="9"/>
      <c r="I5" s="55"/>
      <c r="J5" s="21">
        <f t="shared" ref="J5:J30" si="6">IF(COUNTA($F5,$K5,$P5)&gt;0,J4+SUM(G5:I5),"")</f>
        <v>31500</v>
      </c>
      <c r="K5" s="8" t="s">
        <v>150</v>
      </c>
      <c r="L5" s="9">
        <v>1500</v>
      </c>
      <c r="M5" s="9"/>
      <c r="N5" s="55"/>
      <c r="O5" s="21">
        <f t="shared" ref="O5:O30" si="7">IF(COUNTA($F5,$K5,$P5)&gt;0,O4+SUM(L5:N5),"")</f>
        <v>38700</v>
      </c>
      <c r="P5" s="8" t="s">
        <v>150</v>
      </c>
      <c r="Q5" s="9">
        <v>1500</v>
      </c>
      <c r="R5" s="9"/>
      <c r="S5" s="55"/>
      <c r="T5" s="21">
        <f t="shared" ref="T5:T30" si="8">IF(COUNTA($F5,$K5,$P5)&gt;0,T4+SUM(Q5:S5),"")</f>
        <v>34800</v>
      </c>
      <c r="U5" s="60">
        <f t="shared" si="0"/>
        <v>-3.5</v>
      </c>
      <c r="V5" s="61">
        <f t="shared" si="1"/>
        <v>3.7</v>
      </c>
      <c r="W5" s="62">
        <f t="shared" si="2"/>
        <v>-0.2</v>
      </c>
      <c r="Y5" s="8" t="s">
        <v>149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141</v>
      </c>
      <c r="G6" s="9">
        <v>24000</v>
      </c>
      <c r="H6" s="9"/>
      <c r="I6" s="55">
        <v>0</v>
      </c>
      <c r="J6" s="21">
        <f t="shared" si="6"/>
        <v>55500</v>
      </c>
      <c r="K6" s="8" t="s">
        <v>142</v>
      </c>
      <c r="L6" s="9">
        <v>-24000</v>
      </c>
      <c r="M6" s="9"/>
      <c r="N6" s="55">
        <v>0</v>
      </c>
      <c r="O6" s="21">
        <f t="shared" si="7"/>
        <v>14700</v>
      </c>
      <c r="P6" s="8"/>
      <c r="Q6" s="9"/>
      <c r="R6" s="9"/>
      <c r="S6" s="55"/>
      <c r="T6" s="21">
        <f t="shared" si="8"/>
        <v>34800</v>
      </c>
      <c r="U6" s="60">
        <f t="shared" si="0"/>
        <v>20.5</v>
      </c>
      <c r="V6" s="61">
        <f t="shared" si="1"/>
        <v>-20.3</v>
      </c>
      <c r="W6" s="62">
        <f t="shared" si="2"/>
        <v>-0.2</v>
      </c>
      <c r="Y6" s="8"/>
      <c r="Z6" s="41"/>
      <c r="AA6" s="32">
        <v>1</v>
      </c>
      <c r="AB6" s="32"/>
      <c r="AC6" s="32">
        <v>11</v>
      </c>
      <c r="AD6" s="36" t="s">
        <v>144</v>
      </c>
      <c r="AE6" s="47" t="s">
        <v>143</v>
      </c>
      <c r="AF6" s="48" t="s">
        <v>151</v>
      </c>
      <c r="AG6" s="48" t="s">
        <v>93</v>
      </c>
      <c r="AH6" s="48" t="s">
        <v>80</v>
      </c>
      <c r="AI6" s="48" t="s">
        <v>107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145</v>
      </c>
      <c r="G7" s="9">
        <v>-6000</v>
      </c>
      <c r="H7" s="9"/>
      <c r="I7" s="55">
        <v>0</v>
      </c>
      <c r="J7" s="21">
        <f t="shared" si="6"/>
        <v>49500</v>
      </c>
      <c r="K7" s="8" t="s">
        <v>145</v>
      </c>
      <c r="L7" s="9">
        <v>-6000</v>
      </c>
      <c r="M7" s="9"/>
      <c r="N7" s="55">
        <v>0</v>
      </c>
      <c r="O7" s="21">
        <f t="shared" si="7"/>
        <v>8700</v>
      </c>
      <c r="P7" s="8" t="s">
        <v>146</v>
      </c>
      <c r="Q7" s="9">
        <v>12000</v>
      </c>
      <c r="R7" s="9"/>
      <c r="S7" s="55">
        <v>0</v>
      </c>
      <c r="T7" s="21">
        <f t="shared" si="8"/>
        <v>46800</v>
      </c>
      <c r="U7" s="60">
        <f t="shared" si="0"/>
        <v>14.5</v>
      </c>
      <c r="V7" s="61">
        <f t="shared" si="1"/>
        <v>-26.3</v>
      </c>
      <c r="W7" s="62">
        <f t="shared" si="2"/>
        <v>11.8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5</v>
      </c>
      <c r="BT7" s="36" t="s">
        <v>144</v>
      </c>
      <c r="BU7" s="47" t="s">
        <v>105</v>
      </c>
      <c r="BV7" s="48" t="s">
        <v>102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0</v>
      </c>
      <c r="E8" s="4" t="s">
        <v>139</v>
      </c>
      <c r="F8" s="8" t="s">
        <v>146</v>
      </c>
      <c r="G8" s="9">
        <v>16000</v>
      </c>
      <c r="H8" s="9"/>
      <c r="I8" s="55">
        <v>1000</v>
      </c>
      <c r="J8" s="21">
        <f t="shared" si="6"/>
        <v>66500</v>
      </c>
      <c r="K8" s="8" t="s">
        <v>145</v>
      </c>
      <c r="L8" s="9">
        <v>-6000</v>
      </c>
      <c r="M8" s="9"/>
      <c r="N8" s="55">
        <v>-500</v>
      </c>
      <c r="O8" s="21">
        <f t="shared" si="7"/>
        <v>2200</v>
      </c>
      <c r="P8" s="8" t="s">
        <v>145</v>
      </c>
      <c r="Q8" s="9">
        <v>-10000</v>
      </c>
      <c r="R8" s="9"/>
      <c r="S8" s="55">
        <v>-500</v>
      </c>
      <c r="T8" s="21">
        <f t="shared" si="8"/>
        <v>36300</v>
      </c>
      <c r="U8" s="60">
        <f t="shared" si="0"/>
        <v>31.5</v>
      </c>
      <c r="V8" s="61">
        <f t="shared" si="1"/>
        <v>-32.799999999999997</v>
      </c>
      <c r="W8" s="62">
        <f t="shared" si="2"/>
        <v>1.3</v>
      </c>
      <c r="Y8" s="8"/>
      <c r="Z8" s="41"/>
      <c r="AA8" s="32"/>
      <c r="AB8" s="32"/>
      <c r="AC8" s="32">
        <v>9</v>
      </c>
      <c r="AD8" s="36" t="s">
        <v>144</v>
      </c>
      <c r="AE8" s="47" t="s">
        <v>83</v>
      </c>
      <c r="AF8" s="48" t="s">
        <v>102</v>
      </c>
      <c r="AG8" s="48" t="s">
        <v>105</v>
      </c>
      <c r="AH8" s="48" t="s">
        <v>82</v>
      </c>
      <c r="AI8" s="48" t="s">
        <v>80</v>
      </c>
      <c r="AJ8" s="48" t="s">
        <v>80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146</v>
      </c>
      <c r="G9" s="9">
        <v>24000</v>
      </c>
      <c r="H9" s="9">
        <v>2000</v>
      </c>
      <c r="I9" s="55">
        <v>0</v>
      </c>
      <c r="J9" s="21">
        <f t="shared" si="6"/>
        <v>92500</v>
      </c>
      <c r="K9" s="8" t="s">
        <v>145</v>
      </c>
      <c r="L9" s="9">
        <v>-12000</v>
      </c>
      <c r="M9" s="9">
        <v>-1000</v>
      </c>
      <c r="N9" s="55">
        <v>0</v>
      </c>
      <c r="O9" s="21">
        <f t="shared" si="7"/>
        <v>-10800</v>
      </c>
      <c r="P9" s="8" t="s">
        <v>145</v>
      </c>
      <c r="Q9" s="9">
        <v>-12000</v>
      </c>
      <c r="R9" s="9">
        <v>-1000</v>
      </c>
      <c r="S9" s="55">
        <v>0</v>
      </c>
      <c r="T9" s="21">
        <f t="shared" si="8"/>
        <v>23300</v>
      </c>
      <c r="U9" s="60">
        <f t="shared" si="0"/>
        <v>57.5</v>
      </c>
      <c r="V9" s="61">
        <f t="shared" si="1"/>
        <v>-45.8</v>
      </c>
      <c r="W9" s="62">
        <f t="shared" si="2"/>
        <v>-11.7</v>
      </c>
      <c r="Y9" s="8"/>
      <c r="Z9" s="41"/>
      <c r="AA9" s="32">
        <v>1</v>
      </c>
      <c r="AB9" s="32"/>
      <c r="AC9" s="32">
        <v>8</v>
      </c>
      <c r="AD9" s="36" t="s">
        <v>144</v>
      </c>
      <c r="AE9" s="47" t="s">
        <v>143</v>
      </c>
      <c r="AF9" s="48" t="s">
        <v>83</v>
      </c>
      <c r="AG9" s="48" t="s">
        <v>97</v>
      </c>
      <c r="AH9" s="48" t="s">
        <v>82</v>
      </c>
      <c r="AI9" s="48" t="s">
        <v>81</v>
      </c>
      <c r="AJ9" s="48" t="s">
        <v>81</v>
      </c>
      <c r="AK9" s="48" t="s">
        <v>81</v>
      </c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2414A75D-0CFD-4A53-9783-2662055B89D2}">
      <formula1>"ロン,ツモ,放銃,ツモ支払,流局,チョンボ"</formula1>
    </dataValidation>
    <dataValidation type="list" allowBlank="1" showInputMessage="1" showErrorMessage="1" sqref="E4:E30" xr:uid="{3DE48731-A025-40B5-B51B-DBA936705C9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8A42-E4EA-4404-A075-1945EB7F84E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150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150</v>
      </c>
      <c r="L4" s="9">
        <v>-3000</v>
      </c>
      <c r="M4" s="9"/>
      <c r="N4" s="55"/>
      <c r="O4" s="21">
        <f>IF(COUNTA($F4,$K4,$P4)&gt;0,O3+SUM(L4:N4),"")</f>
        <v>32000</v>
      </c>
      <c r="P4" s="8" t="s">
        <v>150</v>
      </c>
      <c r="Q4" s="9">
        <v>1500</v>
      </c>
      <c r="R4" s="9"/>
      <c r="S4" s="55"/>
      <c r="T4" s="21">
        <f>IF(COUNTA($F4,$K4,$P4)&gt;0,T3+SUM(Q4:S4),"")</f>
        <v>36500</v>
      </c>
      <c r="U4" s="60">
        <f t="shared" ref="U4:U30" si="0">IF($J4="","",ROUND(($J4-$J$3)/1000,1))</f>
        <v>0.5</v>
      </c>
      <c r="V4" s="61">
        <f t="shared" ref="V4:V30" si="1">IF($O4="","",ROUND(($O4-$O$3)/1000,1))</f>
        <v>-3</v>
      </c>
      <c r="W4" s="62">
        <f t="shared" ref="W4:W30" si="2">IF($T4="","",ROUND(($T4-$T$3)/1000,1))</f>
        <v>1.5</v>
      </c>
      <c r="Y4" s="8" t="s">
        <v>147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149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147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135</v>
      </c>
      <c r="F5" s="8" t="s">
        <v>145</v>
      </c>
      <c r="G5" s="9">
        <v>-10000</v>
      </c>
      <c r="H5" s="9">
        <v>-1000</v>
      </c>
      <c r="I5" s="55">
        <v>-500</v>
      </c>
      <c r="J5" s="21">
        <f t="shared" ref="J5:J30" si="6">IF(COUNTA($F5,$K5,$P5)&gt;0,J4+SUM(G5:I5),"")</f>
        <v>24000</v>
      </c>
      <c r="K5" s="8" t="s">
        <v>145</v>
      </c>
      <c r="L5" s="9">
        <v>-6000</v>
      </c>
      <c r="M5" s="9"/>
      <c r="N5" s="55">
        <v>-500</v>
      </c>
      <c r="O5" s="21">
        <f t="shared" ref="O5:O30" si="7">IF(COUNTA($F5,$K5,$P5)&gt;0,O4+SUM(L5:N5),"")</f>
        <v>25500</v>
      </c>
      <c r="P5" s="8" t="s">
        <v>146</v>
      </c>
      <c r="Q5" s="9">
        <v>16000</v>
      </c>
      <c r="R5" s="9">
        <v>2000</v>
      </c>
      <c r="S5" s="55">
        <v>1000</v>
      </c>
      <c r="T5" s="21">
        <f t="shared" ref="T5:T30" si="8">IF(COUNTA($F5,$K5,$P5)&gt;0,T4+SUM(Q5:S5),"")</f>
        <v>55500</v>
      </c>
      <c r="U5" s="60">
        <f t="shared" si="0"/>
        <v>-11</v>
      </c>
      <c r="V5" s="61">
        <f t="shared" si="1"/>
        <v>-9.5</v>
      </c>
      <c r="W5" s="62">
        <f t="shared" si="2"/>
        <v>20.5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10</v>
      </c>
      <c r="BT5" s="36" t="s">
        <v>144</v>
      </c>
      <c r="BU5" s="47" t="s">
        <v>143</v>
      </c>
      <c r="BV5" s="48" t="s">
        <v>83</v>
      </c>
      <c r="BW5" s="48" t="s">
        <v>107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137</v>
      </c>
      <c r="F6" s="8"/>
      <c r="G6" s="9"/>
      <c r="H6" s="9"/>
      <c r="I6" s="55"/>
      <c r="J6" s="21">
        <f t="shared" si="6"/>
        <v>24000</v>
      </c>
      <c r="K6" s="8" t="s">
        <v>142</v>
      </c>
      <c r="L6" s="9">
        <v>-3900</v>
      </c>
      <c r="M6" s="9"/>
      <c r="N6" s="55">
        <v>0</v>
      </c>
      <c r="O6" s="21">
        <f t="shared" si="7"/>
        <v>21600</v>
      </c>
      <c r="P6" s="8" t="s">
        <v>141</v>
      </c>
      <c r="Q6" s="9">
        <v>3900</v>
      </c>
      <c r="R6" s="9"/>
      <c r="S6" s="55">
        <v>0</v>
      </c>
      <c r="T6" s="21">
        <f t="shared" si="8"/>
        <v>59400</v>
      </c>
      <c r="U6" s="60">
        <f t="shared" si="0"/>
        <v>-11</v>
      </c>
      <c r="V6" s="61">
        <f t="shared" si="1"/>
        <v>-13.4</v>
      </c>
      <c r="W6" s="62">
        <f t="shared" si="2"/>
        <v>24.4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87</v>
      </c>
      <c r="BV6" s="48" t="s">
        <v>99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141</v>
      </c>
      <c r="G7" s="9">
        <v>8000</v>
      </c>
      <c r="H7" s="9"/>
      <c r="I7" s="55"/>
      <c r="J7" s="21">
        <f t="shared" si="6"/>
        <v>32000</v>
      </c>
      <c r="K7" s="8" t="s">
        <v>142</v>
      </c>
      <c r="L7" s="9">
        <v>-20000</v>
      </c>
      <c r="M7" s="9"/>
      <c r="N7" s="55">
        <v>0</v>
      </c>
      <c r="O7" s="21">
        <f t="shared" si="7"/>
        <v>1600</v>
      </c>
      <c r="P7" s="8" t="s">
        <v>141</v>
      </c>
      <c r="Q7" s="9">
        <v>12000</v>
      </c>
      <c r="R7" s="9"/>
      <c r="S7" s="55">
        <v>0</v>
      </c>
      <c r="T7" s="21">
        <f t="shared" si="8"/>
        <v>71400</v>
      </c>
      <c r="U7" s="60">
        <f t="shared" si="0"/>
        <v>-3</v>
      </c>
      <c r="V7" s="61">
        <f t="shared" si="1"/>
        <v>-33.4</v>
      </c>
      <c r="W7" s="62">
        <f t="shared" si="2"/>
        <v>36.4</v>
      </c>
      <c r="Y7" s="8"/>
      <c r="Z7" s="41"/>
      <c r="AA7" s="32"/>
      <c r="AB7" s="32"/>
      <c r="AC7" s="32">
        <v>5</v>
      </c>
      <c r="AD7" s="36" t="s">
        <v>144</v>
      </c>
      <c r="AE7" s="47" t="s">
        <v>143</v>
      </c>
      <c r="AF7" s="48" t="s">
        <v>80</v>
      </c>
      <c r="AG7" s="48" t="s">
        <v>81</v>
      </c>
      <c r="AH7" s="48" t="s">
        <v>81</v>
      </c>
      <c r="AI7" s="48" t="s">
        <v>81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144</v>
      </c>
      <c r="BU7" s="47" t="s">
        <v>143</v>
      </c>
      <c r="BV7" s="48" t="s">
        <v>80</v>
      </c>
      <c r="BW7" s="48" t="s">
        <v>81</v>
      </c>
      <c r="BX7" s="48" t="s">
        <v>81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139</v>
      </c>
      <c r="F8" s="8" t="s">
        <v>145</v>
      </c>
      <c r="G8" s="9">
        <v>-9000</v>
      </c>
      <c r="H8" s="9"/>
      <c r="I8" s="55">
        <v>-500</v>
      </c>
      <c r="J8" s="21">
        <f t="shared" si="6"/>
        <v>22500</v>
      </c>
      <c r="K8" s="8" t="s">
        <v>145</v>
      </c>
      <c r="L8" s="9">
        <v>-9000</v>
      </c>
      <c r="M8" s="9">
        <v>-1000</v>
      </c>
      <c r="N8" s="55">
        <v>-500</v>
      </c>
      <c r="O8" s="21">
        <f t="shared" si="7"/>
        <v>-8900</v>
      </c>
      <c r="P8" s="8" t="s">
        <v>146</v>
      </c>
      <c r="Q8" s="9">
        <v>18000</v>
      </c>
      <c r="R8" s="9">
        <v>1000</v>
      </c>
      <c r="S8" s="55">
        <v>1000</v>
      </c>
      <c r="T8" s="21">
        <f t="shared" si="8"/>
        <v>91400</v>
      </c>
      <c r="U8" s="60">
        <f t="shared" si="0"/>
        <v>-12.5</v>
      </c>
      <c r="V8" s="61">
        <f t="shared" si="1"/>
        <v>-43.9</v>
      </c>
      <c r="W8" s="62">
        <f t="shared" si="2"/>
        <v>56.4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6</v>
      </c>
      <c r="BT8" s="36" t="s">
        <v>144</v>
      </c>
      <c r="BU8" s="47" t="s">
        <v>105</v>
      </c>
      <c r="BV8" s="48" t="s">
        <v>87</v>
      </c>
      <c r="BW8" s="48" t="s">
        <v>82</v>
      </c>
      <c r="BX8" s="48" t="s">
        <v>80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96C044EB-2718-4E1E-A65E-6ECEA2576FD6}">
      <formula1>$U$2:$W$2</formula1>
    </dataValidation>
    <dataValidation type="list" showInputMessage="1" showErrorMessage="1" sqref="K4:K30 P4:P30 F4:F30" xr:uid="{FA4B6F23-7454-4941-8D02-B57E8A880CE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A1D6-9398-41D8-B75C-25956CC9944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153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あさひ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あさひ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150</v>
      </c>
      <c r="G4" s="9">
        <v>-3000</v>
      </c>
      <c r="H4" s="9"/>
      <c r="I4" s="55"/>
      <c r="J4" s="21">
        <f>IF(COUNTA($F4,$K4,$P4)&gt;0,J3+SUM(G4:I4),"")</f>
        <v>32000</v>
      </c>
      <c r="K4" s="8" t="s">
        <v>150</v>
      </c>
      <c r="L4" s="9">
        <v>1500</v>
      </c>
      <c r="M4" s="9">
        <v>-1000</v>
      </c>
      <c r="N4" s="55"/>
      <c r="O4" s="21">
        <f>IF(COUNTA($F4,$K4,$P4)&gt;0,O3+SUM(L4:N4),"")</f>
        <v>35500</v>
      </c>
      <c r="P4" s="8" t="s">
        <v>150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 t="shared" ref="U4:U30" si="0">IF($J4="","",ROUND(($J4-$J$3)/1000,1))</f>
        <v>-3</v>
      </c>
      <c r="V4" s="61">
        <f t="shared" ref="V4:V30" si="1">IF($O4="","",ROUND(($O4-$O$3)/1000,1))</f>
        <v>0.5</v>
      </c>
      <c r="W4" s="62">
        <f t="shared" ref="W4:W30" si="2">IF($T4="","",ROUND(($T4-$T$3)/1000,1))</f>
        <v>0.5</v>
      </c>
      <c r="Y4" s="8" t="s">
        <v>149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147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147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2</v>
      </c>
      <c r="E5" s="4" t="s">
        <v>154</v>
      </c>
      <c r="F5" s="8" t="s">
        <v>142</v>
      </c>
      <c r="G5" s="9">
        <v>-24000</v>
      </c>
      <c r="H5" s="9"/>
      <c r="I5" s="55">
        <v>0</v>
      </c>
      <c r="J5" s="21">
        <f t="shared" ref="J5:J30" si="6">IF(COUNTA($F5,$K5,$P5)&gt;0,J4+SUM(G5:I5),"")</f>
        <v>8000</v>
      </c>
      <c r="K5" s="8" t="s">
        <v>141</v>
      </c>
      <c r="L5" s="9">
        <v>24000</v>
      </c>
      <c r="M5" s="9">
        <v>2000</v>
      </c>
      <c r="N5" s="55">
        <v>0</v>
      </c>
      <c r="O5" s="21">
        <f t="shared" ref="O5:O30" si="7">IF(COUNTA($F5,$K5,$P5)&gt;0,O4+SUM(L5:N5),"")</f>
        <v>61500</v>
      </c>
      <c r="P5" s="8"/>
      <c r="Q5" s="9"/>
      <c r="R5" s="9"/>
      <c r="S5" s="55"/>
      <c r="T5" s="21">
        <f t="shared" ref="T5:T30" si="8">IF(COUNTA($F5,$K5,$P5)&gt;0,T4+SUM(Q5:S5),"")</f>
        <v>35500</v>
      </c>
      <c r="U5" s="60">
        <f t="shared" si="0"/>
        <v>-27</v>
      </c>
      <c r="V5" s="61">
        <f t="shared" si="1"/>
        <v>26.5</v>
      </c>
      <c r="W5" s="62">
        <f t="shared" si="2"/>
        <v>0.5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10</v>
      </c>
      <c r="AY5" s="36" t="s">
        <v>144</v>
      </c>
      <c r="AZ5" s="47" t="s">
        <v>99</v>
      </c>
      <c r="BA5" s="48" t="s">
        <v>97</v>
      </c>
      <c r="BB5" s="48" t="s">
        <v>105</v>
      </c>
      <c r="BC5" s="48" t="s">
        <v>80</v>
      </c>
      <c r="BD5" s="48" t="s">
        <v>80</v>
      </c>
      <c r="BE5" s="48" t="s">
        <v>80</v>
      </c>
      <c r="BF5" s="48" t="s">
        <v>87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154</v>
      </c>
      <c r="F6" s="8" t="s">
        <v>146</v>
      </c>
      <c r="G6" s="9">
        <v>8000</v>
      </c>
      <c r="H6" s="9"/>
      <c r="I6" s="55">
        <v>1000</v>
      </c>
      <c r="J6" s="21">
        <f t="shared" si="6"/>
        <v>17000</v>
      </c>
      <c r="K6" s="8" t="s">
        <v>145</v>
      </c>
      <c r="L6" s="9">
        <v>-5000</v>
      </c>
      <c r="M6" s="9"/>
      <c r="N6" s="55">
        <v>-500</v>
      </c>
      <c r="O6" s="21">
        <f t="shared" si="7"/>
        <v>56000</v>
      </c>
      <c r="P6" s="8" t="s">
        <v>145</v>
      </c>
      <c r="Q6" s="9">
        <v>-3000</v>
      </c>
      <c r="R6" s="9"/>
      <c r="S6" s="55">
        <v>-500</v>
      </c>
      <c r="T6" s="21">
        <f t="shared" si="8"/>
        <v>32000</v>
      </c>
      <c r="U6" s="60">
        <f t="shared" si="0"/>
        <v>-18</v>
      </c>
      <c r="V6" s="61">
        <f t="shared" si="1"/>
        <v>21</v>
      </c>
      <c r="W6" s="62">
        <f t="shared" si="2"/>
        <v>-3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143</v>
      </c>
      <c r="AF6" s="48" t="s">
        <v>83</v>
      </c>
      <c r="AG6" s="48" t="s">
        <v>151</v>
      </c>
      <c r="AH6" s="48" t="s">
        <v>81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145</v>
      </c>
      <c r="G7" s="9">
        <v>-24000</v>
      </c>
      <c r="H7" s="9"/>
      <c r="I7" s="55">
        <v>0</v>
      </c>
      <c r="J7" s="21">
        <f t="shared" si="6"/>
        <v>-7000</v>
      </c>
      <c r="K7" s="8" t="s">
        <v>145</v>
      </c>
      <c r="L7" s="9">
        <v>-24000</v>
      </c>
      <c r="M7" s="9"/>
      <c r="N7" s="55">
        <v>0</v>
      </c>
      <c r="O7" s="21">
        <f t="shared" si="7"/>
        <v>32000</v>
      </c>
      <c r="P7" s="8" t="s">
        <v>146</v>
      </c>
      <c r="Q7" s="9">
        <v>48000</v>
      </c>
      <c r="R7" s="9"/>
      <c r="S7" s="55">
        <v>0</v>
      </c>
      <c r="T7" s="21">
        <f t="shared" si="8"/>
        <v>80000</v>
      </c>
      <c r="U7" s="60">
        <f t="shared" si="0"/>
        <v>-42</v>
      </c>
      <c r="V7" s="61">
        <f t="shared" si="1"/>
        <v>-3</v>
      </c>
      <c r="W7" s="62">
        <f t="shared" si="2"/>
        <v>45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17</v>
      </c>
      <c r="BT7" s="36" t="s">
        <v>144</v>
      </c>
      <c r="BU7" s="47" t="s">
        <v>143</v>
      </c>
      <c r="BV7" s="48" t="s">
        <v>83</v>
      </c>
      <c r="BW7" s="48" t="s">
        <v>82</v>
      </c>
      <c r="BX7" s="48" t="s">
        <v>82</v>
      </c>
      <c r="BY7" s="48" t="s">
        <v>80</v>
      </c>
      <c r="BZ7" s="48" t="s">
        <v>80</v>
      </c>
      <c r="CA7" s="48" t="s">
        <v>80</v>
      </c>
      <c r="CB7" s="48" t="s">
        <v>80</v>
      </c>
      <c r="CC7" s="48" t="s">
        <v>81</v>
      </c>
      <c r="CD7" s="48" t="s">
        <v>107</v>
      </c>
      <c r="CE7" s="48" t="s">
        <v>97</v>
      </c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D514BC87-1508-4A20-B895-3B9FB50CDB7A}">
      <formula1>"ロン,ツモ,放銃,ツモ支払,流局,チョンボ"</formula1>
    </dataValidation>
    <dataValidation type="list" allowBlank="1" showInputMessage="1" showErrorMessage="1" sqref="E4:E30" xr:uid="{15F2AF0D-466D-40EC-8250-710790E45FF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1B3A-D8D9-4A5C-ABC2-D72E29F2C2C7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157</v>
      </c>
      <c r="L1" s="80"/>
      <c r="M1" s="80"/>
      <c r="N1" s="89"/>
      <c r="O1" s="81"/>
      <c r="P1" s="78" t="s">
        <v>155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たかの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156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146</v>
      </c>
      <c r="L4" s="9">
        <v>6000</v>
      </c>
      <c r="M4" s="9"/>
      <c r="N4" s="55">
        <v>0</v>
      </c>
      <c r="O4" s="21">
        <f>IF(COUNTA($F4,$K4,$P4)&gt;0,O3+SUM(L4:N4),"")</f>
        <v>41000</v>
      </c>
      <c r="P4" s="8" t="s">
        <v>145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-3</v>
      </c>
      <c r="V4" s="61">
        <f t="shared" ref="V4:V30" si="1">IF($O4="","",ROUND(($O4-$O$3)/1000,1))</f>
        <v>6</v>
      </c>
      <c r="W4" s="62">
        <f t="shared" ref="W4:W30" si="2">IF($T4="","",ROUND(($T4-$T$3)/1000,1))</f>
        <v>-3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30</v>
      </c>
      <c r="AZ4" s="47" t="s">
        <v>87</v>
      </c>
      <c r="BA4" s="48" t="s">
        <v>82</v>
      </c>
      <c r="BB4" s="48" t="s">
        <v>82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156</v>
      </c>
      <c r="F5" s="8" t="s">
        <v>141</v>
      </c>
      <c r="G5" s="9">
        <v>5200</v>
      </c>
      <c r="H5" s="9"/>
      <c r="I5" s="55">
        <v>1000</v>
      </c>
      <c r="J5" s="21">
        <f t="shared" ref="J5:J30" si="6">IF(COUNTA($F5,$K5,$P5)&gt;0,J4+SUM(G5:I5),"")</f>
        <v>38200</v>
      </c>
      <c r="K5" s="8"/>
      <c r="L5" s="9"/>
      <c r="M5" s="9"/>
      <c r="N5" s="55"/>
      <c r="O5" s="21">
        <f t="shared" ref="O5:O30" si="7">IF(COUNTA($F5,$K5,$P5)&gt;0,O4+SUM(L5:N5),"")</f>
        <v>41000</v>
      </c>
      <c r="P5" s="8" t="s">
        <v>142</v>
      </c>
      <c r="Q5" s="9">
        <v>-5200</v>
      </c>
      <c r="R5" s="9"/>
      <c r="S5" s="55">
        <v>-1000</v>
      </c>
      <c r="T5" s="21">
        <f t="shared" ref="T5:T30" si="8">IF(COUNTA($F5,$K5,$P5)&gt;0,T4+SUM(Q5:S5),"")</f>
        <v>25800</v>
      </c>
      <c r="U5" s="60">
        <f t="shared" si="0"/>
        <v>3.2</v>
      </c>
      <c r="V5" s="61">
        <f t="shared" si="1"/>
        <v>6</v>
      </c>
      <c r="W5" s="62">
        <f t="shared" si="2"/>
        <v>-9.1999999999999993</v>
      </c>
      <c r="Y5" s="8"/>
      <c r="Z5" s="41"/>
      <c r="AA5" s="32"/>
      <c r="AB5" s="32">
        <v>1</v>
      </c>
      <c r="AC5" s="32">
        <v>3</v>
      </c>
      <c r="AD5" s="36">
        <v>40</v>
      </c>
      <c r="AE5" s="47" t="s">
        <v>87</v>
      </c>
      <c r="AF5" s="48" t="s">
        <v>87</v>
      </c>
      <c r="AG5" s="48" t="s">
        <v>82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154</v>
      </c>
      <c r="F6" s="8" t="s">
        <v>141</v>
      </c>
      <c r="G6" s="9">
        <v>1300</v>
      </c>
      <c r="H6" s="9">
        <v>1000</v>
      </c>
      <c r="I6" s="55">
        <v>0</v>
      </c>
      <c r="J6" s="21">
        <f t="shared" si="6"/>
        <v>40500</v>
      </c>
      <c r="K6" s="8"/>
      <c r="L6" s="9"/>
      <c r="M6" s="9">
        <v>-1000</v>
      </c>
      <c r="N6" s="55"/>
      <c r="O6" s="21">
        <f t="shared" si="7"/>
        <v>40000</v>
      </c>
      <c r="P6" s="8" t="s">
        <v>142</v>
      </c>
      <c r="Q6" s="9">
        <v>-1300</v>
      </c>
      <c r="R6" s="9"/>
      <c r="S6" s="55">
        <v>0</v>
      </c>
      <c r="T6" s="21">
        <f t="shared" si="8"/>
        <v>24500</v>
      </c>
      <c r="U6" s="60">
        <f t="shared" si="0"/>
        <v>5.5</v>
      </c>
      <c r="V6" s="61">
        <f t="shared" si="1"/>
        <v>5</v>
      </c>
      <c r="W6" s="62">
        <f t="shared" si="2"/>
        <v>-10.5</v>
      </c>
      <c r="Y6" s="8"/>
      <c r="Z6" s="41"/>
      <c r="AA6" s="32">
        <v>1</v>
      </c>
      <c r="AB6" s="32"/>
      <c r="AC6" s="32">
        <v>1</v>
      </c>
      <c r="AD6" s="36">
        <v>40</v>
      </c>
      <c r="AE6" s="47" t="s">
        <v>143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145</v>
      </c>
      <c r="G7" s="9">
        <v>-10000</v>
      </c>
      <c r="H7" s="9"/>
      <c r="I7" s="55">
        <v>0</v>
      </c>
      <c r="J7" s="21">
        <f t="shared" si="6"/>
        <v>30500</v>
      </c>
      <c r="K7" s="8" t="s">
        <v>145</v>
      </c>
      <c r="L7" s="9">
        <v>-6000</v>
      </c>
      <c r="M7" s="9"/>
      <c r="N7" s="55">
        <v>0</v>
      </c>
      <c r="O7" s="21">
        <f t="shared" si="7"/>
        <v>34000</v>
      </c>
      <c r="P7" s="8" t="s">
        <v>146</v>
      </c>
      <c r="Q7" s="9">
        <v>16000</v>
      </c>
      <c r="R7" s="9"/>
      <c r="S7" s="55">
        <v>0</v>
      </c>
      <c r="T7" s="21">
        <f t="shared" si="8"/>
        <v>40500</v>
      </c>
      <c r="U7" s="60">
        <f t="shared" si="0"/>
        <v>-4.5</v>
      </c>
      <c r="V7" s="61">
        <f t="shared" si="1"/>
        <v>-1</v>
      </c>
      <c r="W7" s="62">
        <f t="shared" si="2"/>
        <v>5.5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10</v>
      </c>
      <c r="BT7" s="36" t="s">
        <v>144</v>
      </c>
      <c r="BU7" s="47" t="s">
        <v>83</v>
      </c>
      <c r="BV7" s="48" t="s">
        <v>105</v>
      </c>
      <c r="BW7" s="48" t="s">
        <v>87</v>
      </c>
      <c r="BX7" s="48" t="s">
        <v>87</v>
      </c>
      <c r="BY7" s="48" t="s">
        <v>80</v>
      </c>
      <c r="BZ7" s="48" t="s">
        <v>80</v>
      </c>
      <c r="CA7" s="48" t="s">
        <v>97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156</v>
      </c>
      <c r="F8" s="8" t="s">
        <v>146</v>
      </c>
      <c r="G8" s="9">
        <v>8000</v>
      </c>
      <c r="H8" s="9"/>
      <c r="I8" s="55">
        <v>0</v>
      </c>
      <c r="J8" s="21">
        <f t="shared" si="6"/>
        <v>38500</v>
      </c>
      <c r="K8" s="8" t="s">
        <v>145</v>
      </c>
      <c r="L8" s="9">
        <v>-5000</v>
      </c>
      <c r="M8" s="9"/>
      <c r="N8" s="55">
        <v>0</v>
      </c>
      <c r="O8" s="21">
        <f t="shared" si="7"/>
        <v>29000</v>
      </c>
      <c r="P8" s="8" t="s">
        <v>145</v>
      </c>
      <c r="Q8" s="9">
        <v>-3000</v>
      </c>
      <c r="R8" s="9"/>
      <c r="S8" s="55">
        <v>0</v>
      </c>
      <c r="T8" s="21">
        <f t="shared" si="8"/>
        <v>37500</v>
      </c>
      <c r="U8" s="60">
        <f t="shared" si="0"/>
        <v>3.5</v>
      </c>
      <c r="V8" s="61">
        <f t="shared" si="1"/>
        <v>-6</v>
      </c>
      <c r="W8" s="62">
        <f t="shared" si="2"/>
        <v>2.5</v>
      </c>
      <c r="Y8" s="8"/>
      <c r="Z8" s="41"/>
      <c r="AA8" s="32">
        <v>1</v>
      </c>
      <c r="AB8" s="32"/>
      <c r="AC8" s="32">
        <v>5</v>
      </c>
      <c r="AD8" s="36" t="s">
        <v>144</v>
      </c>
      <c r="AE8" s="47" t="s">
        <v>143</v>
      </c>
      <c r="AF8" s="48" t="s">
        <v>83</v>
      </c>
      <c r="AG8" s="48" t="s">
        <v>86</v>
      </c>
      <c r="AH8" s="48" t="s">
        <v>82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154</v>
      </c>
      <c r="F9" s="8" t="s">
        <v>148</v>
      </c>
      <c r="G9" s="9">
        <v>-1500</v>
      </c>
      <c r="H9" s="9"/>
      <c r="I9" s="55"/>
      <c r="J9" s="21">
        <f t="shared" si="6"/>
        <v>37000</v>
      </c>
      <c r="K9" s="8" t="s">
        <v>148</v>
      </c>
      <c r="L9" s="9">
        <v>3000</v>
      </c>
      <c r="M9" s="9">
        <v>-1000</v>
      </c>
      <c r="N9" s="55"/>
      <c r="O9" s="21">
        <f t="shared" si="7"/>
        <v>31000</v>
      </c>
      <c r="P9" s="8" t="s">
        <v>148</v>
      </c>
      <c r="Q9" s="9">
        <v>-1500</v>
      </c>
      <c r="R9" s="9"/>
      <c r="S9" s="55"/>
      <c r="T9" s="21">
        <f t="shared" si="8"/>
        <v>36000</v>
      </c>
      <c r="U9" s="60">
        <f t="shared" si="0"/>
        <v>2</v>
      </c>
      <c r="V9" s="61">
        <f t="shared" si="1"/>
        <v>-4</v>
      </c>
      <c r="W9" s="62">
        <f t="shared" si="2"/>
        <v>1</v>
      </c>
      <c r="Y9" s="8" t="s">
        <v>149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147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149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1</v>
      </c>
      <c r="E10" s="4" t="s">
        <v>135</v>
      </c>
      <c r="F10" s="8" t="s">
        <v>141</v>
      </c>
      <c r="G10" s="9">
        <v>7700</v>
      </c>
      <c r="H10" s="9">
        <v>1000</v>
      </c>
      <c r="I10" s="55">
        <v>0</v>
      </c>
      <c r="J10" s="21">
        <f t="shared" si="6"/>
        <v>45700</v>
      </c>
      <c r="K10" s="8"/>
      <c r="L10" s="9"/>
      <c r="M10" s="9"/>
      <c r="N10" s="55"/>
      <c r="O10" s="21">
        <f t="shared" si="7"/>
        <v>31000</v>
      </c>
      <c r="P10" s="8" t="s">
        <v>142</v>
      </c>
      <c r="Q10" s="9">
        <v>-7700</v>
      </c>
      <c r="R10" s="9"/>
      <c r="S10" s="55">
        <v>0</v>
      </c>
      <c r="T10" s="21">
        <f t="shared" si="8"/>
        <v>28300</v>
      </c>
      <c r="U10" s="60">
        <f t="shared" si="0"/>
        <v>10.7</v>
      </c>
      <c r="V10" s="61">
        <f t="shared" si="1"/>
        <v>-4</v>
      </c>
      <c r="W10" s="62">
        <f t="shared" si="2"/>
        <v>-6.7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143</v>
      </c>
      <c r="AF10" s="48" t="s">
        <v>80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1A3BD587-E2DD-448A-B089-4247D81D9421}">
      <formula1>$U$2:$W$2</formula1>
    </dataValidation>
    <dataValidation type="list" showInputMessage="1" showErrorMessage="1" sqref="K4:K30 P4:P30 F4:F30" xr:uid="{F8652CD4-9F49-4CDE-8E0E-D25E1BF4414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2903-25AA-4FB0-A65A-D9DE3839A314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157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/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たかの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156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5800</v>
      </c>
      <c r="M4" s="9"/>
      <c r="N4" s="55">
        <v>0</v>
      </c>
      <c r="O4" s="21">
        <f>IF(COUNTA($F4,$K4,$P4)&gt;0,O3+SUM(L4:N4),"")</f>
        <v>40800</v>
      </c>
      <c r="P4" s="8" t="s">
        <v>142</v>
      </c>
      <c r="Q4" s="9">
        <v>-5800</v>
      </c>
      <c r="R4" s="9"/>
      <c r="S4" s="55">
        <v>0</v>
      </c>
      <c r="T4" s="21">
        <f>IF(COUNTA($F4,$K4,$P4)&gt;0,T3+SUM(Q4:S4),"")</f>
        <v>29200</v>
      </c>
      <c r="U4" s="60">
        <f t="shared" ref="U4:U30" si="0">IF($J4="","",ROUND(($J4-$J$3)/1000,1))</f>
        <v>0</v>
      </c>
      <c r="V4" s="61">
        <f t="shared" ref="V4:V30" si="1">IF($O4="","",ROUND(($O4-$O$3)/1000,1))</f>
        <v>5.8</v>
      </c>
      <c r="W4" s="62">
        <f t="shared" ref="W4:W30" si="2">IF($T4="","",ROUND(($T4-$T$3)/1000,1))</f>
        <v>-5.8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30</v>
      </c>
      <c r="AZ4" s="47" t="s">
        <v>87</v>
      </c>
      <c r="BA4" s="48" t="s">
        <v>87</v>
      </c>
      <c r="BB4" s="48" t="s">
        <v>82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156</v>
      </c>
      <c r="F5" s="8" t="s">
        <v>141</v>
      </c>
      <c r="G5" s="9">
        <v>32000</v>
      </c>
      <c r="H5" s="9">
        <v>1000</v>
      </c>
      <c r="I5" s="55">
        <v>1000</v>
      </c>
      <c r="J5" s="21">
        <f t="shared" ref="J5:J30" si="6">IF(COUNTA($F5,$K5,$P5)&gt;0,J4+SUM(G5:I5),"")</f>
        <v>69000</v>
      </c>
      <c r="K5" s="8" t="s">
        <v>142</v>
      </c>
      <c r="L5" s="9">
        <v>-32000</v>
      </c>
      <c r="M5" s="9"/>
      <c r="N5" s="55">
        <v>-1000</v>
      </c>
      <c r="O5" s="21">
        <f t="shared" ref="O5:O30" si="7">IF(COUNTA($F5,$K5,$P5)&gt;0,O4+SUM(L5:N5),"")</f>
        <v>7800</v>
      </c>
      <c r="P5" s="8"/>
      <c r="Q5" s="9"/>
      <c r="R5" s="9">
        <v>-1000</v>
      </c>
      <c r="S5" s="55"/>
      <c r="T5" s="21">
        <f t="shared" ref="T5:T30" si="8">IF(COUNTA($F5,$K5,$P5)&gt;0,T4+SUM(Q5:S5),"")</f>
        <v>28200</v>
      </c>
      <c r="U5" s="60">
        <f t="shared" si="0"/>
        <v>34</v>
      </c>
      <c r="V5" s="61">
        <f t="shared" si="1"/>
        <v>-27.2</v>
      </c>
      <c r="W5" s="62">
        <f t="shared" si="2"/>
        <v>-6.8</v>
      </c>
      <c r="Y5" s="8"/>
      <c r="Z5" s="41"/>
      <c r="AA5" s="32"/>
      <c r="AB5" s="32"/>
      <c r="AC5" s="32">
        <v>13</v>
      </c>
      <c r="AD5" s="36" t="s">
        <v>144</v>
      </c>
      <c r="AE5" s="47" t="s">
        <v>108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145</v>
      </c>
      <c r="G6" s="9">
        <v>-3000</v>
      </c>
      <c r="H6" s="9"/>
      <c r="I6" s="55">
        <v>0</v>
      </c>
      <c r="J6" s="21">
        <f t="shared" si="6"/>
        <v>66000</v>
      </c>
      <c r="K6" s="8" t="s">
        <v>146</v>
      </c>
      <c r="L6" s="9">
        <v>8000</v>
      </c>
      <c r="M6" s="9"/>
      <c r="N6" s="55">
        <v>0</v>
      </c>
      <c r="O6" s="21">
        <f t="shared" si="7"/>
        <v>15800</v>
      </c>
      <c r="P6" s="8" t="s">
        <v>145</v>
      </c>
      <c r="Q6" s="9">
        <v>-5000</v>
      </c>
      <c r="R6" s="9"/>
      <c r="S6" s="55">
        <v>0</v>
      </c>
      <c r="T6" s="21">
        <f t="shared" si="8"/>
        <v>23200</v>
      </c>
      <c r="U6" s="60">
        <f t="shared" si="0"/>
        <v>31</v>
      </c>
      <c r="V6" s="61">
        <f t="shared" si="1"/>
        <v>-19.2</v>
      </c>
      <c r="W6" s="62">
        <f t="shared" si="2"/>
        <v>-11.8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5</v>
      </c>
      <c r="AY6" s="36" t="s">
        <v>144</v>
      </c>
      <c r="AZ6" s="47" t="s">
        <v>83</v>
      </c>
      <c r="BA6" s="48" t="s">
        <v>102</v>
      </c>
      <c r="BB6" s="48" t="s">
        <v>82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146</v>
      </c>
      <c r="G7" s="9">
        <v>7800</v>
      </c>
      <c r="H7" s="9"/>
      <c r="I7" s="55">
        <v>0</v>
      </c>
      <c r="J7" s="21">
        <f t="shared" si="6"/>
        <v>73800</v>
      </c>
      <c r="K7" s="8" t="s">
        <v>145</v>
      </c>
      <c r="L7" s="9">
        <v>-3900</v>
      </c>
      <c r="M7" s="9"/>
      <c r="N7" s="55">
        <v>0</v>
      </c>
      <c r="O7" s="21">
        <f t="shared" si="7"/>
        <v>11900</v>
      </c>
      <c r="P7" s="8" t="s">
        <v>145</v>
      </c>
      <c r="Q7" s="9">
        <v>-3900</v>
      </c>
      <c r="R7" s="9"/>
      <c r="S7" s="55">
        <v>0</v>
      </c>
      <c r="T7" s="21">
        <f t="shared" si="8"/>
        <v>19300</v>
      </c>
      <c r="U7" s="60">
        <f t="shared" si="0"/>
        <v>38.799999999999997</v>
      </c>
      <c r="V7" s="61">
        <f t="shared" si="1"/>
        <v>-23.1</v>
      </c>
      <c r="W7" s="62">
        <f t="shared" si="2"/>
        <v>-15.7</v>
      </c>
      <c r="Y7" s="8"/>
      <c r="Z7" s="41"/>
      <c r="AA7" s="32">
        <v>1</v>
      </c>
      <c r="AB7" s="32"/>
      <c r="AC7" s="32">
        <v>4</v>
      </c>
      <c r="AD7" s="36">
        <v>20</v>
      </c>
      <c r="AE7" s="47" t="s">
        <v>143</v>
      </c>
      <c r="AF7" s="48" t="s">
        <v>84</v>
      </c>
      <c r="AG7" s="48" t="s">
        <v>83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135</v>
      </c>
      <c r="F8" s="8" t="s">
        <v>141</v>
      </c>
      <c r="G8" s="9">
        <v>5800</v>
      </c>
      <c r="H8" s="9">
        <v>2000</v>
      </c>
      <c r="I8" s="55">
        <v>1000</v>
      </c>
      <c r="J8" s="21">
        <f t="shared" si="6"/>
        <v>82600</v>
      </c>
      <c r="K8" s="8" t="s">
        <v>142</v>
      </c>
      <c r="L8" s="9">
        <v>-5800</v>
      </c>
      <c r="M8" s="9">
        <v>-1000</v>
      </c>
      <c r="N8" s="55">
        <v>-1000</v>
      </c>
      <c r="O8" s="21">
        <f t="shared" si="7"/>
        <v>4100</v>
      </c>
      <c r="P8" s="8"/>
      <c r="Q8" s="9"/>
      <c r="R8" s="9">
        <v>-1000</v>
      </c>
      <c r="S8" s="55"/>
      <c r="T8" s="21">
        <f t="shared" si="8"/>
        <v>18300</v>
      </c>
      <c r="U8" s="60">
        <f t="shared" si="0"/>
        <v>47.6</v>
      </c>
      <c r="V8" s="61">
        <f t="shared" si="1"/>
        <v>-30.9</v>
      </c>
      <c r="W8" s="62">
        <f t="shared" si="2"/>
        <v>-16.7</v>
      </c>
      <c r="Y8" s="8"/>
      <c r="Z8" s="41"/>
      <c r="AA8" s="32"/>
      <c r="AB8" s="32">
        <v>1</v>
      </c>
      <c r="AC8" s="32">
        <v>3</v>
      </c>
      <c r="AD8" s="36">
        <v>30</v>
      </c>
      <c r="AE8" s="47" t="s">
        <v>105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2</v>
      </c>
      <c r="D9" s="18">
        <f t="shared" si="5"/>
        <v>0</v>
      </c>
      <c r="E9" s="4" t="s">
        <v>135</v>
      </c>
      <c r="F9" s="8" t="s">
        <v>145</v>
      </c>
      <c r="G9" s="9">
        <v>-2500</v>
      </c>
      <c r="H9" s="9"/>
      <c r="I9" s="55">
        <v>-1000</v>
      </c>
      <c r="J9" s="21">
        <f t="shared" si="6"/>
        <v>79100</v>
      </c>
      <c r="K9" s="8" t="s">
        <v>146</v>
      </c>
      <c r="L9" s="9">
        <v>4000</v>
      </c>
      <c r="M9" s="9"/>
      <c r="N9" s="55">
        <v>2000</v>
      </c>
      <c r="O9" s="21">
        <f t="shared" si="7"/>
        <v>10100</v>
      </c>
      <c r="P9" s="8" t="s">
        <v>145</v>
      </c>
      <c r="Q9" s="9">
        <v>-1500</v>
      </c>
      <c r="R9" s="9"/>
      <c r="S9" s="55">
        <v>-1000</v>
      </c>
      <c r="T9" s="21">
        <f t="shared" si="8"/>
        <v>15800</v>
      </c>
      <c r="U9" s="60">
        <f t="shared" si="0"/>
        <v>44.1</v>
      </c>
      <c r="V9" s="61">
        <f t="shared" si="1"/>
        <v>-24.9</v>
      </c>
      <c r="W9" s="62">
        <f t="shared" si="2"/>
        <v>-19.2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3</v>
      </c>
      <c r="AY9" s="36">
        <v>30</v>
      </c>
      <c r="AZ9" s="47" t="s">
        <v>143</v>
      </c>
      <c r="BA9" s="48" t="s">
        <v>83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156</v>
      </c>
      <c r="F10" s="8" t="s">
        <v>142</v>
      </c>
      <c r="G10" s="9">
        <v>-12000</v>
      </c>
      <c r="H10" s="9">
        <v>-1000</v>
      </c>
      <c r="I10" s="55">
        <v>0</v>
      </c>
      <c r="J10" s="21">
        <f t="shared" si="6"/>
        <v>66100</v>
      </c>
      <c r="K10" s="8" t="s">
        <v>141</v>
      </c>
      <c r="L10" s="9">
        <v>12000</v>
      </c>
      <c r="M10" s="9">
        <v>1000</v>
      </c>
      <c r="N10" s="55">
        <v>0</v>
      </c>
      <c r="O10" s="21">
        <f t="shared" si="7"/>
        <v>23100</v>
      </c>
      <c r="P10" s="8"/>
      <c r="Q10" s="9"/>
      <c r="R10" s="9"/>
      <c r="S10" s="55"/>
      <c r="T10" s="21">
        <f t="shared" si="8"/>
        <v>15800</v>
      </c>
      <c r="U10" s="60">
        <f t="shared" si="0"/>
        <v>31.1</v>
      </c>
      <c r="V10" s="61">
        <f t="shared" si="1"/>
        <v>-11.9</v>
      </c>
      <c r="W10" s="62">
        <f t="shared" si="2"/>
        <v>-19.2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4</v>
      </c>
      <c r="AY10" s="36">
        <v>40</v>
      </c>
      <c r="AZ10" s="47" t="s">
        <v>143</v>
      </c>
      <c r="BA10" s="48" t="s">
        <v>87</v>
      </c>
      <c r="BB10" s="48" t="s">
        <v>82</v>
      </c>
      <c r="BC10" s="48" t="s">
        <v>82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1</v>
      </c>
      <c r="D11" s="18">
        <f t="shared" si="5"/>
        <v>0</v>
      </c>
      <c r="E11" s="4" t="s">
        <v>156</v>
      </c>
      <c r="F11" s="8" t="s">
        <v>146</v>
      </c>
      <c r="G11" s="9">
        <v>8000</v>
      </c>
      <c r="H11" s="9"/>
      <c r="I11" s="55">
        <v>1000</v>
      </c>
      <c r="J11" s="21">
        <f t="shared" si="6"/>
        <v>75100</v>
      </c>
      <c r="K11" s="8" t="s">
        <v>145</v>
      </c>
      <c r="L11" s="9">
        <v>-5000</v>
      </c>
      <c r="M11" s="9"/>
      <c r="N11" s="55">
        <v>-500</v>
      </c>
      <c r="O11" s="21">
        <f t="shared" si="7"/>
        <v>17600</v>
      </c>
      <c r="P11" s="8" t="s">
        <v>145</v>
      </c>
      <c r="Q11" s="9">
        <v>-3000</v>
      </c>
      <c r="R11" s="9"/>
      <c r="S11" s="55">
        <v>-500</v>
      </c>
      <c r="T11" s="21">
        <f t="shared" si="8"/>
        <v>12300</v>
      </c>
      <c r="U11" s="60">
        <f t="shared" si="0"/>
        <v>40.1</v>
      </c>
      <c r="V11" s="61">
        <f t="shared" si="1"/>
        <v>-17.399999999999999</v>
      </c>
      <c r="W11" s="62">
        <f t="shared" si="2"/>
        <v>-22.7</v>
      </c>
      <c r="Y11" s="8"/>
      <c r="Z11" s="41"/>
      <c r="AA11" s="32">
        <v>1</v>
      </c>
      <c r="AB11" s="32"/>
      <c r="AC11" s="32">
        <v>4</v>
      </c>
      <c r="AD11" s="36">
        <v>30</v>
      </c>
      <c r="AE11" s="47" t="s">
        <v>143</v>
      </c>
      <c r="AF11" s="48" t="s">
        <v>83</v>
      </c>
      <c r="AG11" s="48" t="s">
        <v>82</v>
      </c>
      <c r="AH11" s="48" t="s">
        <v>80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142</v>
      </c>
      <c r="G12" s="9">
        <v>-12000</v>
      </c>
      <c r="H12" s="9"/>
      <c r="I12" s="55">
        <v>0</v>
      </c>
      <c r="J12" s="21">
        <f t="shared" si="6"/>
        <v>63100</v>
      </c>
      <c r="K12" s="8"/>
      <c r="L12" s="9"/>
      <c r="M12" s="9"/>
      <c r="N12" s="55"/>
      <c r="O12" s="21">
        <f t="shared" si="7"/>
        <v>17600</v>
      </c>
      <c r="P12" s="8" t="s">
        <v>141</v>
      </c>
      <c r="Q12" s="9">
        <v>12000</v>
      </c>
      <c r="R12" s="9"/>
      <c r="S12" s="55">
        <v>0</v>
      </c>
      <c r="T12" s="21">
        <f t="shared" si="8"/>
        <v>24300</v>
      </c>
      <c r="U12" s="60">
        <f t="shared" si="0"/>
        <v>28.1</v>
      </c>
      <c r="V12" s="61">
        <f t="shared" si="1"/>
        <v>-17.399999999999999</v>
      </c>
      <c r="W12" s="62">
        <f t="shared" si="2"/>
        <v>-10.7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5</v>
      </c>
      <c r="BT12" s="36" t="s">
        <v>144</v>
      </c>
      <c r="BU12" s="47" t="s">
        <v>105</v>
      </c>
      <c r="BV12" s="48" t="s">
        <v>87</v>
      </c>
      <c r="BW12" s="48" t="s">
        <v>87</v>
      </c>
      <c r="BX12" s="48" t="s">
        <v>82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1</v>
      </c>
      <c r="D13" s="18">
        <f t="shared" si="5"/>
        <v>0</v>
      </c>
      <c r="E13" s="4" t="s">
        <v>139</v>
      </c>
      <c r="F13" s="8"/>
      <c r="G13" s="9"/>
      <c r="H13" s="9"/>
      <c r="I13" s="55"/>
      <c r="J13" s="21">
        <f t="shared" si="6"/>
        <v>63100</v>
      </c>
      <c r="K13" s="8" t="s">
        <v>142</v>
      </c>
      <c r="L13" s="9">
        <v>-12000</v>
      </c>
      <c r="M13" s="9"/>
      <c r="N13" s="55">
        <v>-1000</v>
      </c>
      <c r="O13" s="21">
        <f t="shared" si="7"/>
        <v>4600</v>
      </c>
      <c r="P13" s="8" t="s">
        <v>141</v>
      </c>
      <c r="Q13" s="9">
        <v>12000</v>
      </c>
      <c r="R13" s="9"/>
      <c r="S13" s="55">
        <v>1000</v>
      </c>
      <c r="T13" s="21">
        <f t="shared" si="8"/>
        <v>37300</v>
      </c>
      <c r="U13" s="60">
        <f t="shared" si="0"/>
        <v>28.1</v>
      </c>
      <c r="V13" s="61">
        <f t="shared" si="1"/>
        <v>-30.4</v>
      </c>
      <c r="W13" s="62">
        <f t="shared" si="2"/>
        <v>2.2999999999999998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40</v>
      </c>
      <c r="BU13" s="47" t="s">
        <v>143</v>
      </c>
      <c r="BV13" s="48" t="s">
        <v>151</v>
      </c>
      <c r="BW13" s="48" t="s">
        <v>82</v>
      </c>
      <c r="BX13" s="48" t="s">
        <v>82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2</v>
      </c>
      <c r="C14" s="18">
        <f t="shared" si="4"/>
        <v>2</v>
      </c>
      <c r="D14" s="18">
        <f t="shared" si="5"/>
        <v>0</v>
      </c>
      <c r="E14" s="4" t="s">
        <v>139</v>
      </c>
      <c r="F14" s="8" t="s">
        <v>141</v>
      </c>
      <c r="G14" s="9">
        <v>8000</v>
      </c>
      <c r="H14" s="9">
        <v>1000</v>
      </c>
      <c r="I14" s="55">
        <v>2000</v>
      </c>
      <c r="J14" s="21">
        <f t="shared" si="6"/>
        <v>74100</v>
      </c>
      <c r="K14" s="8"/>
      <c r="L14" s="9"/>
      <c r="M14" s="9"/>
      <c r="N14" s="55"/>
      <c r="O14" s="21">
        <f t="shared" si="7"/>
        <v>4600</v>
      </c>
      <c r="P14" s="8" t="s">
        <v>142</v>
      </c>
      <c r="Q14" s="9">
        <v>-8000</v>
      </c>
      <c r="R14" s="9">
        <v>-1000</v>
      </c>
      <c r="S14" s="55">
        <v>-2000</v>
      </c>
      <c r="T14" s="21">
        <f t="shared" si="8"/>
        <v>26300</v>
      </c>
      <c r="U14" s="60">
        <f t="shared" si="0"/>
        <v>39.1</v>
      </c>
      <c r="V14" s="61">
        <f t="shared" si="1"/>
        <v>-30.4</v>
      </c>
      <c r="W14" s="62">
        <f t="shared" si="2"/>
        <v>-8.6999999999999993</v>
      </c>
      <c r="Y14" s="8"/>
      <c r="Z14" s="41"/>
      <c r="AA14" s="32">
        <v>1</v>
      </c>
      <c r="AB14" s="32"/>
      <c r="AC14" s="32">
        <v>4</v>
      </c>
      <c r="AD14" s="36">
        <v>40</v>
      </c>
      <c r="AE14" s="47" t="s">
        <v>143</v>
      </c>
      <c r="AF14" s="48" t="s">
        <v>151</v>
      </c>
      <c r="AG14" s="48" t="s">
        <v>85</v>
      </c>
      <c r="AH14" s="48" t="s">
        <v>82</v>
      </c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3</v>
      </c>
      <c r="C15" s="18">
        <f t="shared" si="4"/>
        <v>0</v>
      </c>
      <c r="D15" s="18">
        <f t="shared" si="5"/>
        <v>0</v>
      </c>
      <c r="E15" s="4" t="s">
        <v>135</v>
      </c>
      <c r="F15" s="8" t="s">
        <v>142</v>
      </c>
      <c r="G15" s="9">
        <v>-8000</v>
      </c>
      <c r="H15" s="9"/>
      <c r="I15" s="55">
        <v>0</v>
      </c>
      <c r="J15" s="21">
        <f t="shared" si="6"/>
        <v>66100</v>
      </c>
      <c r="K15" s="8"/>
      <c r="L15" s="9"/>
      <c r="M15" s="9"/>
      <c r="N15" s="55"/>
      <c r="O15" s="21">
        <f t="shared" si="7"/>
        <v>4600</v>
      </c>
      <c r="P15" s="8" t="s">
        <v>141</v>
      </c>
      <c r="Q15" s="9">
        <v>8000</v>
      </c>
      <c r="R15" s="9"/>
      <c r="S15" s="55">
        <v>0</v>
      </c>
      <c r="T15" s="21">
        <f t="shared" si="8"/>
        <v>34300</v>
      </c>
      <c r="U15" s="60">
        <f t="shared" si="0"/>
        <v>31.1</v>
      </c>
      <c r="V15" s="61">
        <f t="shared" si="1"/>
        <v>-30.4</v>
      </c>
      <c r="W15" s="62">
        <f t="shared" si="2"/>
        <v>-0.7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>
        <v>4</v>
      </c>
      <c r="BT15" s="36">
        <v>30</v>
      </c>
      <c r="BU15" s="47" t="s">
        <v>105</v>
      </c>
      <c r="BV15" s="48" t="s">
        <v>87</v>
      </c>
      <c r="BW15" s="48" t="s">
        <v>87</v>
      </c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66B777AC-B41A-43C5-8101-004CB6BF4F6F}">
      <formula1>"ロン,ツモ,放銃,ツモ支払,流局,チョンボ"</formula1>
    </dataValidation>
    <dataValidation type="list" allowBlank="1" showInputMessage="1" showErrorMessage="1" sqref="E4:E30" xr:uid="{98B2F373-F529-4DC0-9A2F-7DBD6B63D60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4F19-6443-4E6F-80C5-20BA4DA89FB9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/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154</v>
      </c>
      <c r="F4" s="8" t="s">
        <v>148</v>
      </c>
      <c r="G4" s="9">
        <v>0</v>
      </c>
      <c r="H4" s="9"/>
      <c r="I4" s="55"/>
      <c r="J4" s="21">
        <f>IF(COUNTA($F4,$K4,$P4)&gt;0,J3+SUM(G4:I4),"")</f>
        <v>35000</v>
      </c>
      <c r="K4" s="8" t="s">
        <v>148</v>
      </c>
      <c r="L4" s="9">
        <v>0</v>
      </c>
      <c r="M4" s="9"/>
      <c r="N4" s="55"/>
      <c r="O4" s="21">
        <f>IF(COUNTA($F4,$K4,$P4)&gt;0,O3+SUM(L4:N4),"")</f>
        <v>35000</v>
      </c>
      <c r="P4" s="8" t="s">
        <v>148</v>
      </c>
      <c r="Q4" s="9">
        <v>0</v>
      </c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0</v>
      </c>
      <c r="V4" s="61">
        <f t="shared" ref="V4:V30" si="1">IF($O4="","",ROUND(($O4-$O$3)/1000,1))</f>
        <v>0</v>
      </c>
      <c r="W4" s="62">
        <f t="shared" ref="W4:W30" si="2">IF($T4="","",ROUND(($T4-$T$3)/1000,1))</f>
        <v>-1</v>
      </c>
      <c r="Y4" s="8" t="s">
        <v>147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147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147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154</v>
      </c>
      <c r="F5" s="8" t="s">
        <v>146</v>
      </c>
      <c r="G5" s="9">
        <v>8000</v>
      </c>
      <c r="H5" s="9">
        <v>1000</v>
      </c>
      <c r="I5" s="55">
        <v>1000</v>
      </c>
      <c r="J5" s="21">
        <f t="shared" ref="J5:J30" si="6">IF(COUNTA($F5,$K5,$P5)&gt;0,J4+SUM(G5:I5),"")</f>
        <v>45000</v>
      </c>
      <c r="K5" s="8" t="s">
        <v>145</v>
      </c>
      <c r="L5" s="9">
        <v>-5000</v>
      </c>
      <c r="M5" s="9"/>
      <c r="N5" s="55">
        <v>-500</v>
      </c>
      <c r="O5" s="21">
        <f t="shared" ref="O5:O30" si="7">IF(COUNTA($F5,$K5,$P5)&gt;0,O4+SUM(L5:N5),"")</f>
        <v>29500</v>
      </c>
      <c r="P5" s="8" t="s">
        <v>145</v>
      </c>
      <c r="Q5" s="9">
        <v>-3000</v>
      </c>
      <c r="R5" s="9"/>
      <c r="S5" s="55">
        <v>-500</v>
      </c>
      <c r="T5" s="21">
        <f t="shared" ref="T5:T30" si="8">IF(COUNTA($F5,$K5,$P5)&gt;0,T4+SUM(Q5:S5),"")</f>
        <v>30500</v>
      </c>
      <c r="U5" s="60">
        <f t="shared" si="0"/>
        <v>10</v>
      </c>
      <c r="V5" s="61">
        <f t="shared" si="1"/>
        <v>-5.5</v>
      </c>
      <c r="W5" s="62">
        <f t="shared" si="2"/>
        <v>-4.5</v>
      </c>
      <c r="Y5" s="8"/>
      <c r="Z5" s="41"/>
      <c r="AA5" s="32"/>
      <c r="AB5" s="32">
        <v>1</v>
      </c>
      <c r="AC5" s="32">
        <v>4</v>
      </c>
      <c r="AD5" s="36">
        <v>30</v>
      </c>
      <c r="AE5" s="47" t="s">
        <v>105</v>
      </c>
      <c r="AF5" s="48" t="s">
        <v>87</v>
      </c>
      <c r="AG5" s="48" t="s">
        <v>87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146</v>
      </c>
      <c r="G6" s="9">
        <v>12000</v>
      </c>
      <c r="H6" s="9"/>
      <c r="I6" s="55">
        <v>0</v>
      </c>
      <c r="J6" s="21">
        <f t="shared" si="6"/>
        <v>57000</v>
      </c>
      <c r="K6" s="8" t="s">
        <v>145</v>
      </c>
      <c r="L6" s="9">
        <v>-4500</v>
      </c>
      <c r="M6" s="9"/>
      <c r="N6" s="55">
        <v>0</v>
      </c>
      <c r="O6" s="21">
        <f t="shared" si="7"/>
        <v>25000</v>
      </c>
      <c r="P6" s="8" t="s">
        <v>145</v>
      </c>
      <c r="Q6" s="9">
        <v>-7500</v>
      </c>
      <c r="R6" s="9"/>
      <c r="S6" s="55">
        <v>0</v>
      </c>
      <c r="T6" s="21">
        <f t="shared" si="8"/>
        <v>23000</v>
      </c>
      <c r="U6" s="60">
        <f t="shared" si="0"/>
        <v>22</v>
      </c>
      <c r="V6" s="61">
        <f t="shared" si="1"/>
        <v>-10</v>
      </c>
      <c r="W6" s="62">
        <f t="shared" si="2"/>
        <v>-12</v>
      </c>
      <c r="Y6" s="8"/>
      <c r="Z6" s="41"/>
      <c r="AA6" s="32">
        <v>1</v>
      </c>
      <c r="AB6" s="32"/>
      <c r="AC6" s="32">
        <v>6</v>
      </c>
      <c r="AD6" s="36" t="s">
        <v>144</v>
      </c>
      <c r="AE6" s="47" t="s">
        <v>143</v>
      </c>
      <c r="AF6" s="48" t="s">
        <v>83</v>
      </c>
      <c r="AG6" s="48" t="s">
        <v>82</v>
      </c>
      <c r="AH6" s="48" t="s">
        <v>82</v>
      </c>
      <c r="AI6" s="48" t="s">
        <v>81</v>
      </c>
      <c r="AJ6" s="48" t="s">
        <v>81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142</v>
      </c>
      <c r="G7" s="9">
        <v>-8000</v>
      </c>
      <c r="H7" s="9"/>
      <c r="I7" s="55">
        <v>0</v>
      </c>
      <c r="J7" s="21">
        <f t="shared" si="6"/>
        <v>49000</v>
      </c>
      <c r="K7" s="8"/>
      <c r="L7" s="9"/>
      <c r="M7" s="9"/>
      <c r="N7" s="55"/>
      <c r="O7" s="21">
        <f t="shared" si="7"/>
        <v>25000</v>
      </c>
      <c r="P7" s="8" t="s">
        <v>141</v>
      </c>
      <c r="Q7" s="9">
        <v>8000</v>
      </c>
      <c r="R7" s="9"/>
      <c r="S7" s="55">
        <v>0</v>
      </c>
      <c r="T7" s="21">
        <f t="shared" si="8"/>
        <v>31000</v>
      </c>
      <c r="U7" s="60">
        <f t="shared" si="0"/>
        <v>14</v>
      </c>
      <c r="V7" s="61">
        <f t="shared" si="1"/>
        <v>-10</v>
      </c>
      <c r="W7" s="62">
        <f t="shared" si="2"/>
        <v>-4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144</v>
      </c>
      <c r="BU7" s="47" t="s">
        <v>143</v>
      </c>
      <c r="BV7" s="48" t="s">
        <v>82</v>
      </c>
      <c r="BW7" s="48" t="s">
        <v>80</v>
      </c>
      <c r="BX7" s="48" t="s">
        <v>80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154</v>
      </c>
      <c r="F8" s="8" t="s">
        <v>145</v>
      </c>
      <c r="G8" s="9">
        <v>-800</v>
      </c>
      <c r="H8" s="9"/>
      <c r="I8" s="55">
        <v>0</v>
      </c>
      <c r="J8" s="21">
        <f t="shared" si="6"/>
        <v>48200</v>
      </c>
      <c r="K8" s="8" t="s">
        <v>145</v>
      </c>
      <c r="L8" s="9">
        <v>-1300</v>
      </c>
      <c r="M8" s="9"/>
      <c r="N8" s="55">
        <v>0</v>
      </c>
      <c r="O8" s="21">
        <f t="shared" si="7"/>
        <v>23700</v>
      </c>
      <c r="P8" s="8" t="s">
        <v>146</v>
      </c>
      <c r="Q8" s="9">
        <v>2100</v>
      </c>
      <c r="R8" s="9"/>
      <c r="S8" s="55">
        <v>0</v>
      </c>
      <c r="T8" s="21">
        <f t="shared" si="8"/>
        <v>33100</v>
      </c>
      <c r="U8" s="60">
        <f t="shared" si="0"/>
        <v>13.2</v>
      </c>
      <c r="V8" s="61">
        <f t="shared" si="1"/>
        <v>-11.3</v>
      </c>
      <c r="W8" s="62">
        <f t="shared" si="2"/>
        <v>-1.9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87</v>
      </c>
      <c r="BV8" s="48" t="s">
        <v>87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141</v>
      </c>
      <c r="G9" s="9">
        <v>8000</v>
      </c>
      <c r="H9" s="9">
        <v>2000</v>
      </c>
      <c r="I9" s="55">
        <v>0</v>
      </c>
      <c r="J9" s="21">
        <f t="shared" si="6"/>
        <v>58200</v>
      </c>
      <c r="K9" s="8" t="s">
        <v>142</v>
      </c>
      <c r="L9" s="9">
        <v>-8000</v>
      </c>
      <c r="M9" s="9">
        <v>-1000</v>
      </c>
      <c r="N9" s="55">
        <v>0</v>
      </c>
      <c r="O9" s="21">
        <f t="shared" si="7"/>
        <v>14700</v>
      </c>
      <c r="P9" s="8"/>
      <c r="Q9" s="9"/>
      <c r="R9" s="9">
        <v>-1000</v>
      </c>
      <c r="S9" s="55"/>
      <c r="T9" s="21">
        <f t="shared" si="8"/>
        <v>32100</v>
      </c>
      <c r="U9" s="60">
        <f t="shared" si="0"/>
        <v>23.2</v>
      </c>
      <c r="V9" s="61">
        <f t="shared" si="1"/>
        <v>-20.3</v>
      </c>
      <c r="W9" s="62">
        <f t="shared" si="2"/>
        <v>-2.9</v>
      </c>
      <c r="Y9" s="8"/>
      <c r="Z9" s="41"/>
      <c r="AA9" s="32">
        <v>1</v>
      </c>
      <c r="AB9" s="32"/>
      <c r="AC9" s="32">
        <v>4</v>
      </c>
      <c r="AD9" s="36">
        <v>30</v>
      </c>
      <c r="AE9" s="47" t="s">
        <v>143</v>
      </c>
      <c r="AF9" s="48" t="s">
        <v>84</v>
      </c>
      <c r="AG9" s="48" t="s">
        <v>81</v>
      </c>
      <c r="AH9" s="48" t="s">
        <v>81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142</v>
      </c>
      <c r="G10" s="9">
        <v>-12000</v>
      </c>
      <c r="H10" s="9">
        <v>-1000</v>
      </c>
      <c r="I10" s="55">
        <v>0</v>
      </c>
      <c r="J10" s="21">
        <f t="shared" si="6"/>
        <v>45200</v>
      </c>
      <c r="K10" s="8"/>
      <c r="L10" s="9"/>
      <c r="M10" s="9"/>
      <c r="N10" s="55"/>
      <c r="O10" s="21">
        <f t="shared" si="7"/>
        <v>14700</v>
      </c>
      <c r="P10" s="8" t="s">
        <v>141</v>
      </c>
      <c r="Q10" s="9">
        <v>12000</v>
      </c>
      <c r="R10" s="9">
        <v>1000</v>
      </c>
      <c r="S10" s="55">
        <v>0</v>
      </c>
      <c r="T10" s="21">
        <f t="shared" si="8"/>
        <v>45100</v>
      </c>
      <c r="U10" s="60">
        <f t="shared" si="0"/>
        <v>10.199999999999999</v>
      </c>
      <c r="V10" s="61">
        <f t="shared" si="1"/>
        <v>-20.3</v>
      </c>
      <c r="W10" s="62">
        <f t="shared" si="2"/>
        <v>10.1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144</v>
      </c>
      <c r="BU10" s="47" t="s">
        <v>143</v>
      </c>
      <c r="BV10" s="48" t="s">
        <v>151</v>
      </c>
      <c r="BW10" s="48" t="s">
        <v>82</v>
      </c>
      <c r="BX10" s="48" t="s">
        <v>105</v>
      </c>
      <c r="BY10" s="48" t="s">
        <v>85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AE4DD75-3E6C-4273-AD87-A3A1A9D1B774}">
      <formula1>$U$2:$W$2</formula1>
    </dataValidation>
    <dataValidation type="list" showInputMessage="1" showErrorMessage="1" sqref="K4:K30 P4:P30 F4:F30" xr:uid="{82A7FBDD-F145-4ACF-AF93-3E4EDF1A86B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BAAED-7992-443F-9369-5F84484818A8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/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3200</v>
      </c>
      <c r="H4" s="9">
        <v>1000</v>
      </c>
      <c r="I4" s="55">
        <v>0</v>
      </c>
      <c r="J4" s="21">
        <f>IF(COUNTA($F4,$K4,$P4)&gt;0,J3+SUM(G4:I4),"")</f>
        <v>39200</v>
      </c>
      <c r="K4" s="8" t="s">
        <v>142</v>
      </c>
      <c r="L4" s="9">
        <v>-3200</v>
      </c>
      <c r="M4" s="9"/>
      <c r="N4" s="55">
        <v>0</v>
      </c>
      <c r="O4" s="21">
        <f>IF(COUNTA($F4,$K4,$P4)&gt;0,O3+SUM(L4:N4),"")</f>
        <v>31800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4.2</v>
      </c>
      <c r="V4" s="61">
        <f t="shared" ref="V4:V30" si="1">IF($O4="","",ROUND(($O4-$O$3)/1000,1))</f>
        <v>-3.2</v>
      </c>
      <c r="W4" s="62">
        <f t="shared" ref="W4:W30" si="2">IF($T4="","",ROUND(($T4-$T$3)/1000,1))</f>
        <v>-1</v>
      </c>
      <c r="Y4" s="8"/>
      <c r="Z4" s="41"/>
      <c r="AA4" s="32"/>
      <c r="AB4" s="32"/>
      <c r="AC4" s="32">
        <v>3</v>
      </c>
      <c r="AD4" s="36">
        <v>25</v>
      </c>
      <c r="AE4" s="47" t="s">
        <v>102</v>
      </c>
      <c r="AF4" s="48" t="s">
        <v>82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6">IF(COUNTA($F5,$K5,$P5)&gt;0,J4+SUM(G5:I5),"")</f>
        <v>39200</v>
      </c>
      <c r="K5" s="8" t="s">
        <v>141</v>
      </c>
      <c r="L5" s="9">
        <v>12000</v>
      </c>
      <c r="M5" s="9"/>
      <c r="N5" s="55">
        <v>0</v>
      </c>
      <c r="O5" s="21">
        <f t="shared" ref="O5:O30" si="7">IF(COUNTA($F5,$K5,$P5)&gt;0,O4+SUM(L5:N5),"")</f>
        <v>43800</v>
      </c>
      <c r="P5" s="8" t="s">
        <v>142</v>
      </c>
      <c r="Q5" s="9">
        <v>-12000</v>
      </c>
      <c r="R5" s="9"/>
      <c r="S5" s="55">
        <v>0</v>
      </c>
      <c r="T5" s="21">
        <f t="shared" ref="T5:T30" si="8">IF(COUNTA($F5,$K5,$P5)&gt;0,T4+SUM(Q5:S5),"")</f>
        <v>22000</v>
      </c>
      <c r="U5" s="60">
        <f t="shared" si="0"/>
        <v>4.2</v>
      </c>
      <c r="V5" s="61">
        <f t="shared" si="1"/>
        <v>8.8000000000000007</v>
      </c>
      <c r="W5" s="62">
        <f t="shared" si="2"/>
        <v>-13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7</v>
      </c>
      <c r="AY5" s="36" t="s">
        <v>144</v>
      </c>
      <c r="AZ5" s="47" t="s">
        <v>80</v>
      </c>
      <c r="BA5" s="48" t="s">
        <v>80</v>
      </c>
      <c r="BB5" s="48" t="s">
        <v>80</v>
      </c>
      <c r="BC5" s="48" t="s">
        <v>143</v>
      </c>
      <c r="BD5" s="48" t="s">
        <v>82</v>
      </c>
      <c r="BE5" s="48" t="s">
        <v>82</v>
      </c>
      <c r="BF5" s="48" t="s">
        <v>84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154</v>
      </c>
      <c r="F6" s="8" t="s">
        <v>145</v>
      </c>
      <c r="G6" s="9">
        <v>-12000</v>
      </c>
      <c r="H6" s="9"/>
      <c r="I6" s="55">
        <v>0</v>
      </c>
      <c r="J6" s="21">
        <f t="shared" si="6"/>
        <v>27200</v>
      </c>
      <c r="K6" s="8" t="s">
        <v>146</v>
      </c>
      <c r="L6" s="9">
        <v>24000</v>
      </c>
      <c r="M6" s="9">
        <v>1000</v>
      </c>
      <c r="N6" s="55">
        <v>0</v>
      </c>
      <c r="O6" s="21">
        <f t="shared" si="7"/>
        <v>68800</v>
      </c>
      <c r="P6" s="8" t="s">
        <v>145</v>
      </c>
      <c r="Q6" s="9">
        <v>-12000</v>
      </c>
      <c r="R6" s="9">
        <v>-1000</v>
      </c>
      <c r="S6" s="55">
        <v>0</v>
      </c>
      <c r="T6" s="21">
        <f t="shared" si="8"/>
        <v>9000</v>
      </c>
      <c r="U6" s="60">
        <f t="shared" si="0"/>
        <v>-7.8</v>
      </c>
      <c r="V6" s="61">
        <f t="shared" si="1"/>
        <v>33.799999999999997</v>
      </c>
      <c r="W6" s="62">
        <f t="shared" si="2"/>
        <v>-26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9</v>
      </c>
      <c r="AY6" s="36" t="s">
        <v>144</v>
      </c>
      <c r="AZ6" s="47" t="s">
        <v>143</v>
      </c>
      <c r="BA6" s="48" t="s">
        <v>83</v>
      </c>
      <c r="BB6" s="48" t="s">
        <v>151</v>
      </c>
      <c r="BC6" s="48" t="s">
        <v>105</v>
      </c>
      <c r="BD6" s="48" t="s">
        <v>80</v>
      </c>
      <c r="BE6" s="48" t="s">
        <v>80</v>
      </c>
      <c r="BF6" s="48" t="s">
        <v>85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154</v>
      </c>
      <c r="F7" s="8"/>
      <c r="G7" s="9"/>
      <c r="H7" s="9"/>
      <c r="I7" s="55"/>
      <c r="J7" s="21">
        <f t="shared" si="6"/>
        <v>27200</v>
      </c>
      <c r="K7" s="8" t="s">
        <v>142</v>
      </c>
      <c r="L7" s="9">
        <v>-16000</v>
      </c>
      <c r="M7" s="9"/>
      <c r="N7" s="55">
        <v>-1000</v>
      </c>
      <c r="O7" s="21">
        <f t="shared" si="7"/>
        <v>51800</v>
      </c>
      <c r="P7" s="8" t="s">
        <v>141</v>
      </c>
      <c r="Q7" s="9">
        <v>16000</v>
      </c>
      <c r="R7" s="9"/>
      <c r="S7" s="55">
        <v>1000</v>
      </c>
      <c r="T7" s="21">
        <f t="shared" si="8"/>
        <v>26000</v>
      </c>
      <c r="U7" s="60">
        <f t="shared" si="0"/>
        <v>-7.8</v>
      </c>
      <c r="V7" s="61">
        <f t="shared" si="1"/>
        <v>16.8</v>
      </c>
      <c r="W7" s="62">
        <f t="shared" si="2"/>
        <v>-9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9</v>
      </c>
      <c r="BT7" s="36" t="s">
        <v>144</v>
      </c>
      <c r="BU7" s="47" t="s">
        <v>80</v>
      </c>
      <c r="BV7" s="48" t="s">
        <v>80</v>
      </c>
      <c r="BW7" s="48" t="s">
        <v>80</v>
      </c>
      <c r="BX7" s="48" t="s">
        <v>80</v>
      </c>
      <c r="BY7" s="48" t="s">
        <v>80</v>
      </c>
      <c r="BZ7" s="48" t="s">
        <v>80</v>
      </c>
      <c r="CA7" s="48" t="s">
        <v>87</v>
      </c>
      <c r="CB7" s="48" t="s">
        <v>87</v>
      </c>
      <c r="CC7" s="48" t="s">
        <v>82</v>
      </c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145</v>
      </c>
      <c r="G8" s="9">
        <v>-4500</v>
      </c>
      <c r="H8" s="9"/>
      <c r="I8" s="55">
        <v>0</v>
      </c>
      <c r="J8" s="21">
        <f t="shared" si="6"/>
        <v>22700</v>
      </c>
      <c r="K8" s="8" t="s">
        <v>146</v>
      </c>
      <c r="L8" s="9">
        <v>12000</v>
      </c>
      <c r="M8" s="9"/>
      <c r="N8" s="55">
        <v>0</v>
      </c>
      <c r="O8" s="21">
        <f t="shared" si="7"/>
        <v>63800</v>
      </c>
      <c r="P8" s="8" t="s">
        <v>145</v>
      </c>
      <c r="Q8" s="9">
        <v>-7500</v>
      </c>
      <c r="R8" s="9"/>
      <c r="S8" s="55">
        <v>0</v>
      </c>
      <c r="T8" s="21">
        <f t="shared" si="8"/>
        <v>18500</v>
      </c>
      <c r="U8" s="60">
        <f t="shared" si="0"/>
        <v>-12.3</v>
      </c>
      <c r="V8" s="61">
        <f t="shared" si="1"/>
        <v>28.8</v>
      </c>
      <c r="W8" s="62">
        <f t="shared" si="2"/>
        <v>-16.5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6</v>
      </c>
      <c r="AY8" s="36" t="s">
        <v>144</v>
      </c>
      <c r="AZ8" s="47" t="s">
        <v>143</v>
      </c>
      <c r="BA8" s="48" t="s">
        <v>83</v>
      </c>
      <c r="BB8" s="48" t="s">
        <v>93</v>
      </c>
      <c r="BC8" s="48" t="s">
        <v>82</v>
      </c>
      <c r="BD8" s="48" t="s">
        <v>80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141</v>
      </c>
      <c r="G9" s="9">
        <v>18000</v>
      </c>
      <c r="H9" s="9"/>
      <c r="I9" s="55">
        <v>0</v>
      </c>
      <c r="J9" s="21">
        <f t="shared" si="6"/>
        <v>40700</v>
      </c>
      <c r="K9" s="8"/>
      <c r="L9" s="9"/>
      <c r="M9" s="9"/>
      <c r="N9" s="55"/>
      <c r="O9" s="21">
        <f t="shared" si="7"/>
        <v>63800</v>
      </c>
      <c r="P9" s="8" t="s">
        <v>142</v>
      </c>
      <c r="Q9" s="9">
        <v>-18000</v>
      </c>
      <c r="R9" s="9"/>
      <c r="S9" s="55">
        <v>0</v>
      </c>
      <c r="T9" s="21">
        <f t="shared" si="8"/>
        <v>500</v>
      </c>
      <c r="U9" s="60">
        <f t="shared" si="0"/>
        <v>5.7</v>
      </c>
      <c r="V9" s="61">
        <f t="shared" si="1"/>
        <v>28.8</v>
      </c>
      <c r="W9" s="62">
        <f t="shared" si="2"/>
        <v>-34.5</v>
      </c>
      <c r="Y9" s="8"/>
      <c r="Z9" s="41"/>
      <c r="AA9" s="32">
        <v>1</v>
      </c>
      <c r="AB9" s="32"/>
      <c r="AC9" s="32">
        <v>6</v>
      </c>
      <c r="AD9" s="36" t="s">
        <v>144</v>
      </c>
      <c r="AE9" s="47" t="s">
        <v>99</v>
      </c>
      <c r="AF9" s="48" t="s">
        <v>97</v>
      </c>
      <c r="AG9" s="48" t="s">
        <v>87</v>
      </c>
      <c r="AH9" s="48" t="s">
        <v>82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146</v>
      </c>
      <c r="G10" s="9">
        <v>1600</v>
      </c>
      <c r="H10" s="9"/>
      <c r="I10" s="55">
        <v>1000</v>
      </c>
      <c r="J10" s="21">
        <f t="shared" si="6"/>
        <v>43300</v>
      </c>
      <c r="K10" s="8" t="s">
        <v>145</v>
      </c>
      <c r="L10" s="9">
        <v>-800</v>
      </c>
      <c r="M10" s="9"/>
      <c r="N10" s="55">
        <v>-500</v>
      </c>
      <c r="O10" s="21">
        <f t="shared" si="7"/>
        <v>62500</v>
      </c>
      <c r="P10" s="8" t="s">
        <v>145</v>
      </c>
      <c r="Q10" s="9">
        <v>-800</v>
      </c>
      <c r="R10" s="9"/>
      <c r="S10" s="55">
        <v>-500</v>
      </c>
      <c r="T10" s="21">
        <f t="shared" si="8"/>
        <v>-800</v>
      </c>
      <c r="U10" s="60">
        <f t="shared" si="0"/>
        <v>8.3000000000000007</v>
      </c>
      <c r="V10" s="61">
        <f t="shared" si="1"/>
        <v>27.5</v>
      </c>
      <c r="W10" s="62">
        <f t="shared" si="2"/>
        <v>-35.799999999999997</v>
      </c>
      <c r="Y10" s="8"/>
      <c r="Z10" s="41"/>
      <c r="AA10" s="32"/>
      <c r="AB10" s="32"/>
      <c r="AC10" s="32">
        <v>1</v>
      </c>
      <c r="AD10" s="36">
        <v>30</v>
      </c>
      <c r="AE10" s="47" t="s">
        <v>83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4F229A34-5DCA-4853-9A3D-B3FF0A2CD528}">
      <formula1>"ロン,ツモ,放銃,ツモ支払,流局,チョンボ"</formula1>
    </dataValidation>
    <dataValidation type="list" allowBlank="1" showInputMessage="1" showErrorMessage="1" sqref="E4:E30" xr:uid="{99E18482-C32D-4FD1-BB92-A79A281D3FA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2740D-FE34-4AB0-931D-9B13B80E2631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/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5200</v>
      </c>
      <c r="H4" s="9">
        <v>1000</v>
      </c>
      <c r="I4" s="55">
        <v>0</v>
      </c>
      <c r="J4" s="21">
        <f>IF(COUNTA($F4,$K4,$P4)&gt;0,J3+SUM(G4:I4),"")</f>
        <v>41200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-5200</v>
      </c>
      <c r="R4" s="9">
        <v>-1000</v>
      </c>
      <c r="S4" s="55">
        <v>0</v>
      </c>
      <c r="T4" s="21">
        <f>IF(COUNTA($F4,$K4,$P4)&gt;0,T3+SUM(Q4:S4),"")</f>
        <v>28800</v>
      </c>
      <c r="U4" s="60">
        <f t="shared" ref="U4:U30" si="0">IF($J4="","",ROUND(($J4-$J$3)/1000,1))</f>
        <v>6.2</v>
      </c>
      <c r="V4" s="61">
        <f t="shared" ref="V4:V30" si="1">IF($O4="","",ROUND(($O4-$O$3)/1000,1))</f>
        <v>0</v>
      </c>
      <c r="W4" s="62">
        <f t="shared" ref="W4:W30" si="2">IF($T4="","",ROUND(($T4-$T$3)/1000,1))</f>
        <v>-6.2</v>
      </c>
      <c r="Y4" s="8"/>
      <c r="Z4" s="41"/>
      <c r="AA4" s="32">
        <v>1</v>
      </c>
      <c r="AB4" s="32"/>
      <c r="AC4" s="32">
        <v>3</v>
      </c>
      <c r="AD4" s="36">
        <v>40</v>
      </c>
      <c r="AE4" s="47" t="s">
        <v>143</v>
      </c>
      <c r="AF4" s="48" t="s">
        <v>86</v>
      </c>
      <c r="AG4" s="48" t="s">
        <v>85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148</v>
      </c>
      <c r="G5" s="9">
        <v>-1500</v>
      </c>
      <c r="H5" s="9"/>
      <c r="I5" s="55"/>
      <c r="J5" s="21">
        <f t="shared" ref="J5:J30" si="6">IF(COUNTA($F5,$K5,$P5)&gt;0,J4+SUM(G5:I5),"")</f>
        <v>39700</v>
      </c>
      <c r="K5" s="8" t="s">
        <v>148</v>
      </c>
      <c r="L5" s="9">
        <v>3000</v>
      </c>
      <c r="M5" s="9">
        <v>-1000</v>
      </c>
      <c r="N5" s="55"/>
      <c r="O5" s="21">
        <f t="shared" ref="O5:O30" si="7">IF(COUNTA($F5,$K5,$P5)&gt;0,O4+SUM(L5:N5),"")</f>
        <v>37000</v>
      </c>
      <c r="P5" s="8" t="s">
        <v>148</v>
      </c>
      <c r="Q5" s="9">
        <v>-1500</v>
      </c>
      <c r="R5" s="9"/>
      <c r="S5" s="55"/>
      <c r="T5" s="21">
        <f t="shared" ref="T5:T30" si="8">IF(COUNTA($F5,$K5,$P5)&gt;0,T4+SUM(Q5:S5),"")</f>
        <v>27300</v>
      </c>
      <c r="U5" s="60">
        <f t="shared" si="0"/>
        <v>4.7</v>
      </c>
      <c r="V5" s="61">
        <f t="shared" si="1"/>
        <v>2</v>
      </c>
      <c r="W5" s="62">
        <f t="shared" si="2"/>
        <v>-7.7</v>
      </c>
      <c r="Y5" s="8" t="s">
        <v>149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1</v>
      </c>
      <c r="E6" s="4" t="s">
        <v>154</v>
      </c>
      <c r="F6" s="8" t="s">
        <v>148</v>
      </c>
      <c r="G6" s="9">
        <v>-3000</v>
      </c>
      <c r="H6" s="9"/>
      <c r="I6" s="55"/>
      <c r="J6" s="21">
        <f t="shared" si="6"/>
        <v>36700</v>
      </c>
      <c r="K6" s="8" t="s">
        <v>148</v>
      </c>
      <c r="L6" s="9">
        <v>1500</v>
      </c>
      <c r="M6" s="9"/>
      <c r="N6" s="55"/>
      <c r="O6" s="21">
        <f t="shared" si="7"/>
        <v>38500</v>
      </c>
      <c r="P6" s="8" t="s">
        <v>148</v>
      </c>
      <c r="Q6" s="9">
        <v>1500</v>
      </c>
      <c r="R6" s="9"/>
      <c r="S6" s="55"/>
      <c r="T6" s="21">
        <f t="shared" si="8"/>
        <v>28800</v>
      </c>
      <c r="U6" s="60">
        <f t="shared" si="0"/>
        <v>1.7</v>
      </c>
      <c r="V6" s="61">
        <f t="shared" si="1"/>
        <v>3.5</v>
      </c>
      <c r="W6" s="62">
        <f t="shared" si="2"/>
        <v>-6.2</v>
      </c>
      <c r="Y6" s="8" t="s">
        <v>149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147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1</v>
      </c>
      <c r="E7" s="4" t="s">
        <v>154</v>
      </c>
      <c r="F7" s="8"/>
      <c r="G7" s="9"/>
      <c r="H7" s="9">
        <v>-1000</v>
      </c>
      <c r="I7" s="55"/>
      <c r="J7" s="21">
        <f t="shared" si="6"/>
        <v>35700</v>
      </c>
      <c r="K7" s="8" t="s">
        <v>142</v>
      </c>
      <c r="L7" s="9">
        <v>-5200</v>
      </c>
      <c r="M7" s="9"/>
      <c r="N7" s="55">
        <v>-1000</v>
      </c>
      <c r="O7" s="21">
        <f t="shared" si="7"/>
        <v>32300</v>
      </c>
      <c r="P7" s="8" t="s">
        <v>141</v>
      </c>
      <c r="Q7" s="9">
        <v>5200</v>
      </c>
      <c r="R7" s="9">
        <v>2000</v>
      </c>
      <c r="S7" s="55">
        <v>1000</v>
      </c>
      <c r="T7" s="21">
        <f t="shared" si="8"/>
        <v>37000</v>
      </c>
      <c r="U7" s="60">
        <f t="shared" si="0"/>
        <v>0.7</v>
      </c>
      <c r="V7" s="61">
        <f t="shared" si="1"/>
        <v>-2.7</v>
      </c>
      <c r="W7" s="62">
        <f t="shared" si="2"/>
        <v>2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40</v>
      </c>
      <c r="BU7" s="47" t="s">
        <v>143</v>
      </c>
      <c r="BV7" s="48" t="s">
        <v>81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142</v>
      </c>
      <c r="G8" s="9">
        <v>-2600</v>
      </c>
      <c r="H8" s="9">
        <v>-1000</v>
      </c>
      <c r="I8" s="55">
        <v>0</v>
      </c>
      <c r="J8" s="21">
        <f t="shared" si="6"/>
        <v>32100</v>
      </c>
      <c r="K8" s="8" t="s">
        <v>141</v>
      </c>
      <c r="L8" s="9">
        <v>2600</v>
      </c>
      <c r="M8" s="9">
        <v>1000</v>
      </c>
      <c r="N8" s="55">
        <v>0</v>
      </c>
      <c r="O8" s="21">
        <f t="shared" si="7"/>
        <v>35900</v>
      </c>
      <c r="P8" s="8"/>
      <c r="Q8" s="9"/>
      <c r="R8" s="9"/>
      <c r="S8" s="55"/>
      <c r="T8" s="21">
        <f t="shared" si="8"/>
        <v>37000</v>
      </c>
      <c r="U8" s="60">
        <f t="shared" si="0"/>
        <v>-2.9</v>
      </c>
      <c r="V8" s="61">
        <f t="shared" si="1"/>
        <v>0.9</v>
      </c>
      <c r="W8" s="62">
        <f t="shared" si="2"/>
        <v>2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2</v>
      </c>
      <c r="AY8" s="36">
        <v>40</v>
      </c>
      <c r="AZ8" s="47" t="s">
        <v>143</v>
      </c>
      <c r="BA8" s="48" t="s">
        <v>82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141</v>
      </c>
      <c r="G9" s="9">
        <v>12000</v>
      </c>
      <c r="H9" s="9">
        <v>1000</v>
      </c>
      <c r="I9" s="55">
        <v>0</v>
      </c>
      <c r="J9" s="21">
        <f t="shared" si="6"/>
        <v>45100</v>
      </c>
      <c r="K9" s="8" t="s">
        <v>142</v>
      </c>
      <c r="L9" s="9">
        <v>-12000</v>
      </c>
      <c r="M9" s="9">
        <v>-1000</v>
      </c>
      <c r="N9" s="55">
        <v>0</v>
      </c>
      <c r="O9" s="21">
        <f t="shared" si="7"/>
        <v>22900</v>
      </c>
      <c r="P9" s="8"/>
      <c r="Q9" s="9"/>
      <c r="R9" s="9"/>
      <c r="S9" s="55"/>
      <c r="T9" s="21">
        <f t="shared" si="8"/>
        <v>37000</v>
      </c>
      <c r="U9" s="60">
        <f t="shared" si="0"/>
        <v>10.1</v>
      </c>
      <c r="V9" s="61">
        <f t="shared" si="1"/>
        <v>-12.1</v>
      </c>
      <c r="W9" s="62">
        <f t="shared" si="2"/>
        <v>2</v>
      </c>
      <c r="Y9" s="8"/>
      <c r="Z9" s="41"/>
      <c r="AA9" s="32">
        <v>1</v>
      </c>
      <c r="AB9" s="32"/>
      <c r="AC9" s="32">
        <v>5</v>
      </c>
      <c r="AD9" s="36" t="s">
        <v>144</v>
      </c>
      <c r="AE9" s="47" t="s">
        <v>143</v>
      </c>
      <c r="AF9" s="48" t="s">
        <v>80</v>
      </c>
      <c r="AG9" s="48" t="s">
        <v>80</v>
      </c>
      <c r="AH9" s="48" t="s">
        <v>102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145</v>
      </c>
      <c r="G10" s="9">
        <v>-2500</v>
      </c>
      <c r="H10" s="9"/>
      <c r="I10" s="55">
        <v>-500</v>
      </c>
      <c r="J10" s="21">
        <f t="shared" si="6"/>
        <v>42100</v>
      </c>
      <c r="K10" s="8" t="s">
        <v>146</v>
      </c>
      <c r="L10" s="9">
        <v>4000</v>
      </c>
      <c r="M10" s="9"/>
      <c r="N10" s="55">
        <v>1000</v>
      </c>
      <c r="O10" s="21">
        <f t="shared" si="7"/>
        <v>27900</v>
      </c>
      <c r="P10" s="8" t="s">
        <v>145</v>
      </c>
      <c r="Q10" s="9">
        <v>-1500</v>
      </c>
      <c r="R10" s="9"/>
      <c r="S10" s="55">
        <v>-500</v>
      </c>
      <c r="T10" s="21">
        <f t="shared" si="8"/>
        <v>35000</v>
      </c>
      <c r="U10" s="60">
        <f t="shared" si="0"/>
        <v>7.1</v>
      </c>
      <c r="V10" s="61">
        <f t="shared" si="1"/>
        <v>-7.1</v>
      </c>
      <c r="W10" s="62">
        <f t="shared" si="2"/>
        <v>0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143</v>
      </c>
      <c r="BA10" s="48" t="s">
        <v>83</v>
      </c>
      <c r="BB10" s="48" t="s">
        <v>82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154</v>
      </c>
      <c r="F11" s="8" t="s">
        <v>158</v>
      </c>
      <c r="G11" s="9">
        <v>-8000</v>
      </c>
      <c r="H11" s="9">
        <v>-1000</v>
      </c>
      <c r="I11" s="55"/>
      <c r="J11" s="21">
        <f t="shared" si="6"/>
        <v>33100</v>
      </c>
      <c r="K11" s="8" t="s">
        <v>158</v>
      </c>
      <c r="L11" s="9">
        <v>5000</v>
      </c>
      <c r="M11" s="9">
        <v>-1000</v>
      </c>
      <c r="N11" s="55"/>
      <c r="O11" s="21">
        <f t="shared" si="7"/>
        <v>31900</v>
      </c>
      <c r="P11" s="8" t="s">
        <v>158</v>
      </c>
      <c r="Q11" s="9">
        <v>3000</v>
      </c>
      <c r="R11" s="9">
        <v>-1000</v>
      </c>
      <c r="S11" s="55"/>
      <c r="T11" s="21">
        <f t="shared" si="8"/>
        <v>37000</v>
      </c>
      <c r="U11" s="60">
        <f t="shared" si="0"/>
        <v>-1.9</v>
      </c>
      <c r="V11" s="61">
        <f t="shared" si="1"/>
        <v>-3.1</v>
      </c>
      <c r="W11" s="62">
        <f t="shared" si="2"/>
        <v>2</v>
      </c>
      <c r="Y11" s="8"/>
      <c r="Z11" s="41">
        <v>1</v>
      </c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3</v>
      </c>
      <c r="E12" s="4" t="s">
        <v>154</v>
      </c>
      <c r="F12" s="8"/>
      <c r="G12" s="9"/>
      <c r="H12" s="9"/>
      <c r="I12" s="55"/>
      <c r="J12" s="21">
        <f t="shared" si="6"/>
        <v>33100</v>
      </c>
      <c r="K12" s="8" t="s">
        <v>141</v>
      </c>
      <c r="L12" s="9">
        <v>5800</v>
      </c>
      <c r="M12" s="9">
        <v>3000</v>
      </c>
      <c r="N12" s="55">
        <v>0</v>
      </c>
      <c r="O12" s="21">
        <f t="shared" si="7"/>
        <v>40700</v>
      </c>
      <c r="P12" s="8" t="s">
        <v>142</v>
      </c>
      <c r="Q12" s="9">
        <v>-5800</v>
      </c>
      <c r="R12" s="9"/>
      <c r="S12" s="55">
        <v>0</v>
      </c>
      <c r="T12" s="21">
        <f t="shared" si="8"/>
        <v>31200</v>
      </c>
      <c r="U12" s="60">
        <f t="shared" si="0"/>
        <v>-1.9</v>
      </c>
      <c r="V12" s="61">
        <f t="shared" si="1"/>
        <v>5.7</v>
      </c>
      <c r="W12" s="62">
        <f t="shared" si="2"/>
        <v>-3.8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30</v>
      </c>
      <c r="AZ12" s="47" t="s">
        <v>87</v>
      </c>
      <c r="BA12" s="48" t="s">
        <v>80</v>
      </c>
      <c r="BB12" s="48" t="s">
        <v>80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0D83A6C-9F2F-4A72-AFBD-AAFD42BD9A77}">
      <formula1>$U$2:$W$2</formula1>
    </dataValidation>
    <dataValidation type="list" showInputMessage="1" showErrorMessage="1" sqref="K4:K30 P4:P30 F4:F30" xr:uid="{57288E94-0852-4944-B7BA-305DC23D03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2019-02-02T18:37:32Z</dcterms:modified>
</cp:coreProperties>
</file>