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91E18FC0-35D6-4DE2-AC52-7E9752B10BCB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/>
  <c r="T10" i="17"/>
  <c r="W10" i="17" s="1"/>
  <c r="O10" i="17"/>
  <c r="V10" i="17" s="1"/>
  <c r="J10" i="17"/>
  <c r="U10" i="17" s="1"/>
  <c r="D10" i="17"/>
  <c r="C10" i="17"/>
  <c r="B10" i="17"/>
  <c r="A10" i="17"/>
  <c r="T9" i="17"/>
  <c r="W9" i="17" s="1"/>
  <c r="O9" i="17"/>
  <c r="V9" i="17" s="1"/>
  <c r="J9" i="17"/>
  <c r="U9" i="17" s="1"/>
  <c r="D9" i="17"/>
  <c r="C9" i="17"/>
  <c r="B9" i="17"/>
  <c r="A9" i="17"/>
  <c r="D8" i="17"/>
  <c r="C8" i="17"/>
  <c r="C7" i="17"/>
  <c r="D6" i="17"/>
  <c r="D7" i="17" s="1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7" l="1"/>
  <c r="B7" i="17"/>
  <c r="V6" i="17"/>
  <c r="O7" i="17"/>
  <c r="T5" i="17"/>
  <c r="A6" i="17"/>
  <c r="J6" i="17"/>
  <c r="U6" i="17" l="1"/>
  <c r="J7" i="17"/>
  <c r="B8" i="17"/>
  <c r="A8" i="17" s="1"/>
  <c r="O8" i="17"/>
  <c r="V7" i="17"/>
  <c r="A7" i="17"/>
  <c r="W5" i="17"/>
  <c r="T6" i="17"/>
  <c r="V8" i="17" l="1"/>
  <c r="U7" i="17"/>
  <c r="J8" i="17"/>
  <c r="W6" i="17"/>
  <c r="T7" i="17"/>
  <c r="U8" i="17" l="1"/>
  <c r="W7" i="17"/>
  <c r="T8" i="17"/>
  <c r="W8" i="17" l="1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D12" i="16"/>
  <c r="C12" i="16"/>
  <c r="C11" i="16"/>
  <c r="D10" i="16"/>
  <c r="D11" i="16" s="1"/>
  <c r="C10" i="16"/>
  <c r="D9" i="16"/>
  <c r="D8" i="16"/>
  <c r="C8" i="16"/>
  <c r="C9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A7" i="16" s="1"/>
  <c r="V6" i="16"/>
  <c r="O7" i="16"/>
  <c r="T5" i="16"/>
  <c r="A6" i="16"/>
  <c r="J6" i="16"/>
  <c r="W3" i="1"/>
  <c r="V3" i="1"/>
  <c r="U3" i="1"/>
  <c r="U6" i="16" l="1"/>
  <c r="J7" i="16"/>
  <c r="O8" i="16"/>
  <c r="V7" i="16"/>
  <c r="W5" i="16"/>
  <c r="T6" i="16"/>
  <c r="B8" i="16"/>
  <c r="B5" i="1"/>
  <c r="A5" i="1" s="1"/>
  <c r="D6" i="1"/>
  <c r="C6" i="1"/>
  <c r="B6" i="1"/>
  <c r="A6" i="1" s="1"/>
  <c r="D5" i="1"/>
  <c r="C5" i="1"/>
  <c r="B9" i="16" l="1"/>
  <c r="V8" i="16"/>
  <c r="O9" i="16"/>
  <c r="A8" i="16"/>
  <c r="W6" i="16"/>
  <c r="T7" i="16"/>
  <c r="U7" i="16"/>
  <c r="J8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O10" i="16" l="1"/>
  <c r="V9" i="16"/>
  <c r="W7" i="16"/>
  <c r="T8" i="16"/>
  <c r="B10" i="16"/>
  <c r="A10" i="16" s="1"/>
  <c r="U8" i="16"/>
  <c r="J9" i="16"/>
  <c r="A9" i="16"/>
  <c r="Y1" i="1"/>
  <c r="U9" i="16" l="1"/>
  <c r="J10" i="16"/>
  <c r="W8" i="16"/>
  <c r="T9" i="16"/>
  <c r="B11" i="16"/>
  <c r="A11" i="16" s="1"/>
  <c r="V10" i="16"/>
  <c r="O11" i="16"/>
  <c r="BO1" i="1"/>
  <c r="AT1" i="1"/>
  <c r="O12" i="16" l="1"/>
  <c r="V12" i="16" s="1"/>
  <c r="V11" i="16"/>
  <c r="T10" i="16"/>
  <c r="W9" i="16"/>
  <c r="U10" i="16"/>
  <c r="J11" i="16"/>
  <c r="B12" i="16"/>
  <c r="A12" i="16" s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6" l="1"/>
  <c r="T11" i="16"/>
  <c r="U11" i="16"/>
  <c r="J12" i="16"/>
  <c r="U12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11" i="16" l="1"/>
  <c r="T12" i="16"/>
  <c r="W12" i="16" s="1"/>
  <c r="W2" i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V5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<sst xmlns="http://schemas.openxmlformats.org/spreadsheetml/2006/main" count="741" uniqueCount="152">
  <si>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</si>
  <si>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</si>
  <si>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</si>
  <si>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</si>
  <si>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</si>
  <si>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</si>
  <si>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</si>
  <si>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</si>
  <si>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</si>
  <si>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</si>
  <si>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</si>
  <si>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</si>
  <si>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</si>
  <si>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</si>
  <si>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</si>
  <si>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</si>
  <si>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</si>
  <si>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</si>
  <si>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</si>
  <si>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</si>
  <si>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</si>
  <si>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</si>
  <si>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</si>
  <si>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</si>
  <si>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</si>
  <si>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</si>
  <si>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</si>
  <si>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</si>
  <si>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</si>
  <si>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</si>
  <si>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</si>
  <si>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</si>
  <si>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</si>
  <si>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</si>
  <si>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</si>
  <si>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</si>
  <si>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</si>
  <si>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</si>
  <si>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</si>
  <si>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</si>
  <si>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</si>
  <si>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</si>
  <si>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</si>
  <si>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</si>
  <si>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</si>
  <si>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</si>
  <si>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</si>
  <si>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</si>
  <si>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</si>
  <si>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</si>
  <si>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</si>
  <si>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</si>
  <si>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</si>
  <si>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</si>
  <si>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</si>
  <si>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</si>
  <si>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</si>
  <si>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</si>
  <si>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</si>
  <si>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</si>
  <si>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</si>
  <si>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</si>
  <si>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</si>
  <si>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</si>
  <si>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</si>
  <si>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</si>
  <si>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</si>
  <si>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</si>
  <si>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</si>
  <si>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</si>
  <si>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</si>
  <si>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</si>
  <si>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</si>
  <si>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</si>
  <si>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</si>
  <si>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</si>
  <si>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</si>
  <si>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</si>
  <si>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</si>
  <si>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</si>
  <si>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</si>
  <si>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</si>
  <si>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</si>
  <si>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</si>
  <si>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</si>
  <si>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</si>
  <si>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</si>
  <si>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</si>
  <si>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</si>
  <si>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</si>
  <si>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</si>
  <si>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</si>
  <si>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</si>
  <si>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</si>
  <si>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</si>
  <si>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</si>
  <si>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</si>
  <si>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</si>
  <si>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</si>
  <si>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</si>
  <si>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</si>
  <si>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</si>
  <si>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</si>
  <si>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</si>
  <si>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</si>
  <si>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</si>
  <si>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</si>
  <si>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</si>
  <si>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</si>
  <si>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</si>
  <si>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</si>
  <si>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</si>
  <si>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</si>
  <si>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</si>
  <si>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</si>
  <si>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</si>
  <si>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</si>
  <si>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</si>
  <si>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</si>
  <si>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</si>
  <si>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</si>
  <si>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</si>
  <si>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</si>
  <si>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</si>
  <si>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</si>
  <si>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</si>
  <si>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</si>
  <si>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</si>
  <si>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</si>
  <si>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</si>
  <si>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</si>
  <si>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</si>
  <si>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</si>
  <si>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</si>
  <si>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</si>
  <si>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  <phoneticPr fontId="1"/>
  </si>
  <si>
    <t>りくと</t>
    <phoneticPr fontId="1"/>
  </si>
  <si>
    <t>れんたろう</t>
    <phoneticPr fontId="1"/>
  </si>
  <si>
    <t>りくと</t>
  </si>
  <si>
    <t>放銃</t>
  </si>
  <si>
    <t>ロン</t>
  </si>
  <si>
    <t>01</t>
  </si>
  <si>
    <t>れんたろう</t>
  </si>
  <si>
    <t>ツモ支払</t>
  </si>
  <si>
    <t>ツモ</t>
  </si>
  <si>
    <t>*</t>
  </si>
  <si>
    <t>だいち</t>
  </si>
  <si>
    <t>N</t>
  </si>
  <si>
    <t>流局</t>
    <phoneticPr fontId="1"/>
  </si>
  <si>
    <t>流局</t>
    <phoneticPr fontId="1"/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</si>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</sst>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135</v>
      </c>
      <c r="G1" s="80"/>
      <c r="H1" s="80"/>
      <c r="I1" s="89"/>
      <c r="J1" s="81"/>
      <c r="K1" s="78" t="s">
        <v>136</v>
      </c>
      <c r="L1" s="80"/>
      <c r="M1" s="80"/>
      <c r="N1" s="89"/>
      <c r="O1" s="81"/>
      <c r="P1" s="78" t="s">
        <v>137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>
        <v>-1000</v>
      </c>
      <c r="I4" s="55"/>
      <c r="J4" s="21">
        <f>IF(COUNTA($F4,$K4,$P4)&gt;0,J3+SUM(G4:I4),"")</f>
        <v>34000</v>
      </c>
      <c r="K4" s="8" t="s">
        <v>139</v>
      </c>
      <c r="L4" s="9">
        <v>-8000</v>
      </c>
      <c r="M4" s="9">
        <v>-1000</v>
      </c>
      <c r="N4" s="55">
        <v>0</v>
      </c>
      <c r="O4" s="21">
        <f>IF(COUNTA($F4,$K4,$P4)&gt;0,O3+SUM(L4:N4),"")</f>
        <v>26000</v>
      </c>
      <c r="P4" s="8" t="s">
        <v>140</v>
      </c>
      <c r="Q4" s="9">
        <v>8000</v>
      </c>
      <c r="R4" s="9">
        <v>2000</v>
      </c>
      <c r="S4" s="55">
        <v>0</v>
      </c>
      <c r="T4" s="21">
        <f>IF(COUNTA($F4,$K4,$P4)&gt;0,T3+SUM(Q4:S4),"")</f>
        <v>45000</v>
      </c>
      <c r="U4" s="60">
        <f t="shared" ref="U4:U30" si="0">IF($J4="","",ROUND(($J4-$J$3)/1000,1))</f>
        <v>-1</v>
      </c>
      <c r="V4" s="61">
        <f t="shared" ref="V4:V30" si="1">IF($O4="","",ROUND(($O4-$O$3)/1000,1))</f>
        <v>-9</v>
      </c>
      <c r="W4" s="62">
        <f t="shared" ref="W4:W30" si="2">IF($T4="","",ROUND(($T4-$T$3)/1000,1))</f>
        <v>10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40</v>
      </c>
      <c r="BU4" s="47" t="s">
        <v>141</v>
      </c>
      <c r="BV4" s="48" t="s">
        <v>82</v>
      </c>
      <c r="BW4" s="48" t="s">
        <v>81</v>
      </c>
      <c r="BX4" s="48" t="s">
        <v>87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142</v>
      </c>
      <c r="F5" s="8" t="s">
        <v>143</v>
      </c>
      <c r="G5" s="9">
        <v>-1500</v>
      </c>
      <c r="H5" s="9"/>
      <c r="I5" s="55">
        <v>0</v>
      </c>
      <c r="J5" s="21">
        <f t="shared" ref="J5:J30" si="6">IF(COUNTA($F5,$K5,$P5)&gt;0,J4+SUM(G5:I5),"")</f>
        <v>32500</v>
      </c>
      <c r="K5" s="8" t="s">
        <v>143</v>
      </c>
      <c r="L5" s="9">
        <v>-1500</v>
      </c>
      <c r="M5" s="9"/>
      <c r="N5" s="55">
        <v>0</v>
      </c>
      <c r="O5" s="21">
        <f t="shared" ref="O5:O30" si="7">IF(COUNTA($F5,$K5,$P5)&gt;0,O4+SUM(L5:N5),"")</f>
        <v>24500</v>
      </c>
      <c r="P5" s="8" t="s">
        <v>144</v>
      </c>
      <c r="Q5" s="9">
        <v>3000</v>
      </c>
      <c r="R5" s="9"/>
      <c r="S5" s="55">
        <v>0</v>
      </c>
      <c r="T5" s="21">
        <f t="shared" ref="T5:T30" si="8">IF(COUNTA($F5,$K5,$P5)&gt;0,T4+SUM(Q5:S5),"")</f>
        <v>48000</v>
      </c>
      <c r="U5" s="60">
        <f t="shared" si="0"/>
        <v>-2.5</v>
      </c>
      <c r="V5" s="61">
        <f t="shared" si="1"/>
        <v>-10.5</v>
      </c>
      <c r="W5" s="62">
        <f t="shared" si="2"/>
        <v>13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142</v>
      </c>
      <c r="F6" s="8" t="s">
        <v>143</v>
      </c>
      <c r="G6" s="9">
        <v>-9000</v>
      </c>
      <c r="H6" s="9"/>
      <c r="I6" s="55">
        <v>-500</v>
      </c>
      <c r="J6" s="21">
        <f t="shared" si="6"/>
        <v>23000</v>
      </c>
      <c r="K6" s="8" t="s">
        <v>143</v>
      </c>
      <c r="L6" s="9">
        <v>-9000</v>
      </c>
      <c r="M6" s="9"/>
      <c r="N6" s="55">
        <v>-500</v>
      </c>
      <c r="O6" s="21">
        <f t="shared" si="7"/>
        <v>15000</v>
      </c>
      <c r="P6" s="8" t="s">
        <v>144</v>
      </c>
      <c r="Q6" s="9">
        <v>18000</v>
      </c>
      <c r="R6" s="9"/>
      <c r="S6" s="55">
        <v>1000</v>
      </c>
      <c r="T6" s="21">
        <f t="shared" si="8"/>
        <v>67000</v>
      </c>
      <c r="U6" s="60">
        <f t="shared" si="0"/>
        <v>-12</v>
      </c>
      <c r="V6" s="61">
        <f t="shared" si="1"/>
        <v>-20</v>
      </c>
      <c r="W6" s="62">
        <f t="shared" si="2"/>
        <v>32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145</v>
      </c>
      <c r="BU6" s="47" t="s">
        <v>141</v>
      </c>
      <c r="BV6" s="48" t="s">
        <v>83</v>
      </c>
      <c r="BW6" s="48" t="s">
        <v>88</v>
      </c>
      <c r="BX6" s="48" t="s">
        <v>80</v>
      </c>
      <c r="BY6" s="48" t="s">
        <v>81</v>
      </c>
      <c r="BZ6" s="48" t="s">
        <v>82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0</v>
      </c>
      <c r="E7" s="4" t="s">
        <v>142</v>
      </c>
      <c r="F7" s="8" t="s">
        <v>143</v>
      </c>
      <c r="G7" s="9">
        <v>-9000</v>
      </c>
      <c r="H7" s="9"/>
      <c r="I7" s="55">
        <v>-1000</v>
      </c>
      <c r="J7" s="21">
        <f t="shared" si="6"/>
        <v>13000</v>
      </c>
      <c r="K7" s="8" t="s">
        <v>144</v>
      </c>
      <c r="L7" s="9">
        <v>24000</v>
      </c>
      <c r="M7" s="9"/>
      <c r="N7" s="55">
        <v>2000</v>
      </c>
      <c r="O7" s="21">
        <f t="shared" si="7"/>
        <v>41000</v>
      </c>
      <c r="P7" s="8" t="s">
        <v>143</v>
      </c>
      <c r="Q7" s="9">
        <v>-15000</v>
      </c>
      <c r="R7" s="9"/>
      <c r="S7" s="55">
        <v>-1000</v>
      </c>
      <c r="T7" s="21">
        <f t="shared" si="8"/>
        <v>51000</v>
      </c>
      <c r="U7" s="60">
        <f t="shared" si="0"/>
        <v>-22</v>
      </c>
      <c r="V7" s="61">
        <f t="shared" si="1"/>
        <v>6</v>
      </c>
      <c r="W7" s="62">
        <f t="shared" si="2"/>
        <v>16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12</v>
      </c>
      <c r="AY7" s="36" t="s">
        <v>145</v>
      </c>
      <c r="AZ7" s="47" t="s">
        <v>141</v>
      </c>
      <c r="BA7" s="48" t="s">
        <v>83</v>
      </c>
      <c r="BB7" s="48" t="s">
        <v>82</v>
      </c>
      <c r="BC7" s="48" t="s">
        <v>81</v>
      </c>
      <c r="BD7" s="48" t="s">
        <v>81</v>
      </c>
      <c r="BE7" s="48" t="s">
        <v>81</v>
      </c>
      <c r="BF7" s="48" t="s">
        <v>80</v>
      </c>
      <c r="BG7" s="48" t="s">
        <v>80</v>
      </c>
      <c r="BH7" s="48" t="s">
        <v>80</v>
      </c>
      <c r="BI7" s="48" t="s">
        <v>80</v>
      </c>
      <c r="BJ7" s="48" t="s">
        <v>80</v>
      </c>
      <c r="BK7" s="48" t="s">
        <v>80</v>
      </c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146</v>
      </c>
      <c r="F8" s="8" t="s">
        <v>144</v>
      </c>
      <c r="G8" s="9">
        <v>36000</v>
      </c>
      <c r="H8" s="9"/>
      <c r="I8" s="55">
        <v>0</v>
      </c>
      <c r="J8" s="21">
        <f t="shared" si="6"/>
        <v>49000</v>
      </c>
      <c r="K8" s="8" t="s">
        <v>143</v>
      </c>
      <c r="L8" s="9">
        <v>-18000</v>
      </c>
      <c r="M8" s="9"/>
      <c r="N8" s="55">
        <v>0</v>
      </c>
      <c r="O8" s="21">
        <f t="shared" si="7"/>
        <v>23000</v>
      </c>
      <c r="P8" s="8" t="s">
        <v>143</v>
      </c>
      <c r="Q8" s="9">
        <v>-18000</v>
      </c>
      <c r="R8" s="9"/>
      <c r="S8" s="55">
        <v>0</v>
      </c>
      <c r="T8" s="21">
        <f t="shared" si="8"/>
        <v>33000</v>
      </c>
      <c r="U8" s="60">
        <f t="shared" si="0"/>
        <v>14</v>
      </c>
      <c r="V8" s="61">
        <f t="shared" si="1"/>
        <v>-12</v>
      </c>
      <c r="W8" s="62">
        <f t="shared" si="2"/>
        <v>-2</v>
      </c>
      <c r="Y8" s="8"/>
      <c r="Z8" s="41"/>
      <c r="AA8" s="32">
        <v>1</v>
      </c>
      <c r="AB8" s="32"/>
      <c r="AC8" s="32">
        <v>11</v>
      </c>
      <c r="AD8" s="36" t="s">
        <v>145</v>
      </c>
      <c r="AE8" s="47" t="s">
        <v>141</v>
      </c>
      <c r="AF8" s="48" t="s">
        <v>83</v>
      </c>
      <c r="AG8" s="48" t="s">
        <v>90</v>
      </c>
      <c r="AH8" s="48" t="s">
        <v>87</v>
      </c>
      <c r="AI8" s="48" t="s">
        <v>87</v>
      </c>
      <c r="AJ8" s="48" t="s">
        <v>81</v>
      </c>
      <c r="AK8" s="48" t="s">
        <v>80</v>
      </c>
      <c r="AL8" s="48" t="s">
        <v>80</v>
      </c>
      <c r="AM8" s="48" t="s">
        <v>80</v>
      </c>
      <c r="AN8" s="48" t="s">
        <v>80</v>
      </c>
      <c r="AO8" s="48" t="s">
        <v>82</v>
      </c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3</v>
      </c>
      <c r="C9" s="18">
        <f t="shared" si="11"/>
        <v>1</v>
      </c>
      <c r="D9" s="18">
        <f t="shared" si="5"/>
        <v>0</v>
      </c>
      <c r="E9" s="4" t="s">
        <v>146</v>
      </c>
      <c r="F9" s="8"/>
      <c r="G9" s="9"/>
      <c r="H9" s="9"/>
      <c r="I9" s="55"/>
      <c r="J9" s="21">
        <f t="shared" si="6"/>
        <v>49000</v>
      </c>
      <c r="K9" s="8" t="s">
        <v>140</v>
      </c>
      <c r="L9" s="9">
        <v>3200</v>
      </c>
      <c r="M9" s="9">
        <v>1000</v>
      </c>
      <c r="N9" s="55">
        <v>1000</v>
      </c>
      <c r="O9" s="21">
        <f t="shared" si="7"/>
        <v>28200</v>
      </c>
      <c r="P9" s="8" t="s">
        <v>139</v>
      </c>
      <c r="Q9" s="9">
        <v>-3200</v>
      </c>
      <c r="R9" s="9">
        <v>-1000</v>
      </c>
      <c r="S9" s="55">
        <v>-1000</v>
      </c>
      <c r="T9" s="21">
        <f t="shared" si="8"/>
        <v>27800</v>
      </c>
      <c r="U9" s="60">
        <f t="shared" si="0"/>
        <v>14</v>
      </c>
      <c r="V9" s="61">
        <f t="shared" si="1"/>
        <v>-6.8</v>
      </c>
      <c r="W9" s="62">
        <f t="shared" si="2"/>
        <v>-7.2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3</v>
      </c>
      <c r="AY9" s="36">
        <v>25</v>
      </c>
      <c r="AZ9" s="47" t="s">
        <v>82</v>
      </c>
      <c r="BA9" s="48" t="s">
        <v>102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1</v>
      </c>
      <c r="C10" s="18">
        <f t="shared" si="11"/>
        <v>0</v>
      </c>
      <c r="D10" s="18">
        <f t="shared" si="5"/>
        <v>0</v>
      </c>
      <c r="E10" s="4" t="s">
        <v>138</v>
      </c>
      <c r="F10" s="8" t="s">
        <v>148</v>
      </c>
      <c r="G10" s="9">
        <v>0</v>
      </c>
      <c r="H10" s="9"/>
      <c r="I10" s="55"/>
      <c r="J10" s="21">
        <f t="shared" si="6"/>
        <v>49000</v>
      </c>
      <c r="K10" s="8" t="s">
        <v>148</v>
      </c>
      <c r="L10" s="9">
        <v>0</v>
      </c>
      <c r="M10" s="9"/>
      <c r="N10" s="55"/>
      <c r="O10" s="21">
        <f t="shared" si="7"/>
        <v>28200</v>
      </c>
      <c r="P10" s="8" t="s">
        <v>148</v>
      </c>
      <c r="Q10" s="9">
        <v>0</v>
      </c>
      <c r="R10" s="9"/>
      <c r="S10" s="55"/>
      <c r="T10" s="21">
        <f t="shared" si="8"/>
        <v>27800</v>
      </c>
      <c r="U10" s="60">
        <f t="shared" si="0"/>
        <v>14</v>
      </c>
      <c r="V10" s="61">
        <f t="shared" si="1"/>
        <v>-6.8</v>
      </c>
      <c r="W10" s="62">
        <f t="shared" si="2"/>
        <v>-7.2</v>
      </c>
      <c r="Y10" s="8" t="s">
        <v>147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147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147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2</v>
      </c>
      <c r="C11" s="18">
        <f t="shared" si="11"/>
        <v>0</v>
      </c>
      <c r="D11" s="18">
        <f t="shared" si="5"/>
        <v>0</v>
      </c>
      <c r="E11" s="4" t="s">
        <v>142</v>
      </c>
      <c r="F11" s="8"/>
      <c r="G11" s="9"/>
      <c r="H11" s="9"/>
      <c r="I11" s="55"/>
      <c r="J11" s="21">
        <f t="shared" si="6"/>
        <v>49000</v>
      </c>
      <c r="K11" s="8" t="s">
        <v>140</v>
      </c>
      <c r="L11" s="9">
        <v>8000</v>
      </c>
      <c r="M11" s="9"/>
      <c r="N11" s="55">
        <v>0</v>
      </c>
      <c r="O11" s="21">
        <f t="shared" si="7"/>
        <v>36200</v>
      </c>
      <c r="P11" s="8" t="s">
        <v>139</v>
      </c>
      <c r="Q11" s="9">
        <v>-8000</v>
      </c>
      <c r="R11" s="9"/>
      <c r="S11" s="55">
        <v>0</v>
      </c>
      <c r="T11" s="21">
        <f t="shared" si="8"/>
        <v>19800</v>
      </c>
      <c r="U11" s="60">
        <f t="shared" si="0"/>
        <v>14</v>
      </c>
      <c r="V11" s="61">
        <f t="shared" si="1"/>
        <v>1.2</v>
      </c>
      <c r="W11" s="62">
        <f t="shared" si="2"/>
        <v>-15.2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4</v>
      </c>
      <c r="AY11" s="36">
        <v>30</v>
      </c>
      <c r="AZ11" s="47" t="s">
        <v>87</v>
      </c>
      <c r="BA11" s="48" t="s">
        <v>80</v>
      </c>
      <c r="BB11" s="48" t="s">
        <v>80</v>
      </c>
      <c r="BC11" s="48" t="s">
        <v>80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0</v>
      </c>
      <c r="D12" s="18">
        <f t="shared" si="5"/>
        <v>0</v>
      </c>
      <c r="E12" s="4" t="s">
        <v>146</v>
      </c>
      <c r="F12" s="8" t="s">
        <v>140</v>
      </c>
      <c r="G12" s="9">
        <v>2900</v>
      </c>
      <c r="H12" s="9"/>
      <c r="I12" s="55">
        <v>0</v>
      </c>
      <c r="J12" s="21">
        <f t="shared" si="6"/>
        <v>51900</v>
      </c>
      <c r="K12" s="8"/>
      <c r="L12" s="9"/>
      <c r="M12" s="9"/>
      <c r="N12" s="55"/>
      <c r="O12" s="21">
        <f t="shared" si="7"/>
        <v>36200</v>
      </c>
      <c r="P12" s="8" t="s">
        <v>139</v>
      </c>
      <c r="Q12" s="9">
        <v>-2900</v>
      </c>
      <c r="R12" s="9"/>
      <c r="S12" s="55">
        <v>0</v>
      </c>
      <c r="T12" s="21">
        <f t="shared" si="8"/>
        <v>16900</v>
      </c>
      <c r="U12" s="60">
        <f t="shared" si="0"/>
        <v>16.899999999999999</v>
      </c>
      <c r="V12" s="61">
        <f t="shared" si="1"/>
        <v>1.2</v>
      </c>
      <c r="W12" s="62">
        <f t="shared" si="2"/>
        <v>-18.100000000000001</v>
      </c>
      <c r="Y12" s="8"/>
      <c r="Z12" s="41"/>
      <c r="AA12" s="32"/>
      <c r="AB12" s="32"/>
      <c r="AC12" s="32">
        <v>2</v>
      </c>
      <c r="AD12" s="36">
        <v>30</v>
      </c>
      <c r="AE12" s="47" t="s">
        <v>84</v>
      </c>
      <c r="AF12" s="48" t="s">
        <v>82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02EF9-423E-46EF-A75B-0C3FAF7C2B29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135</v>
      </c>
      <c r="G1" s="80"/>
      <c r="H1" s="80"/>
      <c r="I1" s="89"/>
      <c r="J1" s="81"/>
      <c r="K1" s="78" t="s">
        <v>136</v>
      </c>
      <c r="L1" s="80"/>
      <c r="M1" s="80"/>
      <c r="N1" s="89"/>
      <c r="O1" s="81"/>
      <c r="P1" s="78" t="s">
        <v>137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142</v>
      </c>
      <c r="F4" s="8" t="s">
        <v>139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/>
      <c r="L4" s="9"/>
      <c r="M4" s="9"/>
      <c r="N4" s="55"/>
      <c r="O4" s="21">
        <f>IF(COUNTA($F4,$K4,$P4)&gt;0,O3+SUM(L4:N4),"")</f>
        <v>35000</v>
      </c>
      <c r="P4" s="8" t="s">
        <v>140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 t="shared" ref="U4:U30" si="0">IF($J4="","",ROUND(($J4-$J$3)/1000,1))</f>
        <v>-12</v>
      </c>
      <c r="V4" s="61">
        <f t="shared" ref="V4:V30" si="1">IF($O4="","",ROUND(($O4-$O$3)/1000,1))</f>
        <v>0</v>
      </c>
      <c r="W4" s="62">
        <f t="shared" ref="W4:W30" si="2">IF($T4="","",ROUND(($T4-$T$3)/1000,1))</f>
        <v>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5</v>
      </c>
      <c r="BT4" s="36" t="s">
        <v>145</v>
      </c>
      <c r="BU4" s="47" t="s">
        <v>80</v>
      </c>
      <c r="BV4" s="48" t="s">
        <v>80</v>
      </c>
      <c r="BW4" s="48" t="s">
        <v>82</v>
      </c>
      <c r="BX4" s="48" t="s">
        <v>102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142</v>
      </c>
      <c r="F5" s="8" t="s">
        <v>139</v>
      </c>
      <c r="G5" s="9">
        <v>-12000</v>
      </c>
      <c r="H5" s="9"/>
      <c r="I5" s="55">
        <v>-1000</v>
      </c>
      <c r="J5" s="21">
        <f t="shared" ref="J5:J30" si="6">IF(COUNTA($F5,$K5,$P5)&gt;0,J4+SUM(G5:I5),"")</f>
        <v>10000</v>
      </c>
      <c r="K5" s="8" t="s">
        <v>140</v>
      </c>
      <c r="L5" s="9">
        <v>12000</v>
      </c>
      <c r="M5" s="9"/>
      <c r="N5" s="55">
        <v>1000</v>
      </c>
      <c r="O5" s="21">
        <f t="shared" ref="O5:O30" si="7">IF(COUNTA($F5,$K5,$P5)&gt;0,O4+SUM(L5:N5),"")</f>
        <v>48000</v>
      </c>
      <c r="P5" s="8"/>
      <c r="Q5" s="9"/>
      <c r="R5" s="9"/>
      <c r="S5" s="55"/>
      <c r="T5" s="21">
        <f t="shared" ref="T5:T30" si="8">IF(COUNTA($F5,$K5,$P5)&gt;0,T4+SUM(Q5:S5),"")</f>
        <v>47000</v>
      </c>
      <c r="U5" s="60">
        <f t="shared" si="0"/>
        <v>-25</v>
      </c>
      <c r="V5" s="61">
        <f t="shared" si="1"/>
        <v>13</v>
      </c>
      <c r="W5" s="62">
        <f t="shared" si="2"/>
        <v>12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6</v>
      </c>
      <c r="AY5" s="36" t="s">
        <v>145</v>
      </c>
      <c r="AZ5" s="47" t="s">
        <v>99</v>
      </c>
      <c r="BA5" s="48" t="s">
        <v>87</v>
      </c>
      <c r="BB5" s="48" t="s">
        <v>87</v>
      </c>
      <c r="BC5" s="48" t="s">
        <v>101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146</v>
      </c>
      <c r="F6" s="8" t="s">
        <v>149</v>
      </c>
      <c r="G6" s="9">
        <v>0</v>
      </c>
      <c r="H6" s="9"/>
      <c r="I6" s="55"/>
      <c r="J6" s="21">
        <f t="shared" si="6"/>
        <v>10000</v>
      </c>
      <c r="K6" s="8" t="s">
        <v>149</v>
      </c>
      <c r="L6" s="9">
        <v>0</v>
      </c>
      <c r="M6" s="9"/>
      <c r="N6" s="55"/>
      <c r="O6" s="21">
        <f t="shared" si="7"/>
        <v>48000</v>
      </c>
      <c r="P6" s="8" t="s">
        <v>149</v>
      </c>
      <c r="Q6" s="9">
        <v>0</v>
      </c>
      <c r="R6" s="9"/>
      <c r="S6" s="55"/>
      <c r="T6" s="21">
        <f t="shared" si="8"/>
        <v>47000</v>
      </c>
      <c r="U6" s="60">
        <f t="shared" si="0"/>
        <v>-25</v>
      </c>
      <c r="V6" s="61">
        <f t="shared" si="1"/>
        <v>13</v>
      </c>
      <c r="W6" s="62">
        <f t="shared" si="2"/>
        <v>12</v>
      </c>
      <c r="Y6" s="8" t="s">
        <v>147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147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147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138</v>
      </c>
      <c r="F7" s="8" t="s">
        <v>143</v>
      </c>
      <c r="G7" s="9">
        <v>-9000</v>
      </c>
      <c r="H7" s="9"/>
      <c r="I7" s="55">
        <v>0</v>
      </c>
      <c r="J7" s="21">
        <f t="shared" si="6"/>
        <v>1000</v>
      </c>
      <c r="K7" s="8" t="s">
        <v>144</v>
      </c>
      <c r="L7" s="9">
        <v>18000</v>
      </c>
      <c r="M7" s="9"/>
      <c r="N7" s="55">
        <v>0</v>
      </c>
      <c r="O7" s="21">
        <f t="shared" si="7"/>
        <v>66000</v>
      </c>
      <c r="P7" s="8" t="s">
        <v>143</v>
      </c>
      <c r="Q7" s="9">
        <v>-9000</v>
      </c>
      <c r="R7" s="9"/>
      <c r="S7" s="55">
        <v>0</v>
      </c>
      <c r="T7" s="21">
        <f t="shared" si="8"/>
        <v>38000</v>
      </c>
      <c r="U7" s="60">
        <f t="shared" si="0"/>
        <v>-34</v>
      </c>
      <c r="V7" s="61">
        <f t="shared" si="1"/>
        <v>31</v>
      </c>
      <c r="W7" s="62">
        <f t="shared" si="2"/>
        <v>3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6</v>
      </c>
      <c r="AY7" s="36" t="s">
        <v>145</v>
      </c>
      <c r="AZ7" s="47" t="s">
        <v>141</v>
      </c>
      <c r="BA7" s="48" t="s">
        <v>83</v>
      </c>
      <c r="BB7" s="48" t="s">
        <v>82</v>
      </c>
      <c r="BC7" s="48" t="s">
        <v>82</v>
      </c>
      <c r="BD7" s="48" t="s">
        <v>82</v>
      </c>
      <c r="BE7" s="48" t="s">
        <v>82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138</v>
      </c>
      <c r="F8" s="8" t="s">
        <v>143</v>
      </c>
      <c r="G8" s="9">
        <v>-3000</v>
      </c>
      <c r="H8" s="9"/>
      <c r="I8" s="55">
        <v>-500</v>
      </c>
      <c r="J8" s="21">
        <f t="shared" si="6"/>
        <v>-2500</v>
      </c>
      <c r="K8" s="8" t="s">
        <v>143</v>
      </c>
      <c r="L8" s="9">
        <v>-5000</v>
      </c>
      <c r="M8" s="9"/>
      <c r="N8" s="55">
        <v>-500</v>
      </c>
      <c r="O8" s="21">
        <f t="shared" si="7"/>
        <v>60500</v>
      </c>
      <c r="P8" s="8" t="s">
        <v>144</v>
      </c>
      <c r="Q8" s="9">
        <v>8000</v>
      </c>
      <c r="R8" s="9"/>
      <c r="S8" s="55">
        <v>1000</v>
      </c>
      <c r="T8" s="21">
        <f t="shared" si="8"/>
        <v>47000</v>
      </c>
      <c r="U8" s="60">
        <f t="shared" si="0"/>
        <v>-37.5</v>
      </c>
      <c r="V8" s="61">
        <f t="shared" si="1"/>
        <v>25.5</v>
      </c>
      <c r="W8" s="62">
        <f t="shared" si="2"/>
        <v>12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145</v>
      </c>
      <c r="BU8" s="47" t="s">
        <v>83</v>
      </c>
      <c r="BV8" s="48" t="s">
        <v>141</v>
      </c>
      <c r="BW8" s="48" t="s">
        <v>150</v>
      </c>
      <c r="BX8" s="48" t="s">
        <v>82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9BC9B26A-D84C-4D4E-A7E6-06028ECF2181}">
      <formula1>$U$2:$W$2</formula1>
    </dataValidation>
    <dataValidation type="list" showInputMessage="1" showErrorMessage="1" sqref="K4:K30 P4:P30 F4:F30" xr:uid="{254F5217-ED7C-44AF-B813-DEF95BDBF7A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8DDD1-506D-469C-B6CB-FEB30DB5F392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135</v>
      </c>
      <c r="G1" s="80"/>
      <c r="H1" s="80"/>
      <c r="I1" s="89"/>
      <c r="J1" s="81"/>
      <c r="K1" s="78" t="s">
        <v>136</v>
      </c>
      <c r="L1" s="80"/>
      <c r="M1" s="80"/>
      <c r="N1" s="89"/>
      <c r="O1" s="81"/>
      <c r="P1" s="78" t="s">
        <v>137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142</v>
      </c>
      <c r="F4" s="8" t="s">
        <v>140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139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12</v>
      </c>
      <c r="V4" s="61">
        <f t="shared" ref="V4:V30" si="1">IF($O4="","",ROUND(($O4-$O$3)/1000,1))</f>
        <v>-12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6</v>
      </c>
      <c r="AD4" s="36" t="s">
        <v>145</v>
      </c>
      <c r="AE4" s="47" t="s">
        <v>141</v>
      </c>
      <c r="AF4" s="48" t="s">
        <v>150</v>
      </c>
      <c r="AG4" s="48" t="s">
        <v>87</v>
      </c>
      <c r="AH4" s="48" t="s">
        <v>82</v>
      </c>
      <c r="AI4" s="48" t="s">
        <v>81</v>
      </c>
      <c r="AJ4" s="48" t="s">
        <v>81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146</v>
      </c>
      <c r="F5" s="8" t="s">
        <v>140</v>
      </c>
      <c r="G5" s="9">
        <v>12000</v>
      </c>
      <c r="H5" s="9"/>
      <c r="I5" s="55">
        <v>0</v>
      </c>
      <c r="J5" s="21">
        <f t="shared" ref="J5:J30" si="6">IF(COUNTA($F5,$K5,$P5)&gt;0,J4+SUM(G5:I5),"")</f>
        <v>59000</v>
      </c>
      <c r="K5" s="8"/>
      <c r="L5" s="9"/>
      <c r="M5" s="9"/>
      <c r="N5" s="55"/>
      <c r="O5" s="21">
        <f t="shared" ref="O5:O30" si="7">IF(COUNTA($F5,$K5,$P5)&gt;0,O4+SUM(L5:N5),"")</f>
        <v>23000</v>
      </c>
      <c r="P5" s="8" t="s">
        <v>139</v>
      </c>
      <c r="Q5" s="9">
        <v>-12000</v>
      </c>
      <c r="R5" s="9"/>
      <c r="S5" s="55">
        <v>0</v>
      </c>
      <c r="T5" s="21">
        <f t="shared" ref="T5:T30" si="8">IF(COUNTA($F5,$K5,$P5)&gt;0,T4+SUM(Q5:S5),"")</f>
        <v>23000</v>
      </c>
      <c r="U5" s="60">
        <f t="shared" si="0"/>
        <v>24</v>
      </c>
      <c r="V5" s="61">
        <f t="shared" si="1"/>
        <v>-12</v>
      </c>
      <c r="W5" s="62">
        <f t="shared" si="2"/>
        <v>-12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82</v>
      </c>
      <c r="AF5" s="48" t="s">
        <v>84</v>
      </c>
      <c r="AG5" s="48" t="s">
        <v>92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146</v>
      </c>
      <c r="F6" s="8" t="s">
        <v>151</v>
      </c>
      <c r="G6" s="9">
        <v>5000</v>
      </c>
      <c r="H6" s="9"/>
      <c r="I6" s="55"/>
      <c r="J6" s="21">
        <f t="shared" si="6"/>
        <v>64000</v>
      </c>
      <c r="K6" s="8" t="s">
        <v>151</v>
      </c>
      <c r="L6" s="9">
        <v>-8000</v>
      </c>
      <c r="M6" s="9"/>
      <c r="N6" s="55"/>
      <c r="O6" s="21">
        <f t="shared" si="7"/>
        <v>15000</v>
      </c>
      <c r="P6" s="8" t="s">
        <v>151</v>
      </c>
      <c r="Q6" s="9">
        <v>3000</v>
      </c>
      <c r="R6" s="9"/>
      <c r="S6" s="55"/>
      <c r="T6" s="21">
        <f t="shared" si="8"/>
        <v>26000</v>
      </c>
      <c r="U6" s="60">
        <f t="shared" si="0"/>
        <v>29</v>
      </c>
      <c r="V6" s="61">
        <f t="shared" si="1"/>
        <v>-20</v>
      </c>
      <c r="W6" s="62">
        <f t="shared" si="2"/>
        <v>-9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>
        <v>1</v>
      </c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146</v>
      </c>
      <c r="F7" s="8" t="s">
        <v>144</v>
      </c>
      <c r="G7" s="9">
        <v>12000</v>
      </c>
      <c r="H7" s="9"/>
      <c r="I7" s="55">
        <v>1000</v>
      </c>
      <c r="J7" s="21">
        <f t="shared" si="6"/>
        <v>77000</v>
      </c>
      <c r="K7" s="8" t="s">
        <v>143</v>
      </c>
      <c r="L7" s="9">
        <v>-6000</v>
      </c>
      <c r="M7" s="9"/>
      <c r="N7" s="55">
        <v>-500</v>
      </c>
      <c r="O7" s="21">
        <f t="shared" si="7"/>
        <v>8500</v>
      </c>
      <c r="P7" s="8" t="s">
        <v>143</v>
      </c>
      <c r="Q7" s="9">
        <v>-6000</v>
      </c>
      <c r="R7" s="9"/>
      <c r="S7" s="55">
        <v>-500</v>
      </c>
      <c r="T7" s="21">
        <f t="shared" si="8"/>
        <v>19500</v>
      </c>
      <c r="U7" s="60">
        <f t="shared" si="0"/>
        <v>42</v>
      </c>
      <c r="V7" s="61">
        <f t="shared" si="1"/>
        <v>-26.5</v>
      </c>
      <c r="W7" s="62">
        <f t="shared" si="2"/>
        <v>-15.5</v>
      </c>
      <c r="Y7" s="8"/>
      <c r="Z7" s="41"/>
      <c r="AA7" s="32"/>
      <c r="AB7" s="32"/>
      <c r="AC7" s="32">
        <v>5</v>
      </c>
      <c r="AD7" s="36" t="s">
        <v>145</v>
      </c>
      <c r="AE7" s="47" t="s">
        <v>83</v>
      </c>
      <c r="AF7" s="48" t="s">
        <v>82</v>
      </c>
      <c r="AG7" s="48" t="s">
        <v>82</v>
      </c>
      <c r="AH7" s="48" t="s">
        <v>80</v>
      </c>
      <c r="AI7" s="48" t="s">
        <v>80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146</v>
      </c>
      <c r="F8" s="8" t="s">
        <v>144</v>
      </c>
      <c r="G8" s="9">
        <v>6000</v>
      </c>
      <c r="H8" s="9"/>
      <c r="I8" s="55">
        <v>2000</v>
      </c>
      <c r="J8" s="21">
        <f t="shared" si="6"/>
        <v>85000</v>
      </c>
      <c r="K8" s="8" t="s">
        <v>143</v>
      </c>
      <c r="L8" s="9">
        <v>-3000</v>
      </c>
      <c r="M8" s="9"/>
      <c r="N8" s="55">
        <v>-1000</v>
      </c>
      <c r="O8" s="21">
        <f t="shared" si="7"/>
        <v>4500</v>
      </c>
      <c r="P8" s="8" t="s">
        <v>143</v>
      </c>
      <c r="Q8" s="9">
        <v>-3000</v>
      </c>
      <c r="R8" s="9"/>
      <c r="S8" s="55">
        <v>-1000</v>
      </c>
      <c r="T8" s="21">
        <f t="shared" si="8"/>
        <v>15500</v>
      </c>
      <c r="U8" s="60">
        <f t="shared" si="0"/>
        <v>50</v>
      </c>
      <c r="V8" s="61">
        <f t="shared" si="1"/>
        <v>-30.5</v>
      </c>
      <c r="W8" s="62">
        <f t="shared" si="2"/>
        <v>-19.5</v>
      </c>
      <c r="Y8" s="8"/>
      <c r="Z8" s="41"/>
      <c r="AA8" s="32"/>
      <c r="AB8" s="32"/>
      <c r="AC8" s="32">
        <v>3</v>
      </c>
      <c r="AD8" s="36">
        <v>30</v>
      </c>
      <c r="AE8" s="47" t="s">
        <v>83</v>
      </c>
      <c r="AF8" s="48" t="s">
        <v>86</v>
      </c>
      <c r="AG8" s="48" t="s">
        <v>85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3</v>
      </c>
      <c r="D9" s="18">
        <f t="shared" si="5"/>
        <v>0</v>
      </c>
      <c r="E9" s="4" t="s">
        <v>146</v>
      </c>
      <c r="F9" s="8" t="s">
        <v>143</v>
      </c>
      <c r="G9" s="9">
        <v>-10000</v>
      </c>
      <c r="H9" s="9"/>
      <c r="I9" s="55">
        <v>-1500</v>
      </c>
      <c r="J9" s="21">
        <f t="shared" si="6"/>
        <v>73500</v>
      </c>
      <c r="K9" s="8" t="s">
        <v>143</v>
      </c>
      <c r="L9" s="9">
        <v>-6000</v>
      </c>
      <c r="M9" s="9"/>
      <c r="N9" s="55">
        <v>-1500</v>
      </c>
      <c r="O9" s="21">
        <f t="shared" si="7"/>
        <v>-3000</v>
      </c>
      <c r="P9" s="8" t="s">
        <v>144</v>
      </c>
      <c r="Q9" s="9">
        <v>16000</v>
      </c>
      <c r="R9" s="9"/>
      <c r="S9" s="55">
        <v>3000</v>
      </c>
      <c r="T9" s="21">
        <f t="shared" si="8"/>
        <v>34500</v>
      </c>
      <c r="U9" s="60">
        <f t="shared" si="0"/>
        <v>38.5</v>
      </c>
      <c r="V9" s="61">
        <f t="shared" si="1"/>
        <v>-38</v>
      </c>
      <c r="W9" s="62">
        <f t="shared" si="2"/>
        <v>-0.5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9</v>
      </c>
      <c r="BT9" s="36" t="s">
        <v>145</v>
      </c>
      <c r="BU9" s="47" t="s">
        <v>141</v>
      </c>
      <c r="BV9" s="48" t="s">
        <v>83</v>
      </c>
      <c r="BW9" s="48" t="s">
        <v>85</v>
      </c>
      <c r="BX9" s="48" t="s">
        <v>82</v>
      </c>
      <c r="BY9" s="48" t="s">
        <v>82</v>
      </c>
      <c r="BZ9" s="48" t="s">
        <v>80</v>
      </c>
      <c r="CA9" s="48" t="s">
        <v>84</v>
      </c>
      <c r="CB9" s="48" t="s">
        <v>81</v>
      </c>
      <c r="CC9" s="48" t="s">
        <v>81</v>
      </c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EB48F972-C532-4B13-9330-571698BEE4E5}">
      <formula1>"ロン,ツモ,放銃,ツモ支払,流局,チョンボ"</formula1>
    </dataValidation>
    <dataValidation type="list" allowBlank="1" showInputMessage="1" showErrorMessage="1" sqref="E4:E30" xr:uid="{EA6C9A58-D090-42B0-9A6A-4360D736069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2019-01-15T16:07:00Z</dcterms:modified>
</cp:coreProperties>
</file>