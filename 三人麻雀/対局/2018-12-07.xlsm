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72671AEC-C224-41CE-92C0-8ED0E07FE157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2" l="1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S15" i="12"/>
  <c r="T15" i="12" s="1"/>
  <c r="W15" i="12" s="1"/>
  <c r="O15" i="12"/>
  <c r="V15" i="12" s="1"/>
  <c r="N15" i="12"/>
  <c r="I15" i="12"/>
  <c r="J15" i="12" s="1"/>
  <c r="U15" i="12" s="1"/>
  <c r="D15" i="12"/>
  <c r="C15" i="12"/>
  <c r="B15" i="12"/>
  <c r="A15" i="12"/>
  <c r="T14" i="12"/>
  <c r="W14" i="12" s="1"/>
  <c r="S14" i="12"/>
  <c r="N14" i="12"/>
  <c r="O14" i="12" s="1"/>
  <c r="V14" i="12" s="1"/>
  <c r="I14" i="12"/>
  <c r="J14" i="12" s="1"/>
  <c r="U14" i="12" s="1"/>
  <c r="D14" i="12"/>
  <c r="C14" i="12"/>
  <c r="B14" i="12"/>
  <c r="A14" i="12"/>
  <c r="S13" i="12"/>
  <c r="N13" i="12"/>
  <c r="I13" i="12"/>
  <c r="D13" i="12"/>
  <c r="C13" i="12"/>
  <c r="I12" i="12"/>
  <c r="D12" i="12"/>
  <c r="I11" i="12"/>
  <c r="D11" i="12"/>
  <c r="N10" i="12"/>
  <c r="I10" i="12"/>
  <c r="D10" i="12"/>
  <c r="C10" i="12"/>
  <c r="S10" i="12" s="1"/>
  <c r="N9" i="12"/>
  <c r="C9" i="12"/>
  <c r="S9" i="12" s="1"/>
  <c r="S8" i="12"/>
  <c r="N8" i="12"/>
  <c r="I8" i="12"/>
  <c r="D8" i="12"/>
  <c r="D9" i="12" s="1"/>
  <c r="C8" i="12"/>
  <c r="N7" i="12"/>
  <c r="I7" i="12"/>
  <c r="D7" i="12"/>
  <c r="C7" i="12"/>
  <c r="S7" i="12" s="1"/>
  <c r="N6" i="12"/>
  <c r="D6" i="12"/>
  <c r="C6" i="12"/>
  <c r="S6" i="12" s="1"/>
  <c r="B6" i="12"/>
  <c r="B7" i="12" s="1"/>
  <c r="N5" i="12"/>
  <c r="D5" i="12"/>
  <c r="C5" i="12"/>
  <c r="S5" i="12" s="1"/>
  <c r="B5" i="12"/>
  <c r="S4" i="12"/>
  <c r="T4" i="12" s="1"/>
  <c r="N4" i="12"/>
  <c r="O4" i="12" s="1"/>
  <c r="I4" i="12"/>
  <c r="J4" i="12" s="1"/>
  <c r="W3" i="12"/>
  <c r="V3" i="12"/>
  <c r="U3" i="12"/>
  <c r="W2" i="12"/>
  <c r="V2" i="12"/>
  <c r="U2" i="12"/>
  <c r="O5" i="12" l="1"/>
  <c r="V5" i="12" s="1"/>
  <c r="T5" i="12"/>
  <c r="W4" i="12"/>
  <c r="U4" i="12"/>
  <c r="B8" i="12"/>
  <c r="O6" i="12"/>
  <c r="V4" i="12"/>
  <c r="A5" i="12"/>
  <c r="A6" i="12" s="1"/>
  <c r="A7" i="12" s="1"/>
  <c r="I5" i="12"/>
  <c r="J5" i="12" s="1"/>
  <c r="I9" i="12"/>
  <c r="C11" i="12"/>
  <c r="I6" i="12"/>
  <c r="T30" i="11"/>
  <c r="W30" i="11" s="1"/>
  <c r="S30" i="11"/>
  <c r="O30" i="11"/>
  <c r="V30" i="11" s="1"/>
  <c r="N30" i="11"/>
  <c r="J30" i="11"/>
  <c r="U30" i="11" s="1"/>
  <c r="I30" i="1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I29" i="1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I28" i="1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I27" i="1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I26" i="1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I25" i="1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I24" i="1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I23" i="1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I22" i="1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I21" i="1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I20" i="1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I19" i="1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I18" i="1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I17" i="1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I16" i="1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I15" i="11"/>
  <c r="D15" i="11"/>
  <c r="C15" i="11"/>
  <c r="B15" i="11"/>
  <c r="A15" i="11"/>
  <c r="T14" i="11"/>
  <c r="W14" i="11" s="1"/>
  <c r="S14" i="11"/>
  <c r="O14" i="11"/>
  <c r="V14" i="11" s="1"/>
  <c r="N14" i="11"/>
  <c r="J14" i="11"/>
  <c r="U14" i="11" s="1"/>
  <c r="I14" i="11"/>
  <c r="D14" i="11"/>
  <c r="C14" i="11"/>
  <c r="B14" i="11"/>
  <c r="A14" i="11"/>
  <c r="S13" i="11"/>
  <c r="T13" i="11" s="1"/>
  <c r="W13" i="11" s="1"/>
  <c r="O13" i="11"/>
  <c r="V13" i="11" s="1"/>
  <c r="N13" i="11"/>
  <c r="I13" i="11"/>
  <c r="J13" i="11" s="1"/>
  <c r="U13" i="11" s="1"/>
  <c r="D13" i="11"/>
  <c r="C13" i="11"/>
  <c r="B13" i="11"/>
  <c r="A13" i="11"/>
  <c r="T12" i="11"/>
  <c r="W12" i="11" s="1"/>
  <c r="S12" i="11"/>
  <c r="N12" i="11"/>
  <c r="O12" i="11" s="1"/>
  <c r="V12" i="11" s="1"/>
  <c r="J12" i="11"/>
  <c r="U12" i="11" s="1"/>
  <c r="I12" i="11"/>
  <c r="D12" i="11"/>
  <c r="C12" i="11"/>
  <c r="B12" i="11"/>
  <c r="A12" i="11"/>
  <c r="S11" i="11"/>
  <c r="T11" i="11" s="1"/>
  <c r="W11" i="11" s="1"/>
  <c r="N11" i="11"/>
  <c r="O11" i="11" s="1"/>
  <c r="V11" i="11" s="1"/>
  <c r="J11" i="11"/>
  <c r="U11" i="11" s="1"/>
  <c r="I11" i="11"/>
  <c r="D11" i="11"/>
  <c r="C11" i="11"/>
  <c r="B11" i="11"/>
  <c r="A11" i="11"/>
  <c r="S10" i="11"/>
  <c r="D10" i="11"/>
  <c r="C10" i="11"/>
  <c r="I10" i="11" s="1"/>
  <c r="N9" i="11"/>
  <c r="D9" i="11"/>
  <c r="C9" i="11"/>
  <c r="S9" i="11" s="1"/>
  <c r="S8" i="11"/>
  <c r="I8" i="11"/>
  <c r="D8" i="11"/>
  <c r="C8" i="11"/>
  <c r="N8" i="11" s="1"/>
  <c r="S7" i="11"/>
  <c r="I7" i="11"/>
  <c r="D7" i="11"/>
  <c r="C7" i="11"/>
  <c r="N7" i="11" s="1"/>
  <c r="N6" i="11"/>
  <c r="D6" i="11"/>
  <c r="C6" i="11"/>
  <c r="S6" i="11" s="1"/>
  <c r="B6" i="11"/>
  <c r="B7" i="11" s="1"/>
  <c r="D5" i="11"/>
  <c r="C5" i="11"/>
  <c r="S5" i="11" s="1"/>
  <c r="B5" i="11"/>
  <c r="A6" i="11" s="1"/>
  <c r="S4" i="11"/>
  <c r="T4" i="11" s="1"/>
  <c r="N4" i="11"/>
  <c r="O4" i="11" s="1"/>
  <c r="V4" i="11" s="1"/>
  <c r="I4" i="11"/>
  <c r="J4" i="11" s="1"/>
  <c r="W3" i="11"/>
  <c r="V3" i="11"/>
  <c r="U3" i="11"/>
  <c r="W2" i="11"/>
  <c r="V2" i="11"/>
  <c r="U2" i="11"/>
  <c r="A8" i="12" l="1"/>
  <c r="J6" i="12"/>
  <c r="U5" i="12"/>
  <c r="C12" i="12"/>
  <c r="N11" i="12"/>
  <c r="S11" i="12"/>
  <c r="O7" i="12"/>
  <c r="V6" i="12"/>
  <c r="B9" i="12"/>
  <c r="A9" i="12" s="1"/>
  <c r="W5" i="12"/>
  <c r="T6" i="12"/>
  <c r="A5" i="11"/>
  <c r="U4" i="11"/>
  <c r="B8" i="11"/>
  <c r="T5" i="11"/>
  <c r="W4" i="11"/>
  <c r="A7" i="11"/>
  <c r="N10" i="11"/>
  <c r="I5" i="11"/>
  <c r="J5" i="11" s="1"/>
  <c r="N5" i="11"/>
  <c r="O5" i="11" s="1"/>
  <c r="I9" i="11"/>
  <c r="I6" i="11"/>
  <c r="B10" i="12" l="1"/>
  <c r="A10" i="12" s="1"/>
  <c r="W6" i="12"/>
  <c r="T7" i="12"/>
  <c r="N12" i="12"/>
  <c r="S12" i="12"/>
  <c r="V7" i="12"/>
  <c r="O8" i="12"/>
  <c r="J7" i="12"/>
  <c r="U6" i="12"/>
  <c r="J6" i="11"/>
  <c r="U5" i="11"/>
  <c r="O6" i="11"/>
  <c r="V5" i="11"/>
  <c r="B9" i="11"/>
  <c r="A8" i="11"/>
  <c r="W5" i="11"/>
  <c r="T6" i="11"/>
  <c r="O9" i="12" l="1"/>
  <c r="V8" i="12"/>
  <c r="W7" i="12"/>
  <c r="T8" i="12"/>
  <c r="B11" i="12"/>
  <c r="J8" i="12"/>
  <c r="U7" i="12"/>
  <c r="W6" i="11"/>
  <c r="T7" i="11"/>
  <c r="B10" i="11"/>
  <c r="A10" i="11" s="1"/>
  <c r="J7" i="11"/>
  <c r="U6" i="11"/>
  <c r="O7" i="11"/>
  <c r="V6" i="11"/>
  <c r="A9" i="11"/>
  <c r="B12" i="12" l="1"/>
  <c r="T9" i="12"/>
  <c r="W8" i="12"/>
  <c r="A11" i="12"/>
  <c r="V9" i="12"/>
  <c r="O10" i="12"/>
  <c r="J9" i="12"/>
  <c r="U8" i="12"/>
  <c r="T8" i="11"/>
  <c r="W7" i="11"/>
  <c r="V7" i="11"/>
  <c r="O8" i="11"/>
  <c r="J8" i="11"/>
  <c r="U7" i="11"/>
  <c r="O11" i="12" l="1"/>
  <c r="V10" i="12"/>
  <c r="B13" i="12"/>
  <c r="A13" i="12" s="1"/>
  <c r="U9" i="12"/>
  <c r="J10" i="12"/>
  <c r="T10" i="12"/>
  <c r="W9" i="12"/>
  <c r="A12" i="12"/>
  <c r="O9" i="11"/>
  <c r="V8" i="11"/>
  <c r="J9" i="11"/>
  <c r="U8" i="11"/>
  <c r="T9" i="11"/>
  <c r="W8" i="11"/>
  <c r="V11" i="12" l="1"/>
  <c r="O12" i="12"/>
  <c r="W10" i="12"/>
  <c r="T11" i="12"/>
  <c r="J11" i="12"/>
  <c r="U10" i="12"/>
  <c r="W9" i="11"/>
  <c r="T10" i="11"/>
  <c r="W10" i="11" s="1"/>
  <c r="U9" i="11"/>
  <c r="J10" i="11"/>
  <c r="U10" i="11" s="1"/>
  <c r="O10" i="11"/>
  <c r="V10" i="11" s="1"/>
  <c r="V9" i="11"/>
  <c r="T12" i="12" l="1"/>
  <c r="W11" i="12"/>
  <c r="J12" i="12"/>
  <c r="U11" i="12"/>
  <c r="O13" i="12"/>
  <c r="V13" i="12" s="1"/>
  <c r="V12" i="12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J13" i="12" l="1"/>
  <c r="U13" i="12" s="1"/>
  <c r="U12" i="12"/>
  <c r="T13" i="12"/>
  <c r="W13" i="12" s="1"/>
  <c r="W12" i="12"/>
  <c r="W3" i="1"/>
  <c r="V3" i="1"/>
  <c r="U3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 l="1"/>
  <c r="U5" i="1"/>
  <c r="A6" i="1"/>
  <c r="A8" i="1"/>
  <c r="B9" i="1"/>
  <c r="A9" i="1" s="1"/>
  <c r="O4" i="1"/>
  <c r="V4" i="1" s="1"/>
  <c r="O8" i="1"/>
  <c r="V8" i="1" s="1"/>
  <c r="O9" i="1"/>
  <c r="V9" i="1" s="1"/>
  <c r="T7" i="1"/>
  <c r="W7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10" i="1"/>
  <c r="W10" i="1" s="1"/>
  <c r="T8" i="1"/>
  <c r="W8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10" i="1"/>
  <c r="V10" i="1" s="1"/>
  <c r="O7" i="1"/>
  <c r="V7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10" i="1"/>
  <c r="U10" i="1" s="1"/>
  <c r="J9" i="1"/>
  <c r="U9" i="1" s="1"/>
  <c r="J8" i="1"/>
  <c r="U8" i="1" s="1"/>
  <c r="J7" i="1"/>
  <c r="U7" i="1" s="1"/>
  <c r="J6" i="1"/>
  <c r="U6" i="1" l="1"/>
  <c r="V5" i="1"/>
  <c r="T5" i="1"/>
  <c r="O6" i="1"/>
  <c r="B10" i="1"/>
  <c r="B11" i="1" s="1"/>
  <c r="T9" i="1"/>
  <c r="W9" i="1" s="1"/>
  <c r="V6" i="1" l="1"/>
  <c r="W5" i="1"/>
  <c r="T6" i="1"/>
  <c r="A10" i="1"/>
  <c r="A11" i="1"/>
  <c r="B12" i="1"/>
  <c r="W6" i="1" l="1"/>
  <c r="B13" i="1"/>
  <c r="A13" i="1"/>
  <c r="A12" i="1"/>
  <c r="B14" i="1" l="1"/>
  <c r="A14" i="1" s="1"/>
</calcChain>
</file>

<file path=xl/sharedStrings.xml><?xml version="1.0" encoding="utf-8"?>
<sst xmlns="http://schemas.openxmlformats.org/spreadsheetml/2006/main" count="238" uniqueCount="35">
  <si>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</si>
  <si>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</si>
  <si>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</si>
  <si>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</si>
  <si>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</si>
  <si>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</si>
  <si>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</si>
  <si>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</si>
  <si>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</si>
  <si>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</si>
  <si>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</si>
  <si>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</si>
  <si>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</si>
  <si>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</si>
  <si>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</si>
  <si>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</si>
  <si>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</si>
  <si>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</si>
  <si>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</si>
  <si>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</si>
  <si>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</si>
  <si>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</si>
  <si>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</si>
  <si>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</si>
  <si>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</si>
  <si>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</si>
  <si>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</si>
  <si>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</si>
  <si>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流局</t>
  </si>
  <si>
    <t>ツモ</t>
  </si>
  <si>
    <t>ツモ支払</t>
  </si>
  <si>
    <t>放銃</t>
  </si>
  <si>
    <t>ロン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</si>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</sst>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28</v>
      </c>
      <c r="G4" s="11">
        <v>1500</v>
      </c>
      <c r="H4" s="11"/>
      <c r="I4" s="12" t="str">
        <f>IF(OR(F4="ロン",F4="ツモ"),$C4*1000,IF(F4="放銃",$C4*-1000,IF(F4="ツモ支払",$C4*-500,"")))</f>
        <v/>
      </c>
      <c r="J4" s="36">
        <f t="shared" ref="J4:J30" si="0">IF(COUNTA($F4,$K4,$P4)&gt;0,J3+SUM(G4:I4),"")</f>
        <v>36500</v>
      </c>
      <c r="K4" s="10" t="s">
        <v>28</v>
      </c>
      <c r="L4" s="11">
        <v>-3000</v>
      </c>
      <c r="M4" s="11"/>
      <c r="N4" s="12" t="str">
        <f>IF(OR(K4="ロン",K4="ツモ"),$C4*1000,IF(K4="放銃",$C4*-1000,IF(K4="ツモ支払",$C4*-500,"")))</f>
        <v/>
      </c>
      <c r="O4" s="36">
        <f t="shared" ref="O4:O30" si="1">IF(COUNTA($F4,$K4,$P4)&gt;0,O3+SUM(L4:N4),"")</f>
        <v>32000</v>
      </c>
      <c r="P4" s="10" t="s">
        <v>28</v>
      </c>
      <c r="Q4" s="11">
        <v>1500</v>
      </c>
      <c r="R4" s="11">
        <v>-1000</v>
      </c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35500</v>
      </c>
      <c r="U4" s="26">
        <f t="shared" ref="U4:U30" si="3">IF($J4="","",ROUND(($J4-$J$3)/1000,0))</f>
        <v>2</v>
      </c>
      <c r="V4" s="27">
        <f t="shared" ref="V4:V30" si="4">IF($O4="","",ROUND(($O4-$O$3)/1000,0))</f>
        <v>-3</v>
      </c>
      <c r="W4" s="28">
        <f t="shared" ref="W4:W30" si="5">IF($T4="","",ROUND(($T4-$T$3)/1000,0))</f>
        <v>1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1</v>
      </c>
      <c r="E5" s="5" t="s">
        <v>26</v>
      </c>
      <c r="F5" s="10" t="s">
        <v>29</v>
      </c>
      <c r="G5" s="11">
        <v>12000</v>
      </c>
      <c r="H5" s="11">
        <v>1000</v>
      </c>
      <c r="I5" s="12">
        <f>IF(OR(F5="ロン",F5="ツモ"),$C5*1000,IF(F5="放銃",$C5*-1000,IF(F5="ツモ支払",$C5*-500,"")))</f>
        <v>0</v>
      </c>
      <c r="J5" s="36">
        <f t="shared" si="0"/>
        <v>49500</v>
      </c>
      <c r="K5" s="10" t="s">
        <v>30</v>
      </c>
      <c r="L5" s="11">
        <v>-4500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27500</v>
      </c>
      <c r="P5" s="10" t="s">
        <v>30</v>
      </c>
      <c r="Q5" s="11">
        <v>-7500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28000</v>
      </c>
      <c r="U5" s="26">
        <f t="shared" si="3"/>
        <v>15</v>
      </c>
      <c r="V5" s="27">
        <f t="shared" si="4"/>
        <v>-8</v>
      </c>
      <c r="W5" s="28">
        <f t="shared" si="5"/>
        <v>-7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-700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48800</v>
      </c>
      <c r="K6" s="10" t="s">
        <v>30</v>
      </c>
      <c r="L6" s="11">
        <v>-500</v>
      </c>
      <c r="M6" s="11"/>
      <c r="N6" s="12">
        <f t="shared" si="6"/>
        <v>0</v>
      </c>
      <c r="O6" s="36">
        <f t="shared" si="1"/>
        <v>27000</v>
      </c>
      <c r="P6" s="10" t="s">
        <v>29</v>
      </c>
      <c r="Q6" s="11">
        <v>1200</v>
      </c>
      <c r="R6" s="11"/>
      <c r="S6" s="12">
        <f t="shared" si="7"/>
        <v>0</v>
      </c>
      <c r="T6" s="36">
        <f t="shared" si="2"/>
        <v>29200</v>
      </c>
      <c r="U6" s="26">
        <f t="shared" si="3"/>
        <v>14</v>
      </c>
      <c r="V6" s="27">
        <f t="shared" si="4"/>
        <v>-8</v>
      </c>
      <c r="W6" s="28">
        <f t="shared" si="5"/>
        <v>-6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24</v>
      </c>
      <c r="F7" s="10" t="s">
        <v>32</v>
      </c>
      <c r="G7" s="11">
        <v>3900</v>
      </c>
      <c r="H7" s="11"/>
      <c r="I7" s="12">
        <f t="shared" si="12"/>
        <v>0</v>
      </c>
      <c r="J7" s="36">
        <f t="shared" si="0"/>
        <v>52700</v>
      </c>
      <c r="K7" s="10" t="s">
        <v>31</v>
      </c>
      <c r="L7" s="11">
        <v>-3900</v>
      </c>
      <c r="M7" s="11"/>
      <c r="N7" s="12">
        <f t="shared" si="6"/>
        <v>0</v>
      </c>
      <c r="O7" s="36">
        <f t="shared" si="1"/>
        <v>23100</v>
      </c>
      <c r="P7" s="10"/>
      <c r="Q7" s="11"/>
      <c r="R7" s="11"/>
      <c r="S7" s="12" t="str">
        <f t="shared" si="7"/>
        <v/>
      </c>
      <c r="T7" s="36">
        <f t="shared" si="2"/>
        <v>29200</v>
      </c>
      <c r="U7" s="26">
        <f t="shared" si="3"/>
        <v>18</v>
      </c>
      <c r="V7" s="27">
        <f t="shared" si="4"/>
        <v>-12</v>
      </c>
      <c r="W7" s="28">
        <f t="shared" si="5"/>
        <v>-6</v>
      </c>
    </row>
    <row r="8" spans="1:23" x14ac:dyDescent="0.4">
      <c r="A8" s="17" t="str">
        <f t="shared" si="8"/>
        <v>南</v>
      </c>
      <c r="B8" s="33">
        <f t="shared" si="9"/>
        <v>2</v>
      </c>
      <c r="C8" s="33">
        <f t="shared" si="10"/>
        <v>0</v>
      </c>
      <c r="D8" s="33">
        <f t="shared" si="11"/>
        <v>0</v>
      </c>
      <c r="E8" s="5" t="s">
        <v>26</v>
      </c>
      <c r="F8" s="10" t="s">
        <v>30</v>
      </c>
      <c r="G8" s="11">
        <v>-9000</v>
      </c>
      <c r="H8" s="11"/>
      <c r="I8" s="12">
        <f t="shared" si="12"/>
        <v>0</v>
      </c>
      <c r="J8" s="36">
        <f t="shared" si="0"/>
        <v>43700</v>
      </c>
      <c r="K8" s="10" t="s">
        <v>30</v>
      </c>
      <c r="L8" s="11">
        <v>-9000</v>
      </c>
      <c r="M8" s="11"/>
      <c r="N8" s="12">
        <f t="shared" si="6"/>
        <v>0</v>
      </c>
      <c r="O8" s="36">
        <f t="shared" si="1"/>
        <v>14100</v>
      </c>
      <c r="P8" s="10" t="s">
        <v>29</v>
      </c>
      <c r="Q8" s="11">
        <v>18000</v>
      </c>
      <c r="R8" s="11"/>
      <c r="S8" s="12">
        <f t="shared" si="7"/>
        <v>0</v>
      </c>
      <c r="T8" s="36">
        <f t="shared" si="2"/>
        <v>47200</v>
      </c>
      <c r="U8" s="26">
        <f t="shared" si="3"/>
        <v>9</v>
      </c>
      <c r="V8" s="27">
        <f t="shared" si="4"/>
        <v>-21</v>
      </c>
      <c r="W8" s="28">
        <f t="shared" si="5"/>
        <v>12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1</v>
      </c>
      <c r="D9" s="33">
        <f t="shared" si="11"/>
        <v>0</v>
      </c>
      <c r="E9" s="5" t="s">
        <v>26</v>
      </c>
      <c r="F9" s="10" t="s">
        <v>32</v>
      </c>
      <c r="G9" s="11">
        <v>2600</v>
      </c>
      <c r="H9" s="11"/>
      <c r="I9" s="12">
        <f t="shared" si="12"/>
        <v>1000</v>
      </c>
      <c r="J9" s="36">
        <f t="shared" si="0"/>
        <v>47300</v>
      </c>
      <c r="K9" s="10"/>
      <c r="L9" s="11"/>
      <c r="M9" s="11"/>
      <c r="N9" s="12" t="str">
        <f t="shared" si="6"/>
        <v/>
      </c>
      <c r="O9" s="36">
        <f t="shared" si="1"/>
        <v>14100</v>
      </c>
      <c r="P9" s="10" t="s">
        <v>31</v>
      </c>
      <c r="Q9" s="11">
        <v>-2600</v>
      </c>
      <c r="R9" s="11"/>
      <c r="S9" s="12">
        <f t="shared" si="7"/>
        <v>-1000</v>
      </c>
      <c r="T9" s="36">
        <f t="shared" si="2"/>
        <v>43600</v>
      </c>
      <c r="U9" s="26">
        <f t="shared" si="3"/>
        <v>12</v>
      </c>
      <c r="V9" s="27">
        <f t="shared" si="4"/>
        <v>-21</v>
      </c>
      <c r="W9" s="28">
        <f t="shared" si="5"/>
        <v>9</v>
      </c>
    </row>
    <row r="10" spans="1:23" x14ac:dyDescent="0.4">
      <c r="A10" s="17" t="str">
        <f t="shared" si="8"/>
        <v>南</v>
      </c>
      <c r="B10" s="33">
        <f t="shared" si="9"/>
        <v>3</v>
      </c>
      <c r="C10" s="33">
        <f t="shared" si="10"/>
        <v>0</v>
      </c>
      <c r="D10" s="33">
        <f t="shared" si="11"/>
        <v>0</v>
      </c>
      <c r="E10" s="5" t="s">
        <v>22</v>
      </c>
      <c r="F10" s="10" t="s">
        <v>32</v>
      </c>
      <c r="G10" s="11">
        <v>3900</v>
      </c>
      <c r="H10" s="11"/>
      <c r="I10" s="12">
        <f t="shared" si="12"/>
        <v>0</v>
      </c>
      <c r="J10" s="36">
        <f t="shared" si="0"/>
        <v>51200</v>
      </c>
      <c r="K10" s="10" t="s">
        <v>31</v>
      </c>
      <c r="L10" s="11">
        <v>-3900</v>
      </c>
      <c r="M10" s="11"/>
      <c r="N10" s="12">
        <f t="shared" si="6"/>
        <v>0</v>
      </c>
      <c r="O10" s="36">
        <f t="shared" si="1"/>
        <v>10200</v>
      </c>
      <c r="P10" s="10"/>
      <c r="Q10" s="11"/>
      <c r="R10" s="11"/>
      <c r="S10" s="12" t="str">
        <f t="shared" si="7"/>
        <v/>
      </c>
      <c r="T10" s="36">
        <f t="shared" si="2"/>
        <v>43600</v>
      </c>
      <c r="U10" s="26">
        <f t="shared" si="3"/>
        <v>16</v>
      </c>
      <c r="V10" s="27">
        <f t="shared" si="4"/>
        <v>-25</v>
      </c>
      <c r="W10" s="28">
        <f t="shared" si="5"/>
        <v>9</v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987D9-FDF2-4522-B586-E669E6E333BB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22</v>
      </c>
      <c r="F4" s="10" t="s">
        <v>29</v>
      </c>
      <c r="G4" s="11">
        <v>18000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53000</v>
      </c>
      <c r="K4" s="10" t="s">
        <v>30</v>
      </c>
      <c r="L4" s="11">
        <v>-9000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26000</v>
      </c>
      <c r="P4" s="10" t="s">
        <v>30</v>
      </c>
      <c r="Q4" s="11">
        <v>-9000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26000</v>
      </c>
      <c r="U4" s="26">
        <f t="shared" ref="U4:U30" si="3">IF($J4="","",ROUND(($J4-$J$3)/1000,0))</f>
        <v>18</v>
      </c>
      <c r="V4" s="27">
        <f t="shared" ref="V4:V30" si="4">IF($O4="","",ROUND(($O4-$O$3)/1000,0))</f>
        <v>-9</v>
      </c>
      <c r="W4" s="28">
        <f t="shared" ref="W4:W30" si="5">IF($T4="","",ROUND(($T4-$T$3)/1000,0))</f>
        <v>-9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22</v>
      </c>
      <c r="F5" s="10" t="s">
        <v>31</v>
      </c>
      <c r="G5" s="11">
        <v>-3900</v>
      </c>
      <c r="H5" s="11"/>
      <c r="I5" s="12">
        <f>IF(OR(F5="ロン",F5="ツモ"),$C5*1000,IF(F5="放銃",$C5*-1000,IF(F5="ツモ支払",$C5*-500,"")))</f>
        <v>-1000</v>
      </c>
      <c r="J5" s="36">
        <f t="shared" si="0"/>
        <v>48100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36">
        <f t="shared" si="1"/>
        <v>26000</v>
      </c>
      <c r="P5" s="10" t="s">
        <v>32</v>
      </c>
      <c r="Q5" s="11">
        <v>3900</v>
      </c>
      <c r="R5" s="11"/>
      <c r="S5" s="12">
        <f t="shared" ref="S5:S30" si="7">IF(OR(P5="ロン",P5="ツモ"),$C5*1000,IF(P5="放銃",$C5*-1000,IF(P5="ツモ支払",$C5*-500,"")))</f>
        <v>1000</v>
      </c>
      <c r="T5" s="36">
        <f t="shared" si="2"/>
        <v>30900</v>
      </c>
      <c r="U5" s="26">
        <f t="shared" si="3"/>
        <v>13</v>
      </c>
      <c r="V5" s="27">
        <f t="shared" si="4"/>
        <v>-9</v>
      </c>
      <c r="W5" s="28">
        <f t="shared" si="5"/>
        <v>-4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24</v>
      </c>
      <c r="F6" s="10" t="s">
        <v>31</v>
      </c>
      <c r="G6" s="11">
        <v>-12000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36100</v>
      </c>
      <c r="K6" s="10"/>
      <c r="L6" s="11"/>
      <c r="M6" s="11"/>
      <c r="N6" s="12" t="str">
        <f t="shared" si="6"/>
        <v/>
      </c>
      <c r="O6" s="36">
        <f t="shared" si="1"/>
        <v>26000</v>
      </c>
      <c r="P6" s="10" t="s">
        <v>32</v>
      </c>
      <c r="Q6" s="11">
        <v>12000</v>
      </c>
      <c r="R6" s="11"/>
      <c r="S6" s="12">
        <f t="shared" si="7"/>
        <v>0</v>
      </c>
      <c r="T6" s="36">
        <f t="shared" si="2"/>
        <v>42900</v>
      </c>
      <c r="U6" s="26">
        <f t="shared" si="3"/>
        <v>1</v>
      </c>
      <c r="V6" s="27">
        <f t="shared" si="4"/>
        <v>-9</v>
      </c>
      <c r="W6" s="28">
        <f t="shared" si="5"/>
        <v>8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0</v>
      </c>
      <c r="D7" s="33">
        <f t="shared" si="11"/>
        <v>0</v>
      </c>
      <c r="E7" s="5" t="s">
        <v>26</v>
      </c>
      <c r="F7" s="10" t="s">
        <v>32</v>
      </c>
      <c r="G7" s="11">
        <v>16000</v>
      </c>
      <c r="H7" s="11">
        <v>1000</v>
      </c>
      <c r="I7" s="12">
        <f t="shared" si="12"/>
        <v>0</v>
      </c>
      <c r="J7" s="36">
        <f t="shared" si="0"/>
        <v>53100</v>
      </c>
      <c r="K7" s="10"/>
      <c r="L7" s="11"/>
      <c r="M7" s="11">
        <v>-1000</v>
      </c>
      <c r="N7" s="12" t="str">
        <f t="shared" si="6"/>
        <v/>
      </c>
      <c r="O7" s="36">
        <f t="shared" si="1"/>
        <v>25000</v>
      </c>
      <c r="P7" s="10" t="s">
        <v>31</v>
      </c>
      <c r="Q7" s="11">
        <v>-16000</v>
      </c>
      <c r="R7" s="11"/>
      <c r="S7" s="12">
        <f t="shared" si="7"/>
        <v>0</v>
      </c>
      <c r="T7" s="36">
        <f t="shared" si="2"/>
        <v>26900</v>
      </c>
      <c r="U7" s="26">
        <f t="shared" si="3"/>
        <v>18</v>
      </c>
      <c r="V7" s="27">
        <f t="shared" si="4"/>
        <v>-10</v>
      </c>
      <c r="W7" s="28">
        <f t="shared" si="5"/>
        <v>-8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0</v>
      </c>
      <c r="D8" s="33">
        <f t="shared" si="11"/>
        <v>0</v>
      </c>
      <c r="E8" s="5" t="s">
        <v>22</v>
      </c>
      <c r="F8" s="10" t="s">
        <v>28</v>
      </c>
      <c r="G8" s="11">
        <v>-1500</v>
      </c>
      <c r="H8" s="11"/>
      <c r="I8" s="12" t="str">
        <f t="shared" si="12"/>
        <v/>
      </c>
      <c r="J8" s="36">
        <f t="shared" si="0"/>
        <v>51600</v>
      </c>
      <c r="K8" s="10" t="s">
        <v>28</v>
      </c>
      <c r="L8" s="11">
        <v>-1500</v>
      </c>
      <c r="M8" s="11"/>
      <c r="N8" s="12" t="str">
        <f t="shared" si="6"/>
        <v/>
      </c>
      <c r="O8" s="36">
        <f t="shared" si="1"/>
        <v>23500</v>
      </c>
      <c r="P8" s="10" t="s">
        <v>28</v>
      </c>
      <c r="Q8" s="11">
        <v>3000</v>
      </c>
      <c r="R8" s="11">
        <v>-1000</v>
      </c>
      <c r="S8" s="12" t="str">
        <f t="shared" si="7"/>
        <v/>
      </c>
      <c r="T8" s="36">
        <f t="shared" si="2"/>
        <v>28900</v>
      </c>
      <c r="U8" s="26">
        <f t="shared" si="3"/>
        <v>17</v>
      </c>
      <c r="V8" s="27">
        <f t="shared" si="4"/>
        <v>-12</v>
      </c>
      <c r="W8" s="28">
        <f t="shared" si="5"/>
        <v>-6</v>
      </c>
    </row>
    <row r="9" spans="1:23" x14ac:dyDescent="0.4">
      <c r="A9" s="17" t="str">
        <f t="shared" si="8"/>
        <v>南</v>
      </c>
      <c r="B9" s="33">
        <f t="shared" si="9"/>
        <v>1</v>
      </c>
      <c r="C9" s="33">
        <f t="shared" si="10"/>
        <v>1</v>
      </c>
      <c r="D9" s="33">
        <f t="shared" si="11"/>
        <v>1</v>
      </c>
      <c r="E9" s="5" t="s">
        <v>22</v>
      </c>
      <c r="F9" s="10" t="s">
        <v>30</v>
      </c>
      <c r="G9" s="11">
        <v>-20000</v>
      </c>
      <c r="H9" s="11"/>
      <c r="I9" s="12">
        <f t="shared" si="12"/>
        <v>-500</v>
      </c>
      <c r="J9" s="36">
        <f t="shared" si="0"/>
        <v>31100</v>
      </c>
      <c r="K9" s="10" t="s">
        <v>30</v>
      </c>
      <c r="L9" s="11">
        <v>-12000</v>
      </c>
      <c r="M9" s="11"/>
      <c r="N9" s="12">
        <f t="shared" si="6"/>
        <v>-500</v>
      </c>
      <c r="O9" s="36">
        <f t="shared" si="1"/>
        <v>11000</v>
      </c>
      <c r="P9" s="10" t="s">
        <v>29</v>
      </c>
      <c r="Q9" s="11">
        <v>32000</v>
      </c>
      <c r="R9" s="11">
        <v>1000</v>
      </c>
      <c r="S9" s="12">
        <f t="shared" si="7"/>
        <v>1000</v>
      </c>
      <c r="T9" s="36">
        <f t="shared" si="2"/>
        <v>62900</v>
      </c>
      <c r="U9" s="26">
        <f t="shared" si="3"/>
        <v>-4</v>
      </c>
      <c r="V9" s="27">
        <f t="shared" si="4"/>
        <v>-24</v>
      </c>
      <c r="W9" s="28">
        <f t="shared" si="5"/>
        <v>28</v>
      </c>
    </row>
    <row r="10" spans="1:23" x14ac:dyDescent="0.4">
      <c r="A10" s="17" t="str">
        <f t="shared" si="8"/>
        <v>南</v>
      </c>
      <c r="B10" s="33">
        <f t="shared" si="9"/>
        <v>2</v>
      </c>
      <c r="C10" s="33">
        <f t="shared" si="10"/>
        <v>0</v>
      </c>
      <c r="D10" s="33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36">
        <f t="shared" si="0"/>
        <v>31100</v>
      </c>
      <c r="K10" s="10" t="s">
        <v>32</v>
      </c>
      <c r="L10" s="11">
        <v>12000</v>
      </c>
      <c r="M10" s="11"/>
      <c r="N10" s="12">
        <f t="shared" si="6"/>
        <v>0</v>
      </c>
      <c r="O10" s="36">
        <f t="shared" si="1"/>
        <v>23000</v>
      </c>
      <c r="P10" s="10" t="s">
        <v>31</v>
      </c>
      <c r="Q10" s="11">
        <v>-12000</v>
      </c>
      <c r="R10" s="11"/>
      <c r="S10" s="12">
        <f t="shared" si="7"/>
        <v>0</v>
      </c>
      <c r="T10" s="36">
        <f t="shared" si="2"/>
        <v>50900</v>
      </c>
      <c r="U10" s="26">
        <f t="shared" si="3"/>
        <v>-4</v>
      </c>
      <c r="V10" s="27">
        <f t="shared" si="4"/>
        <v>-12</v>
      </c>
      <c r="W10" s="28">
        <f t="shared" si="5"/>
        <v>16</v>
      </c>
    </row>
    <row r="11" spans="1:23" x14ac:dyDescent="0.4">
      <c r="A11" s="17" t="str">
        <f t="shared" si="8"/>
        <v>南</v>
      </c>
      <c r="B11" s="33">
        <f t="shared" si="9"/>
        <v>2</v>
      </c>
      <c r="C11" s="33">
        <f t="shared" si="10"/>
        <v>1</v>
      </c>
      <c r="D11" s="33">
        <f t="shared" si="11"/>
        <v>0</v>
      </c>
      <c r="E11" s="5" t="s">
        <v>24</v>
      </c>
      <c r="F11" s="10"/>
      <c r="G11" s="11"/>
      <c r="H11" s="11"/>
      <c r="I11" s="12" t="str">
        <f t="shared" si="12"/>
        <v/>
      </c>
      <c r="J11" s="36">
        <f t="shared" si="0"/>
        <v>31100</v>
      </c>
      <c r="K11" s="10" t="s">
        <v>32</v>
      </c>
      <c r="L11" s="11">
        <v>2400</v>
      </c>
      <c r="M11" s="11"/>
      <c r="N11" s="12">
        <f t="shared" si="6"/>
        <v>1000</v>
      </c>
      <c r="O11" s="36">
        <f t="shared" si="1"/>
        <v>26400</v>
      </c>
      <c r="P11" s="10" t="s">
        <v>31</v>
      </c>
      <c r="Q11" s="11">
        <v>-2400</v>
      </c>
      <c r="R11" s="11"/>
      <c r="S11" s="12">
        <f t="shared" si="7"/>
        <v>-1000</v>
      </c>
      <c r="T11" s="36">
        <f t="shared" si="2"/>
        <v>47500</v>
      </c>
      <c r="U11" s="26">
        <f t="shared" si="3"/>
        <v>-4</v>
      </c>
      <c r="V11" s="27">
        <f t="shared" si="4"/>
        <v>-9</v>
      </c>
      <c r="W11" s="28">
        <f t="shared" si="5"/>
        <v>13</v>
      </c>
    </row>
    <row r="12" spans="1:23" x14ac:dyDescent="0.4">
      <c r="A12" s="17" t="str">
        <f t="shared" si="8"/>
        <v>南</v>
      </c>
      <c r="B12" s="33">
        <f t="shared" si="9"/>
        <v>2</v>
      </c>
      <c r="C12" s="33">
        <f t="shared" si="10"/>
        <v>2</v>
      </c>
      <c r="D12" s="33">
        <f t="shared" si="11"/>
        <v>0</v>
      </c>
      <c r="E12" s="5" t="s">
        <v>24</v>
      </c>
      <c r="F12" s="10"/>
      <c r="G12" s="11"/>
      <c r="H12" s="11"/>
      <c r="I12" s="12" t="str">
        <f t="shared" si="12"/>
        <v/>
      </c>
      <c r="J12" s="36">
        <f t="shared" si="0"/>
        <v>31100</v>
      </c>
      <c r="K12" s="10" t="s">
        <v>31</v>
      </c>
      <c r="L12" s="11">
        <v>-1300</v>
      </c>
      <c r="M12" s="11"/>
      <c r="N12" s="12">
        <f t="shared" si="6"/>
        <v>-2000</v>
      </c>
      <c r="O12" s="36">
        <f t="shared" si="1"/>
        <v>23100</v>
      </c>
      <c r="P12" s="10" t="s">
        <v>32</v>
      </c>
      <c r="Q12" s="11">
        <v>1300</v>
      </c>
      <c r="R12" s="11"/>
      <c r="S12" s="12">
        <f t="shared" si="7"/>
        <v>2000</v>
      </c>
      <c r="T12" s="36">
        <f t="shared" si="2"/>
        <v>50800</v>
      </c>
      <c r="U12" s="26">
        <f t="shared" si="3"/>
        <v>-4</v>
      </c>
      <c r="V12" s="27">
        <f t="shared" si="4"/>
        <v>-12</v>
      </c>
      <c r="W12" s="28">
        <f t="shared" si="5"/>
        <v>16</v>
      </c>
    </row>
    <row r="13" spans="1:23" x14ac:dyDescent="0.4">
      <c r="A13" s="17" t="str">
        <f t="shared" si="8"/>
        <v>南</v>
      </c>
      <c r="B13" s="33">
        <f t="shared" si="9"/>
        <v>3</v>
      </c>
      <c r="C13" s="33">
        <f t="shared" si="10"/>
        <v>0</v>
      </c>
      <c r="D13" s="33">
        <f t="shared" si="11"/>
        <v>0</v>
      </c>
      <c r="E13" s="5" t="s">
        <v>26</v>
      </c>
      <c r="F13" s="10" t="s">
        <v>28</v>
      </c>
      <c r="G13" s="11"/>
      <c r="H13" s="11">
        <v>-1000</v>
      </c>
      <c r="I13" s="12" t="str">
        <f t="shared" si="12"/>
        <v/>
      </c>
      <c r="J13" s="36">
        <f t="shared" si="0"/>
        <v>30100</v>
      </c>
      <c r="K13" s="10" t="s">
        <v>28</v>
      </c>
      <c r="L13" s="11"/>
      <c r="M13" s="11"/>
      <c r="N13" s="12" t="str">
        <f t="shared" si="6"/>
        <v/>
      </c>
      <c r="O13" s="36">
        <f t="shared" si="1"/>
        <v>23100</v>
      </c>
      <c r="P13" s="10" t="s">
        <v>28</v>
      </c>
      <c r="Q13" s="11"/>
      <c r="R13" s="11">
        <v>-1000</v>
      </c>
      <c r="S13" s="12" t="str">
        <f t="shared" si="7"/>
        <v/>
      </c>
      <c r="T13" s="36">
        <f t="shared" si="2"/>
        <v>49800</v>
      </c>
      <c r="U13" s="26">
        <f t="shared" si="3"/>
        <v>-5</v>
      </c>
      <c r="V13" s="27">
        <f t="shared" si="4"/>
        <v>-12</v>
      </c>
      <c r="W13" s="28">
        <f t="shared" si="5"/>
        <v>15</v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26D34843-FED3-4F36-BB38-4123B2563ECC}">
      <formula1>$U$2:$W$2</formula1>
    </dataValidation>
    <dataValidation type="list" showInputMessage="1" showErrorMessage="1" sqref="K4:K30 P4:P30 F4:F30" xr:uid="{536CE8A6-86D4-4842-AB6A-8EE83E48CFA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EC774-389E-480D-AE66-64E15B23DC14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34</v>
      </c>
      <c r="L1" s="45"/>
      <c r="M1" s="45"/>
      <c r="N1" s="46"/>
      <c r="O1" s="47"/>
      <c r="P1" s="44" t="s">
        <v>25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43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3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3" t="s">
        <v>10</v>
      </c>
      <c r="T2" s="8" t="s">
        <v>5</v>
      </c>
      <c r="U2" s="42" t="str">
        <f>$F$1</f>
        <v>だいち</v>
      </c>
      <c r="V2" s="43" t="str">
        <f>$K$1</f>
        <v>れんたろう</v>
      </c>
      <c r="W2" s="22" t="str">
        <f>$P$1</f>
        <v>りくと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31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27000</v>
      </c>
      <c r="K4" s="10" t="s">
        <v>32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43000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-8</v>
      </c>
      <c r="V4" s="27">
        <f t="shared" ref="V4:V30" si="4">IF($O4="","",ROUND(($O4-$O$3)/1000,0))</f>
        <v>8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22</v>
      </c>
      <c r="F5" s="10" t="s">
        <v>32</v>
      </c>
      <c r="G5" s="11">
        <v>24000</v>
      </c>
      <c r="H5" s="11"/>
      <c r="I5" s="12">
        <f>IF(OR(F5="ロン",F5="ツモ"),$C5*1000,IF(F5="放銃",$C5*-1000,IF(F5="ツモ支払",$C5*-500,"")))</f>
        <v>0</v>
      </c>
      <c r="J5" s="36">
        <f t="shared" si="0"/>
        <v>51000</v>
      </c>
      <c r="K5" s="10" t="s">
        <v>31</v>
      </c>
      <c r="L5" s="11">
        <v>-24000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19000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36">
        <f t="shared" si="2"/>
        <v>35000</v>
      </c>
      <c r="U5" s="26">
        <f t="shared" si="3"/>
        <v>16</v>
      </c>
      <c r="V5" s="27">
        <f t="shared" si="4"/>
        <v>-16</v>
      </c>
      <c r="W5" s="28">
        <f t="shared" si="5"/>
        <v>0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1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-1300</v>
      </c>
      <c r="H6" s="11">
        <v>-1000</v>
      </c>
      <c r="I6" s="12">
        <f t="shared" ref="I6:I30" si="12">IF(OR(F6="ロン",F6="ツモ"),$C6*1000,IF(F6="放銃",$C6*-1000,IF(F6="ツモ支払",$C6*-500,"")))</f>
        <v>-500</v>
      </c>
      <c r="J6" s="36">
        <f t="shared" si="0"/>
        <v>48200</v>
      </c>
      <c r="K6" s="10" t="s">
        <v>29</v>
      </c>
      <c r="L6" s="11">
        <v>2100</v>
      </c>
      <c r="M6" s="11">
        <v>2000</v>
      </c>
      <c r="N6" s="12">
        <f t="shared" si="6"/>
        <v>1000</v>
      </c>
      <c r="O6" s="36">
        <f t="shared" si="1"/>
        <v>24100</v>
      </c>
      <c r="P6" s="10" t="s">
        <v>30</v>
      </c>
      <c r="Q6" s="11">
        <v>-800</v>
      </c>
      <c r="R6" s="11">
        <v>-1000</v>
      </c>
      <c r="S6" s="12">
        <f t="shared" si="7"/>
        <v>-500</v>
      </c>
      <c r="T6" s="36">
        <f t="shared" si="2"/>
        <v>32700</v>
      </c>
      <c r="U6" s="26">
        <f t="shared" si="3"/>
        <v>13</v>
      </c>
      <c r="V6" s="27">
        <f t="shared" si="4"/>
        <v>-11</v>
      </c>
      <c r="W6" s="28">
        <f t="shared" si="5"/>
        <v>-2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0</v>
      </c>
      <c r="D7" s="33">
        <f t="shared" si="11"/>
        <v>0</v>
      </c>
      <c r="E7" s="5" t="s">
        <v>33</v>
      </c>
      <c r="F7" s="10" t="s">
        <v>30</v>
      </c>
      <c r="G7" s="11">
        <v>-9000</v>
      </c>
      <c r="H7" s="11"/>
      <c r="I7" s="12">
        <f t="shared" si="12"/>
        <v>0</v>
      </c>
      <c r="J7" s="36">
        <f t="shared" si="0"/>
        <v>39200</v>
      </c>
      <c r="K7" s="10" t="s">
        <v>29</v>
      </c>
      <c r="L7" s="11">
        <v>18000</v>
      </c>
      <c r="M7" s="11"/>
      <c r="N7" s="12">
        <f t="shared" si="6"/>
        <v>0</v>
      </c>
      <c r="O7" s="36">
        <f t="shared" si="1"/>
        <v>42100</v>
      </c>
      <c r="P7" s="10" t="s">
        <v>30</v>
      </c>
      <c r="Q7" s="11">
        <v>-9000</v>
      </c>
      <c r="R7" s="11"/>
      <c r="S7" s="12">
        <f t="shared" si="7"/>
        <v>0</v>
      </c>
      <c r="T7" s="36">
        <f t="shared" si="2"/>
        <v>23700</v>
      </c>
      <c r="U7" s="26">
        <f t="shared" si="3"/>
        <v>4</v>
      </c>
      <c r="V7" s="27">
        <f t="shared" si="4"/>
        <v>7</v>
      </c>
      <c r="W7" s="28">
        <f t="shared" si="5"/>
        <v>-11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1</v>
      </c>
      <c r="D8" s="33">
        <f t="shared" si="11"/>
        <v>0</v>
      </c>
      <c r="E8" s="5" t="s">
        <v>33</v>
      </c>
      <c r="F8" s="10" t="s">
        <v>31</v>
      </c>
      <c r="G8" s="11">
        <v>-2900</v>
      </c>
      <c r="H8" s="11"/>
      <c r="I8" s="12">
        <f t="shared" si="12"/>
        <v>-1000</v>
      </c>
      <c r="J8" s="36">
        <f t="shared" si="0"/>
        <v>35300</v>
      </c>
      <c r="K8" s="10" t="s">
        <v>32</v>
      </c>
      <c r="L8" s="11">
        <v>2900</v>
      </c>
      <c r="M8" s="11"/>
      <c r="N8" s="12">
        <f t="shared" si="6"/>
        <v>1000</v>
      </c>
      <c r="O8" s="36">
        <f t="shared" si="1"/>
        <v>46000</v>
      </c>
      <c r="P8" s="10"/>
      <c r="Q8" s="11"/>
      <c r="R8" s="11"/>
      <c r="S8" s="12" t="str">
        <f t="shared" si="7"/>
        <v/>
      </c>
      <c r="T8" s="36">
        <f t="shared" si="2"/>
        <v>23700</v>
      </c>
      <c r="U8" s="26">
        <f t="shared" si="3"/>
        <v>0</v>
      </c>
      <c r="V8" s="27">
        <f t="shared" si="4"/>
        <v>11</v>
      </c>
      <c r="W8" s="28">
        <f t="shared" si="5"/>
        <v>-11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2</v>
      </c>
      <c r="D9" s="33">
        <f t="shared" si="11"/>
        <v>0</v>
      </c>
      <c r="E9" s="5" t="s">
        <v>33</v>
      </c>
      <c r="F9" s="10" t="s">
        <v>29</v>
      </c>
      <c r="G9" s="11">
        <v>5300</v>
      </c>
      <c r="H9" s="11"/>
      <c r="I9" s="12">
        <f t="shared" si="12"/>
        <v>2000</v>
      </c>
      <c r="J9" s="36">
        <f t="shared" si="0"/>
        <v>42600</v>
      </c>
      <c r="K9" s="10" t="s">
        <v>30</v>
      </c>
      <c r="L9" s="11">
        <v>-3300</v>
      </c>
      <c r="M9" s="11"/>
      <c r="N9" s="12">
        <f t="shared" si="6"/>
        <v>-1000</v>
      </c>
      <c r="O9" s="36">
        <f t="shared" si="1"/>
        <v>41700</v>
      </c>
      <c r="P9" s="10" t="s">
        <v>30</v>
      </c>
      <c r="Q9" s="11">
        <v>-2000</v>
      </c>
      <c r="R9" s="11"/>
      <c r="S9" s="12">
        <f t="shared" si="7"/>
        <v>-1000</v>
      </c>
      <c r="T9" s="36">
        <f t="shared" si="2"/>
        <v>20700</v>
      </c>
      <c r="U9" s="26">
        <f t="shared" si="3"/>
        <v>8</v>
      </c>
      <c r="V9" s="27">
        <f t="shared" si="4"/>
        <v>7</v>
      </c>
      <c r="W9" s="28">
        <f t="shared" si="5"/>
        <v>-14</v>
      </c>
    </row>
    <row r="10" spans="1:23" x14ac:dyDescent="0.4">
      <c r="A10" s="17" t="str">
        <f t="shared" si="8"/>
        <v>南</v>
      </c>
      <c r="B10" s="33">
        <f t="shared" si="9"/>
        <v>1</v>
      </c>
      <c r="C10" s="33">
        <f t="shared" si="10"/>
        <v>0</v>
      </c>
      <c r="D10" s="33">
        <f t="shared" si="11"/>
        <v>0</v>
      </c>
      <c r="E10" s="5" t="s">
        <v>24</v>
      </c>
      <c r="F10" s="10" t="s">
        <v>30</v>
      </c>
      <c r="G10" s="11">
        <v>-800</v>
      </c>
      <c r="H10" s="11"/>
      <c r="I10" s="12">
        <f t="shared" si="12"/>
        <v>0</v>
      </c>
      <c r="J10" s="36">
        <f t="shared" si="0"/>
        <v>41800</v>
      </c>
      <c r="K10" s="10" t="s">
        <v>30</v>
      </c>
      <c r="L10" s="11">
        <v>-800</v>
      </c>
      <c r="M10" s="11"/>
      <c r="N10" s="12">
        <f t="shared" si="6"/>
        <v>0</v>
      </c>
      <c r="O10" s="36">
        <f t="shared" si="1"/>
        <v>40900</v>
      </c>
      <c r="P10" s="10" t="s">
        <v>29</v>
      </c>
      <c r="Q10" s="11">
        <v>1600</v>
      </c>
      <c r="R10" s="11"/>
      <c r="S10" s="12">
        <f t="shared" si="7"/>
        <v>0</v>
      </c>
      <c r="T10" s="36">
        <f t="shared" si="2"/>
        <v>22300</v>
      </c>
      <c r="U10" s="26">
        <f t="shared" si="3"/>
        <v>7</v>
      </c>
      <c r="V10" s="27">
        <f t="shared" si="4"/>
        <v>6</v>
      </c>
      <c r="W10" s="28">
        <f t="shared" si="5"/>
        <v>-13</v>
      </c>
    </row>
    <row r="11" spans="1:23" x14ac:dyDescent="0.4">
      <c r="A11" s="17" t="str">
        <f t="shared" si="8"/>
        <v>南</v>
      </c>
      <c r="B11" s="33">
        <f t="shared" si="9"/>
        <v>1</v>
      </c>
      <c r="C11" s="33">
        <f t="shared" si="10"/>
        <v>1</v>
      </c>
      <c r="D11" s="33">
        <f t="shared" si="11"/>
        <v>0</v>
      </c>
      <c r="E11" s="5" t="s">
        <v>24</v>
      </c>
      <c r="F11" s="10" t="s">
        <v>29</v>
      </c>
      <c r="G11" s="11">
        <v>4000</v>
      </c>
      <c r="H11" s="11">
        <v>2000</v>
      </c>
      <c r="I11" s="12">
        <f t="shared" si="12"/>
        <v>1000</v>
      </c>
      <c r="J11" s="36">
        <f t="shared" si="0"/>
        <v>48800</v>
      </c>
      <c r="K11" s="10" t="s">
        <v>30</v>
      </c>
      <c r="L11" s="11">
        <v>-1500</v>
      </c>
      <c r="M11" s="11">
        <v>-1000</v>
      </c>
      <c r="N11" s="12">
        <f t="shared" si="6"/>
        <v>-500</v>
      </c>
      <c r="O11" s="36">
        <f t="shared" si="1"/>
        <v>37900</v>
      </c>
      <c r="P11" s="10" t="s">
        <v>30</v>
      </c>
      <c r="Q11" s="11">
        <v>-2500</v>
      </c>
      <c r="R11" s="11">
        <v>-1000</v>
      </c>
      <c r="S11" s="12">
        <f t="shared" si="7"/>
        <v>-500</v>
      </c>
      <c r="T11" s="36">
        <f t="shared" si="2"/>
        <v>18300</v>
      </c>
      <c r="U11" s="26">
        <f t="shared" si="3"/>
        <v>14</v>
      </c>
      <c r="V11" s="27">
        <f t="shared" si="4"/>
        <v>3</v>
      </c>
      <c r="W11" s="28">
        <f t="shared" si="5"/>
        <v>-17</v>
      </c>
    </row>
    <row r="12" spans="1:23" x14ac:dyDescent="0.4">
      <c r="A12" s="17" t="str">
        <f t="shared" si="8"/>
        <v>南</v>
      </c>
      <c r="B12" s="33">
        <f t="shared" si="9"/>
        <v>2</v>
      </c>
      <c r="C12" s="33">
        <f t="shared" si="10"/>
        <v>0</v>
      </c>
      <c r="D12" s="33">
        <f t="shared" si="11"/>
        <v>0</v>
      </c>
      <c r="E12" s="5" t="s">
        <v>22</v>
      </c>
      <c r="F12" s="10" t="s">
        <v>32</v>
      </c>
      <c r="G12" s="11">
        <v>12000</v>
      </c>
      <c r="H12" s="11"/>
      <c r="I12" s="12">
        <f t="shared" si="12"/>
        <v>0</v>
      </c>
      <c r="J12" s="36">
        <f t="shared" si="0"/>
        <v>60800</v>
      </c>
      <c r="K12" s="10"/>
      <c r="L12" s="11"/>
      <c r="M12" s="11"/>
      <c r="N12" s="12" t="str">
        <f t="shared" si="6"/>
        <v/>
      </c>
      <c r="O12" s="36">
        <f t="shared" si="1"/>
        <v>37900</v>
      </c>
      <c r="P12" s="10" t="s">
        <v>31</v>
      </c>
      <c r="Q12" s="11">
        <v>-12000</v>
      </c>
      <c r="R12" s="11"/>
      <c r="S12" s="12">
        <f t="shared" si="7"/>
        <v>0</v>
      </c>
      <c r="T12" s="36">
        <f t="shared" si="2"/>
        <v>6300</v>
      </c>
      <c r="U12" s="26">
        <f t="shared" si="3"/>
        <v>26</v>
      </c>
      <c r="V12" s="27">
        <f t="shared" si="4"/>
        <v>3</v>
      </c>
      <c r="W12" s="28">
        <f t="shared" si="5"/>
        <v>-29</v>
      </c>
    </row>
    <row r="13" spans="1:23" x14ac:dyDescent="0.4">
      <c r="A13" s="17" t="str">
        <f t="shared" si="8"/>
        <v>南</v>
      </c>
      <c r="B13" s="33">
        <f t="shared" si="9"/>
        <v>2</v>
      </c>
      <c r="C13" s="33">
        <f t="shared" si="10"/>
        <v>1</v>
      </c>
      <c r="D13" s="33">
        <f t="shared" si="11"/>
        <v>0</v>
      </c>
      <c r="E13" s="5" t="s">
        <v>22</v>
      </c>
      <c r="F13" s="10" t="s">
        <v>32</v>
      </c>
      <c r="G13" s="11">
        <v>12000</v>
      </c>
      <c r="H13" s="11"/>
      <c r="I13" s="12">
        <f t="shared" si="12"/>
        <v>1000</v>
      </c>
      <c r="J13" s="36">
        <f t="shared" si="0"/>
        <v>73800</v>
      </c>
      <c r="K13" s="10" t="s">
        <v>31</v>
      </c>
      <c r="L13" s="11">
        <v>-12000</v>
      </c>
      <c r="M13" s="11"/>
      <c r="N13" s="12">
        <f t="shared" si="6"/>
        <v>-1000</v>
      </c>
      <c r="O13" s="36">
        <f t="shared" si="1"/>
        <v>24900</v>
      </c>
      <c r="P13" s="10"/>
      <c r="Q13" s="11"/>
      <c r="R13" s="11"/>
      <c r="S13" s="12" t="str">
        <f t="shared" si="7"/>
        <v/>
      </c>
      <c r="T13" s="36">
        <f t="shared" si="2"/>
        <v>6300</v>
      </c>
      <c r="U13" s="26">
        <f t="shared" si="3"/>
        <v>39</v>
      </c>
      <c r="V13" s="27">
        <f t="shared" si="4"/>
        <v>-10</v>
      </c>
      <c r="W13" s="28">
        <f t="shared" si="5"/>
        <v>-29</v>
      </c>
    </row>
    <row r="14" spans="1:23" x14ac:dyDescent="0.4">
      <c r="A14" s="17" t="str">
        <f t="shared" si="8"/>
        <v>南</v>
      </c>
      <c r="B14" s="33">
        <f t="shared" si="9"/>
        <v>2</v>
      </c>
      <c r="C14" s="33">
        <f t="shared" si="10"/>
        <v>2</v>
      </c>
      <c r="D14" s="33">
        <f t="shared" si="11"/>
        <v>0</v>
      </c>
      <c r="E14" s="5" t="s">
        <v>22</v>
      </c>
      <c r="F14" s="10" t="s">
        <v>31</v>
      </c>
      <c r="G14" s="11">
        <v>-12000</v>
      </c>
      <c r="H14" s="11"/>
      <c r="I14" s="12">
        <f t="shared" si="12"/>
        <v>-2000</v>
      </c>
      <c r="J14" s="36">
        <f t="shared" si="0"/>
        <v>59800</v>
      </c>
      <c r="K14" s="10" t="s">
        <v>32</v>
      </c>
      <c r="L14" s="11">
        <v>12000</v>
      </c>
      <c r="M14" s="11"/>
      <c r="N14" s="12">
        <f t="shared" si="6"/>
        <v>2000</v>
      </c>
      <c r="O14" s="36">
        <f t="shared" si="1"/>
        <v>38900</v>
      </c>
      <c r="P14" s="10"/>
      <c r="Q14" s="11"/>
      <c r="R14" s="11"/>
      <c r="S14" s="12" t="str">
        <f t="shared" si="7"/>
        <v/>
      </c>
      <c r="T14" s="36">
        <f t="shared" si="2"/>
        <v>6300</v>
      </c>
      <c r="U14" s="26">
        <f t="shared" si="3"/>
        <v>25</v>
      </c>
      <c r="V14" s="27">
        <f t="shared" si="4"/>
        <v>4</v>
      </c>
      <c r="W14" s="28">
        <f t="shared" si="5"/>
        <v>-29</v>
      </c>
    </row>
    <row r="15" spans="1:23" x14ac:dyDescent="0.4">
      <c r="A15" s="17" t="str">
        <f t="shared" si="8"/>
        <v>南</v>
      </c>
      <c r="B15" s="33">
        <f t="shared" si="9"/>
        <v>3</v>
      </c>
      <c r="C15" s="33">
        <f t="shared" si="10"/>
        <v>0</v>
      </c>
      <c r="D15" s="33">
        <f t="shared" si="11"/>
        <v>0</v>
      </c>
      <c r="E15" s="5" t="s">
        <v>33</v>
      </c>
      <c r="F15" s="10" t="s">
        <v>31</v>
      </c>
      <c r="G15" s="11">
        <v>-12000</v>
      </c>
      <c r="H15" s="11"/>
      <c r="I15" s="12">
        <f t="shared" si="12"/>
        <v>0</v>
      </c>
      <c r="J15" s="36">
        <f t="shared" si="0"/>
        <v>47800</v>
      </c>
      <c r="K15" s="10"/>
      <c r="L15" s="11"/>
      <c r="M15" s="11"/>
      <c r="N15" s="12" t="str">
        <f t="shared" si="6"/>
        <v/>
      </c>
      <c r="O15" s="36">
        <f t="shared" si="1"/>
        <v>38900</v>
      </c>
      <c r="P15" s="10" t="s">
        <v>32</v>
      </c>
      <c r="Q15" s="11">
        <v>12000</v>
      </c>
      <c r="R15" s="11"/>
      <c r="S15" s="12">
        <f t="shared" si="7"/>
        <v>0</v>
      </c>
      <c r="T15" s="36">
        <f t="shared" si="2"/>
        <v>18300</v>
      </c>
      <c r="U15" s="26">
        <f t="shared" si="3"/>
        <v>13</v>
      </c>
      <c r="V15" s="27">
        <f t="shared" si="4"/>
        <v>4</v>
      </c>
      <c r="W15" s="28">
        <f t="shared" si="5"/>
        <v>-17</v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89B8A47-0DE9-4EF3-AB71-74A057DC8B37}">
      <formula1>"ロン,ツモ,放銃,ツモ支払,流局,チョンボ"</formula1>
    </dataValidation>
    <dataValidation type="list" allowBlank="1" showErrorMessage="1" sqref="E4:E30" xr:uid="{492C6F54-3BAC-4F41-BC20-0D2F742DBA0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2018-12-07T18:36:17Z</dcterms:modified>
</cp:coreProperties>
</file>