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149A2BB5-61EB-40E6-8759-F54E78F113C2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J7" i="1"/>
  <c r="U6" i="1"/>
  <c r="O7" i="1"/>
  <c r="V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V10" i="1" l="1"/>
  <c r="U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O13" i="1"/>
  <c r="T12" i="1"/>
  <c r="U14" i="1" l="1"/>
  <c r="V13" i="1"/>
  <c r="W12" i="1"/>
  <c r="O14" i="1"/>
  <c r="J15" i="1"/>
  <c r="T13" i="1"/>
  <c r="U15" i="1" l="1"/>
  <c r="V14" i="1"/>
  <c r="W13" i="1"/>
  <c r="T14" i="1"/>
  <c r="O15" i="1"/>
  <c r="V15" i="1" l="1"/>
  <c r="W14" i="1"/>
  <c r="T15" i="1"/>
  <c r="W15" i="1" l="1"/>
</calcChain>
</file>

<file path=xl/sharedStrings.xml><?xml version="1.0" encoding="utf-8"?>
<sst xmlns="http://schemas.openxmlformats.org/spreadsheetml/2006/main" count="593" uniqueCount="148">
  <si>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</si>
  <si>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</si>
  <si>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</si>
  <si>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</si>
  <si>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</si>
  <si>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</si>
  <si>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</si>
  <si>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</si>
  <si>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</si>
  <si>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</si>
  <si>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</si>
  <si>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</si>
  <si>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</si>
  <si>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</si>
  <si>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</si>
  <si>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</si>
  <si>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</si>
  <si>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</si>
  <si>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</si>
  <si>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</si>
  <si>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</si>
  <si>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</si>
  <si>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</si>
  <si>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</si>
  <si>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</si>
  <si>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</si>
  <si>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</si>
  <si>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</si>
  <si>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</si>
  <si>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</si>
  <si>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</si>
  <si>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</si>
  <si>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</si>
  <si>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</si>
  <si>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</si>
  <si>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</si>
  <si>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</si>
  <si>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</si>
  <si>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</si>
  <si>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</si>
  <si>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</si>
  <si>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</si>
  <si>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</si>
  <si>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</si>
  <si>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</si>
  <si>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</si>
  <si>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</si>
  <si>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</si>
  <si>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</si>
  <si>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</si>
  <si>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</si>
  <si>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</si>
  <si>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</si>
  <si>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</si>
  <si>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</si>
  <si>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</si>
  <si>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</si>
  <si>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</si>
  <si>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</si>
  <si>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</si>
  <si>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</si>
  <si>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</si>
  <si>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</si>
  <si>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</si>
  <si>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</si>
  <si>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</si>
  <si>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</si>
  <si>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</si>
  <si>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</si>
  <si>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</si>
  <si>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</si>
  <si>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</si>
  <si>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</si>
  <si>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</si>
  <si>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</si>
  <si>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</si>
  <si>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</si>
  <si>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</si>
  <si>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</si>
  <si>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</si>
  <si>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</si>
  <si>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</si>
  <si>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</si>
  <si>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</si>
  <si>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</si>
  <si>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</si>
  <si>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</si>
  <si>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</si>
  <si>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</si>
  <si>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</si>
  <si>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</si>
  <si>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</si>
  <si>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</si>
  <si>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</si>
  <si>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</si>
  <si>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</si>
  <si>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</si>
  <si>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</si>
  <si>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</si>
  <si>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</si>
  <si>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</si>
  <si>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</si>
  <si>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</si>
  <si>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</si>
  <si>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</si>
  <si>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</si>
  <si>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</si>
  <si>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</si>
  <si>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</si>
  <si>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</si>
  <si>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</si>
  <si>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</si>
  <si>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</si>
  <si>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</si>
  <si>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</si>
  <si>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</si>
  <si>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</si>
  <si>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</si>
  <si>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</si>
  <si>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</si>
  <si>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</si>
  <si>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</si>
  <si>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</si>
  <si>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</si>
  <si>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</si>
  <si>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</si>
  <si>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</si>
  <si>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</si>
  <si>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</si>
  <si>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</si>
  <si>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</si>
  <si>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</si>
  <si>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</si>
  <si>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</si>
  <si>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</si>
  <si>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</si>
  <si>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</si>
  <si>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</si>
  <si>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</si>
  <si>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</si>
  <si>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</si>
  <si>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ロン</t>
  </si>
  <si>
    <t>放銃</t>
  </si>
  <si>
    <t>01</t>
  </si>
  <si>
    <t>ツモ</t>
  </si>
  <si>
    <t>ツモ支払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</si>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</sst>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138</v>
      </c>
      <c r="L1" s="68"/>
      <c r="M1" s="68"/>
      <c r="N1" s="77"/>
      <c r="O1" s="69"/>
      <c r="P1" s="66" t="s">
        <v>140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りくと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いっしー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>
        <v>-1000</v>
      </c>
      <c r="I4" s="55"/>
      <c r="J4" s="21">
        <f>IF(COUNTA($F4,$K4,$P4)&gt;0,J3+SUM(G4:I4),"")</f>
        <v>34000</v>
      </c>
      <c r="K4" s="8" t="s">
        <v>141</v>
      </c>
      <c r="L4" s="9">
        <v>5800</v>
      </c>
      <c r="M4" s="9">
        <v>1000</v>
      </c>
      <c r="N4" s="55">
        <v>0</v>
      </c>
      <c r="O4" s="21">
        <f>IF(COUNTA($F4,$K4,$P4)&gt;0,O3+SUM(L4:N4),"")</f>
        <v>41800</v>
      </c>
      <c r="P4" s="8" t="s">
        <v>142</v>
      </c>
      <c r="Q4" s="9">
        <v>-5800</v>
      </c>
      <c r="R4" s="9"/>
      <c r="S4" s="55">
        <v>0</v>
      </c>
      <c r="T4" s="21">
        <f>IF(COUNTA($F4,$K4,$P4)&gt;0,T3+SUM(Q4:S4),"")</f>
        <v>29200</v>
      </c>
      <c r="U4" s="60">
        <f t="shared" ref="U4:U30" si="0">IF($J4="","",ROUND(($J4-$J$3)/1000,1))</f>
        <v>-1</v>
      </c>
      <c r="V4" s="61">
        <f t="shared" ref="V4:V30" si="1">IF($O4="","",ROUND(($O4-$O$3)/1000,1))</f>
        <v>6.8</v>
      </c>
      <c r="W4" s="62">
        <f t="shared" ref="W4:W30" si="2">IF($T4="","",ROUND(($T4-$T$3)/1000,1))</f>
        <v>-5.8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30</v>
      </c>
      <c r="AZ4" s="47" t="s">
        <v>84</v>
      </c>
      <c r="BA4" s="48" t="s">
        <v>143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144</v>
      </c>
      <c r="G5" s="9">
        <v>8000</v>
      </c>
      <c r="H5" s="9"/>
      <c r="I5" s="55">
        <v>1000</v>
      </c>
      <c r="J5" s="21">
        <f t="shared" ref="J5:J30" si="6">IF(COUNTA($F5,$K5,$P5)&gt;0,J4+SUM(G5:I5),"")</f>
        <v>43000</v>
      </c>
      <c r="K5" s="8" t="s">
        <v>145</v>
      </c>
      <c r="L5" s="9">
        <v>-5000</v>
      </c>
      <c r="M5" s="9"/>
      <c r="N5" s="55">
        <v>-500</v>
      </c>
      <c r="O5" s="21">
        <f t="shared" ref="O5:O30" si="7">IF(COUNTA($F5,$K5,$P5)&gt;0,O4+SUM(L5:N5),"")</f>
        <v>36300</v>
      </c>
      <c r="P5" s="8" t="s">
        <v>145</v>
      </c>
      <c r="Q5" s="9">
        <v>-3000</v>
      </c>
      <c r="R5" s="9"/>
      <c r="S5" s="55">
        <v>-500</v>
      </c>
      <c r="T5" s="21">
        <f t="shared" ref="T5:T30" si="8">IF(COUNTA($F5,$K5,$P5)&gt;0,T4+SUM(Q5:S5),"")</f>
        <v>25700</v>
      </c>
      <c r="U5" s="60">
        <f t="shared" si="0"/>
        <v>8</v>
      </c>
      <c r="V5" s="61">
        <f t="shared" si="1"/>
        <v>1.3</v>
      </c>
      <c r="W5" s="62">
        <f t="shared" si="2"/>
        <v>-9.3000000000000007</v>
      </c>
      <c r="Y5" s="8"/>
      <c r="Z5" s="41"/>
      <c r="AA5" s="32">
        <v>1</v>
      </c>
      <c r="AB5" s="32"/>
      <c r="AC5" s="32">
        <v>5</v>
      </c>
      <c r="AD5" s="36" t="s">
        <v>146</v>
      </c>
      <c r="AE5" s="47" t="s">
        <v>143</v>
      </c>
      <c r="AF5" s="48" t="s">
        <v>83</v>
      </c>
      <c r="AG5" s="48" t="s">
        <v>147</v>
      </c>
      <c r="AH5" s="48" t="s">
        <v>82</v>
      </c>
      <c r="AI5" s="48" t="s">
        <v>82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/>
      <c r="G6" s="9"/>
      <c r="H6" s="9"/>
      <c r="I6" s="55"/>
      <c r="J6" s="21">
        <f t="shared" si="6"/>
        <v>43000</v>
      </c>
      <c r="K6" s="8" t="s">
        <v>141</v>
      </c>
      <c r="L6" s="9">
        <v>12000</v>
      </c>
      <c r="M6" s="9"/>
      <c r="N6" s="55">
        <v>0</v>
      </c>
      <c r="O6" s="21">
        <f t="shared" si="7"/>
        <v>48300</v>
      </c>
      <c r="P6" s="8" t="s">
        <v>142</v>
      </c>
      <c r="Q6" s="9">
        <v>-12000</v>
      </c>
      <c r="R6" s="9"/>
      <c r="S6" s="55">
        <v>0</v>
      </c>
      <c r="T6" s="21">
        <f t="shared" si="8"/>
        <v>13700</v>
      </c>
      <c r="U6" s="60">
        <f t="shared" si="0"/>
        <v>8</v>
      </c>
      <c r="V6" s="61">
        <f t="shared" si="1"/>
        <v>13.3</v>
      </c>
      <c r="W6" s="62">
        <f t="shared" si="2"/>
        <v>-21.3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7</v>
      </c>
      <c r="AY6" s="36" t="s">
        <v>146</v>
      </c>
      <c r="AZ6" s="47" t="s">
        <v>99</v>
      </c>
      <c r="BA6" s="48" t="s">
        <v>87</v>
      </c>
      <c r="BB6" s="48" t="s">
        <v>87</v>
      </c>
      <c r="BC6" s="48" t="s">
        <v>80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135</v>
      </c>
      <c r="F7" s="8" t="s">
        <v>141</v>
      </c>
      <c r="G7" s="9">
        <v>2900</v>
      </c>
      <c r="H7" s="9"/>
      <c r="I7" s="55">
        <v>0</v>
      </c>
      <c r="J7" s="21">
        <f t="shared" si="6"/>
        <v>45900</v>
      </c>
      <c r="K7" s="8" t="s">
        <v>142</v>
      </c>
      <c r="L7" s="9">
        <v>-2900</v>
      </c>
      <c r="M7" s="9"/>
      <c r="N7" s="55">
        <v>0</v>
      </c>
      <c r="O7" s="21">
        <f t="shared" si="7"/>
        <v>45400</v>
      </c>
      <c r="P7" s="8"/>
      <c r="Q7" s="9"/>
      <c r="R7" s="9"/>
      <c r="S7" s="55"/>
      <c r="T7" s="21">
        <f t="shared" si="8"/>
        <v>13700</v>
      </c>
      <c r="U7" s="60">
        <f t="shared" si="0"/>
        <v>10.9</v>
      </c>
      <c r="V7" s="61">
        <f t="shared" si="1"/>
        <v>10.4</v>
      </c>
      <c r="W7" s="62">
        <f t="shared" si="2"/>
        <v>-21.3</v>
      </c>
      <c r="Y7" s="8"/>
      <c r="Z7" s="41"/>
      <c r="AA7" s="32">
        <v>1</v>
      </c>
      <c r="AB7" s="32"/>
      <c r="AC7" s="32">
        <v>2</v>
      </c>
      <c r="AD7" s="36">
        <v>30</v>
      </c>
      <c r="AE7" s="47" t="s">
        <v>143</v>
      </c>
      <c r="AF7" s="48" t="s">
        <v>84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1</v>
      </c>
      <c r="D8" s="18">
        <f t="shared" si="5"/>
        <v>0</v>
      </c>
      <c r="E8" s="4" t="s">
        <v>135</v>
      </c>
      <c r="F8" s="8" t="s">
        <v>145</v>
      </c>
      <c r="G8" s="9">
        <v>-7500</v>
      </c>
      <c r="H8" s="9"/>
      <c r="I8" s="55">
        <v>-500</v>
      </c>
      <c r="J8" s="21">
        <f t="shared" si="6"/>
        <v>37900</v>
      </c>
      <c r="K8" s="8" t="s">
        <v>145</v>
      </c>
      <c r="L8" s="9">
        <v>-4500</v>
      </c>
      <c r="M8" s="9"/>
      <c r="N8" s="55">
        <v>-500</v>
      </c>
      <c r="O8" s="21">
        <f t="shared" si="7"/>
        <v>40400</v>
      </c>
      <c r="P8" s="8" t="s">
        <v>144</v>
      </c>
      <c r="Q8" s="9">
        <v>12000</v>
      </c>
      <c r="R8" s="9"/>
      <c r="S8" s="55">
        <v>1000</v>
      </c>
      <c r="T8" s="21">
        <f t="shared" si="8"/>
        <v>26700</v>
      </c>
      <c r="U8" s="60">
        <f t="shared" si="0"/>
        <v>2.9</v>
      </c>
      <c r="V8" s="61">
        <f t="shared" si="1"/>
        <v>5.4</v>
      </c>
      <c r="W8" s="62">
        <f t="shared" si="2"/>
        <v>-8.3000000000000007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7</v>
      </c>
      <c r="BT8" s="36" t="s">
        <v>146</v>
      </c>
      <c r="BU8" s="47" t="s">
        <v>99</v>
      </c>
      <c r="BV8" s="48" t="s">
        <v>80</v>
      </c>
      <c r="BW8" s="48" t="s">
        <v>80</v>
      </c>
      <c r="BX8" s="48" t="s">
        <v>80</v>
      </c>
      <c r="BY8" s="48" t="s">
        <v>87</v>
      </c>
      <c r="BZ8" s="48" t="s">
        <v>87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137</v>
      </c>
      <c r="F9" s="8" t="s">
        <v>145</v>
      </c>
      <c r="G9" s="9">
        <v>-800</v>
      </c>
      <c r="H9" s="9"/>
      <c r="I9" s="55">
        <v>0</v>
      </c>
      <c r="J9" s="21">
        <f t="shared" si="6"/>
        <v>37100</v>
      </c>
      <c r="K9" s="8" t="s">
        <v>144</v>
      </c>
      <c r="L9" s="9">
        <v>1600</v>
      </c>
      <c r="M9" s="9"/>
      <c r="N9" s="55">
        <v>0</v>
      </c>
      <c r="O9" s="21">
        <f t="shared" si="7"/>
        <v>42000</v>
      </c>
      <c r="P9" s="8" t="s">
        <v>145</v>
      </c>
      <c r="Q9" s="9">
        <v>-800</v>
      </c>
      <c r="R9" s="9"/>
      <c r="S9" s="55">
        <v>0</v>
      </c>
      <c r="T9" s="21">
        <f t="shared" si="8"/>
        <v>25900</v>
      </c>
      <c r="U9" s="60">
        <f t="shared" si="0"/>
        <v>2.1</v>
      </c>
      <c r="V9" s="61">
        <f t="shared" si="1"/>
        <v>7</v>
      </c>
      <c r="W9" s="62">
        <f t="shared" si="2"/>
        <v>-9.1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1</v>
      </c>
      <c r="AY9" s="36">
        <v>30</v>
      </c>
      <c r="AZ9" s="47" t="s">
        <v>87</v>
      </c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1</v>
      </c>
      <c r="D10" s="18">
        <f t="shared" si="5"/>
        <v>0</v>
      </c>
      <c r="E10" s="4" t="s">
        <v>137</v>
      </c>
      <c r="F10" s="8"/>
      <c r="G10" s="9"/>
      <c r="H10" s="9"/>
      <c r="I10" s="55"/>
      <c r="J10" s="21">
        <f t="shared" si="6"/>
        <v>37100</v>
      </c>
      <c r="K10" s="8" t="s">
        <v>141</v>
      </c>
      <c r="L10" s="9">
        <v>18000</v>
      </c>
      <c r="M10" s="9"/>
      <c r="N10" s="55">
        <v>1000</v>
      </c>
      <c r="O10" s="21">
        <f t="shared" si="7"/>
        <v>61000</v>
      </c>
      <c r="P10" s="8" t="s">
        <v>142</v>
      </c>
      <c r="Q10" s="9">
        <v>-18000</v>
      </c>
      <c r="R10" s="9"/>
      <c r="S10" s="55">
        <v>-1000</v>
      </c>
      <c r="T10" s="21">
        <f t="shared" si="8"/>
        <v>6900</v>
      </c>
      <c r="U10" s="60">
        <f t="shared" si="0"/>
        <v>2.1</v>
      </c>
      <c r="V10" s="61">
        <f t="shared" si="1"/>
        <v>26</v>
      </c>
      <c r="W10" s="62">
        <f t="shared" si="2"/>
        <v>-28.1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146</v>
      </c>
      <c r="AZ10" s="47" t="s">
        <v>143</v>
      </c>
      <c r="BA10" s="48" t="s">
        <v>84</v>
      </c>
      <c r="BB10" s="48" t="s">
        <v>82</v>
      </c>
      <c r="BC10" s="48" t="s">
        <v>82</v>
      </c>
      <c r="BD10" s="48" t="s">
        <v>81</v>
      </c>
      <c r="BE10" s="48" t="s">
        <v>80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1</v>
      </c>
      <c r="C11" s="18">
        <f t="shared" si="11"/>
        <v>2</v>
      </c>
      <c r="D11" s="18">
        <f t="shared" si="5"/>
        <v>0</v>
      </c>
      <c r="E11" s="4" t="s">
        <v>137</v>
      </c>
      <c r="F11" s="8" t="s">
        <v>144</v>
      </c>
      <c r="G11" s="9">
        <v>2100</v>
      </c>
      <c r="H11" s="9"/>
      <c r="I11" s="55">
        <v>2000</v>
      </c>
      <c r="J11" s="21">
        <f t="shared" si="6"/>
        <v>41200</v>
      </c>
      <c r="K11" s="8" t="s">
        <v>145</v>
      </c>
      <c r="L11" s="9">
        <v>-1300</v>
      </c>
      <c r="M11" s="9"/>
      <c r="N11" s="55">
        <v>-1000</v>
      </c>
      <c r="O11" s="21">
        <f t="shared" si="7"/>
        <v>58700</v>
      </c>
      <c r="P11" s="8" t="s">
        <v>145</v>
      </c>
      <c r="Q11" s="9">
        <v>-800</v>
      </c>
      <c r="R11" s="9"/>
      <c r="S11" s="55">
        <v>-1000</v>
      </c>
      <c r="T11" s="21">
        <f t="shared" si="8"/>
        <v>5100</v>
      </c>
      <c r="U11" s="60">
        <f t="shared" si="0"/>
        <v>6.2</v>
      </c>
      <c r="V11" s="61">
        <f t="shared" si="1"/>
        <v>23.7</v>
      </c>
      <c r="W11" s="62">
        <f t="shared" si="2"/>
        <v>-29.9</v>
      </c>
      <c r="Y11" s="8"/>
      <c r="Z11" s="41"/>
      <c r="AA11" s="32"/>
      <c r="AB11" s="32">
        <v>1</v>
      </c>
      <c r="AC11" s="32">
        <v>2</v>
      </c>
      <c r="AD11" s="36">
        <v>30</v>
      </c>
      <c r="AE11" s="47" t="s">
        <v>88</v>
      </c>
      <c r="AF11" s="48" t="s">
        <v>82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2</v>
      </c>
      <c r="C12" s="18">
        <f t="shared" si="11"/>
        <v>0</v>
      </c>
      <c r="D12" s="18">
        <f t="shared" si="5"/>
        <v>0</v>
      </c>
      <c r="E12" s="4" t="s">
        <v>139</v>
      </c>
      <c r="F12" s="8" t="s">
        <v>145</v>
      </c>
      <c r="G12" s="9">
        <v>-12000</v>
      </c>
      <c r="H12" s="9"/>
      <c r="I12" s="55">
        <v>0</v>
      </c>
      <c r="J12" s="21">
        <f t="shared" si="6"/>
        <v>29200</v>
      </c>
      <c r="K12" s="8" t="s">
        <v>145</v>
      </c>
      <c r="L12" s="9">
        <v>-12000</v>
      </c>
      <c r="M12" s="9"/>
      <c r="N12" s="55">
        <v>0</v>
      </c>
      <c r="O12" s="21">
        <f t="shared" si="7"/>
        <v>46700</v>
      </c>
      <c r="P12" s="8" t="s">
        <v>144</v>
      </c>
      <c r="Q12" s="9">
        <v>24000</v>
      </c>
      <c r="R12" s="9"/>
      <c r="S12" s="55">
        <v>0</v>
      </c>
      <c r="T12" s="21">
        <f t="shared" si="8"/>
        <v>29100</v>
      </c>
      <c r="U12" s="60">
        <f t="shared" si="0"/>
        <v>-5.8</v>
      </c>
      <c r="V12" s="61">
        <f t="shared" si="1"/>
        <v>11.7</v>
      </c>
      <c r="W12" s="62">
        <f t="shared" si="2"/>
        <v>-5.9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10</v>
      </c>
      <c r="BT12" s="36" t="s">
        <v>146</v>
      </c>
      <c r="BU12" s="47" t="s">
        <v>105</v>
      </c>
      <c r="BV12" s="48" t="s">
        <v>99</v>
      </c>
      <c r="BW12" s="48" t="s">
        <v>87</v>
      </c>
      <c r="BX12" s="48" t="s">
        <v>87</v>
      </c>
      <c r="BY12" s="48" t="s">
        <v>82</v>
      </c>
      <c r="BZ12" s="48" t="s">
        <v>82</v>
      </c>
      <c r="CA12" s="48" t="s">
        <v>97</v>
      </c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9"/>
        <v>2</v>
      </c>
      <c r="C13" s="18">
        <f t="shared" si="11"/>
        <v>1</v>
      </c>
      <c r="D13" s="18">
        <f t="shared" si="5"/>
        <v>0</v>
      </c>
      <c r="E13" s="4" t="s">
        <v>139</v>
      </c>
      <c r="F13" s="8" t="s">
        <v>145</v>
      </c>
      <c r="G13" s="9">
        <v>-12000</v>
      </c>
      <c r="H13" s="9"/>
      <c r="I13" s="55">
        <v>-500</v>
      </c>
      <c r="J13" s="21">
        <f t="shared" si="6"/>
        <v>16700</v>
      </c>
      <c r="K13" s="8" t="s">
        <v>145</v>
      </c>
      <c r="L13" s="9">
        <v>-12000</v>
      </c>
      <c r="M13" s="9"/>
      <c r="N13" s="55">
        <v>-500</v>
      </c>
      <c r="O13" s="21">
        <f t="shared" si="7"/>
        <v>34200</v>
      </c>
      <c r="P13" s="8" t="s">
        <v>144</v>
      </c>
      <c r="Q13" s="9">
        <v>24000</v>
      </c>
      <c r="R13" s="9"/>
      <c r="S13" s="55">
        <v>1000</v>
      </c>
      <c r="T13" s="21">
        <f t="shared" si="8"/>
        <v>54100</v>
      </c>
      <c r="U13" s="60">
        <f t="shared" si="0"/>
        <v>-18.3</v>
      </c>
      <c r="V13" s="61">
        <f t="shared" si="1"/>
        <v>-0.8</v>
      </c>
      <c r="W13" s="62">
        <f t="shared" si="2"/>
        <v>19.100000000000001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9</v>
      </c>
      <c r="BT13" s="36" t="s">
        <v>146</v>
      </c>
      <c r="BU13" s="47" t="s">
        <v>83</v>
      </c>
      <c r="BV13" s="48" t="s">
        <v>143</v>
      </c>
      <c r="BW13" s="48" t="s">
        <v>84</v>
      </c>
      <c r="BX13" s="48" t="s">
        <v>82</v>
      </c>
      <c r="BY13" s="48" t="s">
        <v>82</v>
      </c>
      <c r="BZ13" s="48" t="s">
        <v>81</v>
      </c>
      <c r="CA13" s="48" t="s">
        <v>80</v>
      </c>
      <c r="CB13" s="48" t="s">
        <v>80</v>
      </c>
      <c r="CC13" s="48" t="s">
        <v>80</v>
      </c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9"/>
        <v>2</v>
      </c>
      <c r="C14" s="18">
        <f t="shared" si="11"/>
        <v>2</v>
      </c>
      <c r="D14" s="18">
        <f t="shared" si="5"/>
        <v>0</v>
      </c>
      <c r="E14" s="4" t="s">
        <v>139</v>
      </c>
      <c r="F14" s="8"/>
      <c r="G14" s="9"/>
      <c r="H14" s="9"/>
      <c r="I14" s="55"/>
      <c r="J14" s="21">
        <f t="shared" si="6"/>
        <v>16700</v>
      </c>
      <c r="K14" s="8" t="s">
        <v>141</v>
      </c>
      <c r="L14" s="9">
        <v>8000</v>
      </c>
      <c r="M14" s="9"/>
      <c r="N14" s="55">
        <v>2000</v>
      </c>
      <c r="O14" s="21">
        <f t="shared" si="7"/>
        <v>44200</v>
      </c>
      <c r="P14" s="8" t="s">
        <v>142</v>
      </c>
      <c r="Q14" s="9">
        <v>-8000</v>
      </c>
      <c r="R14" s="9"/>
      <c r="S14" s="55">
        <v>-2000</v>
      </c>
      <c r="T14" s="21">
        <f t="shared" si="8"/>
        <v>44100</v>
      </c>
      <c r="U14" s="60">
        <f t="shared" si="0"/>
        <v>-18.3</v>
      </c>
      <c r="V14" s="61">
        <f t="shared" si="1"/>
        <v>9.1999999999999993</v>
      </c>
      <c r="W14" s="62">
        <f t="shared" si="2"/>
        <v>9.1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>
        <v>5</v>
      </c>
      <c r="AY14" s="36" t="s">
        <v>146</v>
      </c>
      <c r="AZ14" s="47" t="s">
        <v>96</v>
      </c>
      <c r="BA14" s="48" t="s">
        <v>80</v>
      </c>
      <c r="BB14" s="48" t="s">
        <v>80</v>
      </c>
      <c r="BC14" s="48" t="s">
        <v>80</v>
      </c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>南</v>
      </c>
      <c r="B15" s="18">
        <f t="shared" si="9"/>
        <v>3</v>
      </c>
      <c r="C15" s="18">
        <f t="shared" si="11"/>
        <v>0</v>
      </c>
      <c r="D15" s="18">
        <f t="shared" si="5"/>
        <v>0</v>
      </c>
      <c r="E15" s="4" t="s">
        <v>135</v>
      </c>
      <c r="F15" s="8" t="s">
        <v>144</v>
      </c>
      <c r="G15" s="9">
        <v>12000</v>
      </c>
      <c r="H15" s="9"/>
      <c r="I15" s="55">
        <v>0</v>
      </c>
      <c r="J15" s="21">
        <f t="shared" si="6"/>
        <v>28700</v>
      </c>
      <c r="K15" s="8" t="s">
        <v>145</v>
      </c>
      <c r="L15" s="9">
        <v>-6000</v>
      </c>
      <c r="M15" s="9"/>
      <c r="N15" s="55">
        <v>0</v>
      </c>
      <c r="O15" s="21">
        <f t="shared" si="7"/>
        <v>38200</v>
      </c>
      <c r="P15" s="8" t="s">
        <v>145</v>
      </c>
      <c r="Q15" s="9">
        <v>-6000</v>
      </c>
      <c r="R15" s="9"/>
      <c r="S15" s="55">
        <v>0</v>
      </c>
      <c r="T15" s="21">
        <f t="shared" si="8"/>
        <v>38100</v>
      </c>
      <c r="U15" s="60">
        <f t="shared" si="0"/>
        <v>-6.3</v>
      </c>
      <c r="V15" s="61">
        <f t="shared" si="1"/>
        <v>3.2</v>
      </c>
      <c r="W15" s="62">
        <f t="shared" si="2"/>
        <v>3.1</v>
      </c>
      <c r="Y15" s="8"/>
      <c r="Z15" s="41"/>
      <c r="AA15" s="32">
        <v>1</v>
      </c>
      <c r="AB15" s="32"/>
      <c r="AC15" s="32">
        <v>4</v>
      </c>
      <c r="AD15" s="36">
        <v>30</v>
      </c>
      <c r="AE15" s="47" t="s">
        <v>143</v>
      </c>
      <c r="AF15" s="48" t="s">
        <v>83</v>
      </c>
      <c r="AG15" s="48" t="s">
        <v>87</v>
      </c>
      <c r="AH15" s="48" t="s">
        <v>82</v>
      </c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>南</v>
      </c>
      <c r="B16" s="18">
        <f t="shared" si="9"/>
        <v>3</v>
      </c>
      <c r="C16" s="18">
        <f t="shared" si="11"/>
        <v>1</v>
      </c>
      <c r="D16" s="18">
        <f t="shared" si="5"/>
        <v>0</v>
      </c>
      <c r="E16" s="4" t="s">
        <v>135</v>
      </c>
      <c r="F16" s="8" t="s">
        <v>142</v>
      </c>
      <c r="G16" s="9">
        <v>-12000</v>
      </c>
      <c r="H16" s="9"/>
      <c r="I16" s="55">
        <v>-1000</v>
      </c>
      <c r="J16" s="21">
        <f t="shared" si="6"/>
        <v>15700</v>
      </c>
      <c r="K16" s="8" t="s">
        <v>141</v>
      </c>
      <c r="L16" s="9">
        <v>12000</v>
      </c>
      <c r="M16" s="9"/>
      <c r="N16" s="55">
        <v>1000</v>
      </c>
      <c r="O16" s="21">
        <f t="shared" si="7"/>
        <v>51200</v>
      </c>
      <c r="P16" s="8"/>
      <c r="Q16" s="9"/>
      <c r="R16" s="9"/>
      <c r="S16" s="55"/>
      <c r="T16" s="21">
        <f t="shared" si="8"/>
        <v>38100</v>
      </c>
      <c r="U16" s="60">
        <f t="shared" si="0"/>
        <v>-19.3</v>
      </c>
      <c r="V16" s="61">
        <f t="shared" si="1"/>
        <v>16.2</v>
      </c>
      <c r="W16" s="62">
        <f t="shared" si="2"/>
        <v>3.1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>
        <v>1</v>
      </c>
      <c r="AW16" s="32"/>
      <c r="AX16" s="32">
        <v>6</v>
      </c>
      <c r="AY16" s="36" t="s">
        <v>146</v>
      </c>
      <c r="AZ16" s="47" t="s">
        <v>143</v>
      </c>
      <c r="BA16" s="48" t="s">
        <v>94</v>
      </c>
      <c r="BB16" s="48" t="s">
        <v>85</v>
      </c>
      <c r="BC16" s="48" t="s">
        <v>87</v>
      </c>
      <c r="BD16" s="48" t="s">
        <v>80</v>
      </c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2019-01-09T16:20:59Z</dcterms:modified>
</cp:coreProperties>
</file>