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8E5B1D97-5747-4D55-9C83-A7C535CB9C41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S30" i="18" s="1"/>
  <c r="B30" i="18"/>
  <c r="A30" i="18"/>
  <c r="T29" i="18"/>
  <c r="W29" i="18" s="1"/>
  <c r="O29" i="18"/>
  <c r="V29" i="18" s="1"/>
  <c r="J29" i="18"/>
  <c r="U29" i="18" s="1"/>
  <c r="D29" i="18"/>
  <c r="C29" i="18"/>
  <c r="S29" i="18" s="1"/>
  <c r="B29" i="18"/>
  <c r="A29" i="18"/>
  <c r="T28" i="18"/>
  <c r="W28" i="18" s="1"/>
  <c r="O28" i="18"/>
  <c r="V28" i="18" s="1"/>
  <c r="J28" i="18"/>
  <c r="U28" i="18" s="1"/>
  <c r="D28" i="18"/>
  <c r="C28" i="18"/>
  <c r="N28" i="18" s="1"/>
  <c r="B28" i="18"/>
  <c r="A28" i="18"/>
  <c r="T27" i="18"/>
  <c r="W27" i="18" s="1"/>
  <c r="O27" i="18"/>
  <c r="V27" i="18" s="1"/>
  <c r="J27" i="18"/>
  <c r="U27" i="18" s="1"/>
  <c r="D27" i="18"/>
  <c r="C27" i="18"/>
  <c r="N27" i="18" s="1"/>
  <c r="B27" i="18"/>
  <c r="A27" i="18"/>
  <c r="T26" i="18"/>
  <c r="W26" i="18" s="1"/>
  <c r="O26" i="18"/>
  <c r="V26" i="18" s="1"/>
  <c r="J26" i="18"/>
  <c r="U26" i="18" s="1"/>
  <c r="D26" i="18"/>
  <c r="C26" i="18"/>
  <c r="S26" i="18" s="1"/>
  <c r="B26" i="18"/>
  <c r="A26" i="18"/>
  <c r="T25" i="18"/>
  <c r="W25" i="18" s="1"/>
  <c r="O25" i="18"/>
  <c r="V25" i="18" s="1"/>
  <c r="J25" i="18"/>
  <c r="U25" i="18" s="1"/>
  <c r="D25" i="18"/>
  <c r="C25" i="18"/>
  <c r="S25" i="18" s="1"/>
  <c r="B25" i="18"/>
  <c r="A25" i="18"/>
  <c r="T24" i="18"/>
  <c r="W24" i="18" s="1"/>
  <c r="O24" i="18"/>
  <c r="V24" i="18" s="1"/>
  <c r="J24" i="18"/>
  <c r="U24" i="18" s="1"/>
  <c r="D24" i="18"/>
  <c r="C24" i="18"/>
  <c r="N24" i="18" s="1"/>
  <c r="B24" i="18"/>
  <c r="A24" i="18"/>
  <c r="T23" i="18"/>
  <c r="W23" i="18" s="1"/>
  <c r="O23" i="18"/>
  <c r="V23" i="18" s="1"/>
  <c r="J23" i="18"/>
  <c r="U23" i="18" s="1"/>
  <c r="D23" i="18"/>
  <c r="C23" i="18"/>
  <c r="N23" i="18" s="1"/>
  <c r="B23" i="18"/>
  <c r="A23" i="18"/>
  <c r="T22" i="18"/>
  <c r="W22" i="18" s="1"/>
  <c r="O22" i="18"/>
  <c r="V22" i="18" s="1"/>
  <c r="J22" i="18"/>
  <c r="U22" i="18" s="1"/>
  <c r="D22" i="18"/>
  <c r="C22" i="18"/>
  <c r="S22" i="18" s="1"/>
  <c r="B22" i="18"/>
  <c r="A22" i="18"/>
  <c r="T21" i="18"/>
  <c r="W21" i="18" s="1"/>
  <c r="O21" i="18"/>
  <c r="V21" i="18" s="1"/>
  <c r="J21" i="18"/>
  <c r="U21" i="18" s="1"/>
  <c r="D21" i="18"/>
  <c r="C21" i="18"/>
  <c r="N21" i="18" s="1"/>
  <c r="B21" i="18"/>
  <c r="A21" i="18"/>
  <c r="T20" i="18"/>
  <c r="W20" i="18" s="1"/>
  <c r="O20" i="18"/>
  <c r="V20" i="18" s="1"/>
  <c r="J20" i="18"/>
  <c r="U20" i="18" s="1"/>
  <c r="D20" i="18"/>
  <c r="C20" i="18"/>
  <c r="N20" i="18" s="1"/>
  <c r="B20" i="18"/>
  <c r="A20" i="18"/>
  <c r="T19" i="18"/>
  <c r="W19" i="18" s="1"/>
  <c r="O19" i="18"/>
  <c r="V19" i="18" s="1"/>
  <c r="J19" i="18"/>
  <c r="U19" i="18" s="1"/>
  <c r="D19" i="18"/>
  <c r="C19" i="18"/>
  <c r="N19" i="18" s="1"/>
  <c r="B19" i="18"/>
  <c r="A19" i="18"/>
  <c r="T18" i="18"/>
  <c r="W18" i="18" s="1"/>
  <c r="O18" i="18"/>
  <c r="V18" i="18" s="1"/>
  <c r="J18" i="18"/>
  <c r="U18" i="18" s="1"/>
  <c r="D18" i="18"/>
  <c r="C18" i="18"/>
  <c r="S18" i="18" s="1"/>
  <c r="B18" i="18"/>
  <c r="A18" i="18"/>
  <c r="T17" i="18"/>
  <c r="W17" i="18" s="1"/>
  <c r="O17" i="18"/>
  <c r="V17" i="18" s="1"/>
  <c r="J17" i="18"/>
  <c r="U17" i="18" s="1"/>
  <c r="D17" i="18"/>
  <c r="C17" i="18"/>
  <c r="S17" i="18" s="1"/>
  <c r="B17" i="18"/>
  <c r="A17" i="18"/>
  <c r="T16" i="18"/>
  <c r="W16" i="18" s="1"/>
  <c r="O16" i="18"/>
  <c r="V16" i="18" s="1"/>
  <c r="J16" i="18"/>
  <c r="U16" i="18" s="1"/>
  <c r="D16" i="18"/>
  <c r="C16" i="18"/>
  <c r="N16" i="18" s="1"/>
  <c r="B16" i="18"/>
  <c r="A16" i="18"/>
  <c r="T15" i="18"/>
  <c r="W15" i="18" s="1"/>
  <c r="O15" i="18"/>
  <c r="V15" i="18" s="1"/>
  <c r="J15" i="18"/>
  <c r="U15" i="18" s="1"/>
  <c r="D15" i="18"/>
  <c r="C15" i="18"/>
  <c r="N15" i="18" s="1"/>
  <c r="B15" i="18"/>
  <c r="A15" i="18"/>
  <c r="T14" i="18"/>
  <c r="W14" i="18" s="1"/>
  <c r="O14" i="18"/>
  <c r="V14" i="18" s="1"/>
  <c r="J14" i="18"/>
  <c r="U14" i="18" s="1"/>
  <c r="D14" i="18"/>
  <c r="C14" i="18"/>
  <c r="S14" i="18" s="1"/>
  <c r="B14" i="18"/>
  <c r="A14" i="18"/>
  <c r="T13" i="18"/>
  <c r="W13" i="18" s="1"/>
  <c r="O13" i="18"/>
  <c r="V13" i="18" s="1"/>
  <c r="J13" i="18"/>
  <c r="U13" i="18" s="1"/>
  <c r="D13" i="18"/>
  <c r="C13" i="18"/>
  <c r="S13" i="18" s="1"/>
  <c r="B13" i="18"/>
  <c r="A13" i="18"/>
  <c r="T12" i="18"/>
  <c r="W12" i="18" s="1"/>
  <c r="O12" i="18"/>
  <c r="V12" i="18" s="1"/>
  <c r="J12" i="18"/>
  <c r="U12" i="18" s="1"/>
  <c r="D12" i="18"/>
  <c r="C12" i="18"/>
  <c r="N12" i="18" s="1"/>
  <c r="B12" i="18"/>
  <c r="A12" i="18"/>
  <c r="D11" i="18"/>
  <c r="C11" i="18"/>
  <c r="N11" i="18" s="1"/>
  <c r="D10" i="18"/>
  <c r="D9" i="18"/>
  <c r="C9" i="18"/>
  <c r="S9" i="18" s="1"/>
  <c r="D8" i="18"/>
  <c r="C8" i="18"/>
  <c r="N8" i="18" s="1"/>
  <c r="D7" i="18"/>
  <c r="C7" i="18"/>
  <c r="N7" i="18" s="1"/>
  <c r="D6" i="18"/>
  <c r="B6" i="18"/>
  <c r="D5" i="18"/>
  <c r="C5" i="18"/>
  <c r="C6" i="18" s="1"/>
  <c r="B5" i="18"/>
  <c r="A5" i="18"/>
  <c r="S4" i="18"/>
  <c r="T4" i="18" s="1"/>
  <c r="N4" i="18"/>
  <c r="O4" i="18" s="1"/>
  <c r="V4" i="18" s="1"/>
  <c r="I4" i="18"/>
  <c r="J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S30" i="17" s="1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N28" i="17" s="1"/>
  <c r="B28" i="17"/>
  <c r="A28" i="17"/>
  <c r="T27" i="17"/>
  <c r="W27" i="17" s="1"/>
  <c r="O27" i="17"/>
  <c r="V27" i="17" s="1"/>
  <c r="J27" i="17"/>
  <c r="U27" i="17" s="1"/>
  <c r="D27" i="17"/>
  <c r="C27" i="17"/>
  <c r="N27" i="17" s="1"/>
  <c r="B27" i="17"/>
  <c r="A27" i="17"/>
  <c r="T26" i="17"/>
  <c r="W26" i="17" s="1"/>
  <c r="O26" i="17"/>
  <c r="V26" i="17" s="1"/>
  <c r="J26" i="17"/>
  <c r="U26" i="17" s="1"/>
  <c r="D26" i="17"/>
  <c r="C26" i="17"/>
  <c r="S26" i="17" s="1"/>
  <c r="B26" i="17"/>
  <c r="A26" i="17"/>
  <c r="T25" i="17"/>
  <c r="W25" i="17" s="1"/>
  <c r="O25" i="17"/>
  <c r="V25" i="17" s="1"/>
  <c r="J25" i="17"/>
  <c r="U25" i="17" s="1"/>
  <c r="D25" i="17"/>
  <c r="C25" i="17"/>
  <c r="N25" i="17" s="1"/>
  <c r="B25" i="17"/>
  <c r="A25" i="17"/>
  <c r="T24" i="17"/>
  <c r="W24" i="17" s="1"/>
  <c r="O24" i="17"/>
  <c r="V24" i="17" s="1"/>
  <c r="J24" i="17"/>
  <c r="U24" i="17" s="1"/>
  <c r="D24" i="17"/>
  <c r="C24" i="17"/>
  <c r="N24" i="17" s="1"/>
  <c r="B24" i="17"/>
  <c r="A24" i="17"/>
  <c r="T23" i="17"/>
  <c r="W23" i="17" s="1"/>
  <c r="O23" i="17"/>
  <c r="V23" i="17" s="1"/>
  <c r="J23" i="17"/>
  <c r="U23" i="17" s="1"/>
  <c r="D23" i="17"/>
  <c r="C23" i="17"/>
  <c r="N23" i="17" s="1"/>
  <c r="B23" i="17"/>
  <c r="A23" i="17"/>
  <c r="T22" i="17"/>
  <c r="W22" i="17" s="1"/>
  <c r="O22" i="17"/>
  <c r="V22" i="17" s="1"/>
  <c r="J22" i="17"/>
  <c r="U22" i="17" s="1"/>
  <c r="D22" i="17"/>
  <c r="C22" i="17"/>
  <c r="S22" i="17" s="1"/>
  <c r="B22" i="17"/>
  <c r="A22" i="17"/>
  <c r="T21" i="17"/>
  <c r="W21" i="17" s="1"/>
  <c r="O21" i="17"/>
  <c r="V21" i="17" s="1"/>
  <c r="J21" i="17"/>
  <c r="U21" i="17" s="1"/>
  <c r="D21" i="17"/>
  <c r="C21" i="17"/>
  <c r="N21" i="17" s="1"/>
  <c r="B21" i="17"/>
  <c r="A21" i="17"/>
  <c r="T20" i="17"/>
  <c r="W20" i="17" s="1"/>
  <c r="O20" i="17"/>
  <c r="V20" i="17" s="1"/>
  <c r="J20" i="17"/>
  <c r="U20" i="17" s="1"/>
  <c r="D20" i="17"/>
  <c r="C20" i="17"/>
  <c r="N20" i="17" s="1"/>
  <c r="B20" i="17"/>
  <c r="A20" i="17"/>
  <c r="T19" i="17"/>
  <c r="W19" i="17" s="1"/>
  <c r="O19" i="17"/>
  <c r="V19" i="17" s="1"/>
  <c r="J19" i="17"/>
  <c r="U19" i="17" s="1"/>
  <c r="D19" i="17"/>
  <c r="C19" i="17"/>
  <c r="N19" i="17" s="1"/>
  <c r="B19" i="17"/>
  <c r="A19" i="17"/>
  <c r="T18" i="17"/>
  <c r="W18" i="17" s="1"/>
  <c r="O18" i="17"/>
  <c r="V18" i="17" s="1"/>
  <c r="J18" i="17"/>
  <c r="U18" i="17" s="1"/>
  <c r="D18" i="17"/>
  <c r="C18" i="17"/>
  <c r="S18" i="17" s="1"/>
  <c r="B18" i="17"/>
  <c r="A18" i="17"/>
  <c r="T17" i="17"/>
  <c r="W17" i="17" s="1"/>
  <c r="O17" i="17"/>
  <c r="V17" i="17" s="1"/>
  <c r="J17" i="17"/>
  <c r="U17" i="17" s="1"/>
  <c r="D17" i="17"/>
  <c r="C17" i="17"/>
  <c r="N17" i="17" s="1"/>
  <c r="B17" i="17"/>
  <c r="A17" i="17"/>
  <c r="T16" i="17"/>
  <c r="W16" i="17" s="1"/>
  <c r="O16" i="17"/>
  <c r="V16" i="17" s="1"/>
  <c r="J16" i="17"/>
  <c r="U16" i="17" s="1"/>
  <c r="D16" i="17"/>
  <c r="C16" i="17"/>
  <c r="N16" i="17" s="1"/>
  <c r="B16" i="17"/>
  <c r="A16" i="17"/>
  <c r="T15" i="17"/>
  <c r="W15" i="17" s="1"/>
  <c r="O15" i="17"/>
  <c r="V15" i="17" s="1"/>
  <c r="J15" i="17"/>
  <c r="U15" i="17" s="1"/>
  <c r="D15" i="17"/>
  <c r="C15" i="17"/>
  <c r="N15" i="17" s="1"/>
  <c r="B15" i="17"/>
  <c r="A15" i="17"/>
  <c r="T14" i="17"/>
  <c r="W14" i="17" s="1"/>
  <c r="O14" i="17"/>
  <c r="V14" i="17" s="1"/>
  <c r="J14" i="17"/>
  <c r="U14" i="17" s="1"/>
  <c r="D14" i="17"/>
  <c r="C14" i="17"/>
  <c r="S14" i="17" s="1"/>
  <c r="B14" i="17"/>
  <c r="A14" i="17"/>
  <c r="T13" i="17"/>
  <c r="W13" i="17" s="1"/>
  <c r="O13" i="17"/>
  <c r="V13" i="17" s="1"/>
  <c r="J13" i="17"/>
  <c r="U13" i="17" s="1"/>
  <c r="D13" i="17"/>
  <c r="C13" i="17"/>
  <c r="N13" i="17" s="1"/>
  <c r="B13" i="17"/>
  <c r="A13" i="17"/>
  <c r="T12" i="17"/>
  <c r="W12" i="17" s="1"/>
  <c r="O12" i="17"/>
  <c r="V12" i="17" s="1"/>
  <c r="J12" i="17"/>
  <c r="U12" i="17" s="1"/>
  <c r="D12" i="17"/>
  <c r="C12" i="17"/>
  <c r="N12" i="17" s="1"/>
  <c r="D11" i="17"/>
  <c r="C11" i="17"/>
  <c r="N11" i="17" s="1"/>
  <c r="D10" i="17"/>
  <c r="C10" i="17"/>
  <c r="S10" i="17" s="1"/>
  <c r="D9" i="17"/>
  <c r="C9" i="17"/>
  <c r="N9" i="17" s="1"/>
  <c r="D8" i="17"/>
  <c r="D7" i="17"/>
  <c r="D6" i="17"/>
  <c r="C6" i="17"/>
  <c r="N6" i="17" s="1"/>
  <c r="B6" i="17"/>
  <c r="B7" i="17" s="1"/>
  <c r="D5" i="17"/>
  <c r="C5" i="17"/>
  <c r="N5" i="17" s="1"/>
  <c r="O5" i="17" s="1"/>
  <c r="B5" i="17"/>
  <c r="A6" i="17" s="1"/>
  <c r="S4" i="17"/>
  <c r="T4" i="17" s="1"/>
  <c r="O4" i="17"/>
  <c r="V4" i="17" s="1"/>
  <c r="N4" i="17"/>
  <c r="I4" i="17"/>
  <c r="J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S30" i="16" s="1"/>
  <c r="B30" i="16"/>
  <c r="A30" i="16"/>
  <c r="T29" i="16"/>
  <c r="W29" i="16" s="1"/>
  <c r="O29" i="16"/>
  <c r="V29" i="16" s="1"/>
  <c r="J29" i="16"/>
  <c r="U29" i="16" s="1"/>
  <c r="D29" i="16"/>
  <c r="C29" i="16"/>
  <c r="N29" i="16" s="1"/>
  <c r="B29" i="16"/>
  <c r="A29" i="16"/>
  <c r="T28" i="16"/>
  <c r="W28" i="16" s="1"/>
  <c r="O28" i="16"/>
  <c r="V28" i="16" s="1"/>
  <c r="J28" i="16"/>
  <c r="U28" i="16" s="1"/>
  <c r="D28" i="16"/>
  <c r="C28" i="16"/>
  <c r="N28" i="16" s="1"/>
  <c r="B28" i="16"/>
  <c r="A28" i="16"/>
  <c r="T27" i="16"/>
  <c r="W27" i="16" s="1"/>
  <c r="O27" i="16"/>
  <c r="V27" i="16" s="1"/>
  <c r="J27" i="16"/>
  <c r="U27" i="16" s="1"/>
  <c r="D27" i="16"/>
  <c r="C27" i="16"/>
  <c r="N27" i="16" s="1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N25" i="16" s="1"/>
  <c r="B25" i="16"/>
  <c r="A25" i="16"/>
  <c r="T24" i="16"/>
  <c r="W24" i="16" s="1"/>
  <c r="O24" i="16"/>
  <c r="V24" i="16" s="1"/>
  <c r="J24" i="16"/>
  <c r="U24" i="16" s="1"/>
  <c r="D24" i="16"/>
  <c r="C24" i="16"/>
  <c r="N24" i="16" s="1"/>
  <c r="B24" i="16"/>
  <c r="A24" i="16"/>
  <c r="T23" i="16"/>
  <c r="W23" i="16" s="1"/>
  <c r="O23" i="16"/>
  <c r="V23" i="16" s="1"/>
  <c r="J23" i="16"/>
  <c r="U23" i="16" s="1"/>
  <c r="D23" i="16"/>
  <c r="C23" i="16"/>
  <c r="N23" i="16" s="1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N21" i="16" s="1"/>
  <c r="B21" i="16"/>
  <c r="A21" i="16"/>
  <c r="T20" i="16"/>
  <c r="W20" i="16" s="1"/>
  <c r="O20" i="16"/>
  <c r="V20" i="16" s="1"/>
  <c r="J20" i="16"/>
  <c r="U20" i="16" s="1"/>
  <c r="D20" i="16"/>
  <c r="C20" i="16"/>
  <c r="N20" i="16" s="1"/>
  <c r="B20" i="16"/>
  <c r="A20" i="16"/>
  <c r="T19" i="16"/>
  <c r="W19" i="16" s="1"/>
  <c r="O19" i="16"/>
  <c r="V19" i="16" s="1"/>
  <c r="J19" i="16"/>
  <c r="U19" i="16" s="1"/>
  <c r="D19" i="16"/>
  <c r="C19" i="16"/>
  <c r="N19" i="16" s="1"/>
  <c r="B19" i="16"/>
  <c r="A19" i="16"/>
  <c r="T18" i="16"/>
  <c r="W18" i="16" s="1"/>
  <c r="O18" i="16"/>
  <c r="V18" i="16" s="1"/>
  <c r="J18" i="16"/>
  <c r="U18" i="16" s="1"/>
  <c r="D18" i="16"/>
  <c r="C18" i="16"/>
  <c r="N18" i="16" s="1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N16" i="16" s="1"/>
  <c r="B16" i="16"/>
  <c r="A16" i="16"/>
  <c r="T15" i="16"/>
  <c r="W15" i="16" s="1"/>
  <c r="O15" i="16"/>
  <c r="V15" i="16" s="1"/>
  <c r="J15" i="16"/>
  <c r="U15" i="16" s="1"/>
  <c r="D15" i="16"/>
  <c r="C15" i="16"/>
  <c r="N15" i="16" s="1"/>
  <c r="B15" i="16"/>
  <c r="A15" i="16"/>
  <c r="T14" i="16"/>
  <c r="W14" i="16" s="1"/>
  <c r="O14" i="16"/>
  <c r="V14" i="16" s="1"/>
  <c r="J14" i="16"/>
  <c r="U14" i="16" s="1"/>
  <c r="D14" i="16"/>
  <c r="C14" i="16"/>
  <c r="N14" i="16" s="1"/>
  <c r="B14" i="16"/>
  <c r="A14" i="16"/>
  <c r="T13" i="16"/>
  <c r="W13" i="16" s="1"/>
  <c r="O13" i="16"/>
  <c r="V13" i="16" s="1"/>
  <c r="J13" i="16"/>
  <c r="U13" i="16" s="1"/>
  <c r="D13" i="16"/>
  <c r="C13" i="16"/>
  <c r="N13" i="16" s="1"/>
  <c r="B13" i="16"/>
  <c r="A13" i="16"/>
  <c r="T12" i="16"/>
  <c r="W12" i="16" s="1"/>
  <c r="O12" i="16"/>
  <c r="V12" i="16" s="1"/>
  <c r="J12" i="16"/>
  <c r="U12" i="16" s="1"/>
  <c r="D12" i="16"/>
  <c r="C12" i="16"/>
  <c r="N12" i="16" s="1"/>
  <c r="B12" i="16"/>
  <c r="A12" i="16" s="1"/>
  <c r="D11" i="16"/>
  <c r="C11" i="16"/>
  <c r="N11" i="16" s="1"/>
  <c r="B11" i="16"/>
  <c r="A11" i="16" s="1"/>
  <c r="D10" i="16"/>
  <c r="C10" i="16"/>
  <c r="N10" i="16" s="1"/>
  <c r="B10" i="16"/>
  <c r="A10" i="16" s="1"/>
  <c r="D9" i="16"/>
  <c r="C9" i="16"/>
  <c r="N9" i="16" s="1"/>
  <c r="B9" i="16"/>
  <c r="A9" i="16"/>
  <c r="D8" i="16"/>
  <c r="C8" i="16"/>
  <c r="N8" i="16" s="1"/>
  <c r="B8" i="16"/>
  <c r="A8" i="16" s="1"/>
  <c r="D7" i="16"/>
  <c r="C7" i="16"/>
  <c r="N7" i="16" s="1"/>
  <c r="B7" i="16"/>
  <c r="A7" i="16" s="1"/>
  <c r="D6" i="16"/>
  <c r="D5" i="16"/>
  <c r="C5" i="16"/>
  <c r="C6" i="16" s="1"/>
  <c r="N6" i="16" s="1"/>
  <c r="B5" i="16"/>
  <c r="B6" i="16" s="1"/>
  <c r="S4" i="16"/>
  <c r="T4" i="16" s="1"/>
  <c r="N4" i="16"/>
  <c r="O4" i="16" s="1"/>
  <c r="V4" i="16" s="1"/>
  <c r="I4" i="16"/>
  <c r="J4" i="16" s="1"/>
  <c r="W3" i="16"/>
  <c r="V3" i="16"/>
  <c r="U3" i="16"/>
  <c r="W2" i="16"/>
  <c r="V2" i="16"/>
  <c r="U2" i="16"/>
  <c r="BO1" i="16"/>
  <c r="AT1" i="16"/>
  <c r="Y1" i="16"/>
  <c r="S8" i="18" l="1"/>
  <c r="A6" i="18"/>
  <c r="I7" i="18"/>
  <c r="S7" i="18"/>
  <c r="I8" i="18"/>
  <c r="I12" i="18"/>
  <c r="I20" i="18"/>
  <c r="I11" i="18"/>
  <c r="S11" i="18"/>
  <c r="S12" i="18"/>
  <c r="S20" i="18"/>
  <c r="S28" i="18"/>
  <c r="I28" i="18"/>
  <c r="S16" i="18"/>
  <c r="S24" i="18"/>
  <c r="I16" i="18"/>
  <c r="I24" i="18"/>
  <c r="S15" i="18"/>
  <c r="S19" i="18"/>
  <c r="I15" i="18"/>
  <c r="I19" i="18"/>
  <c r="I23" i="18"/>
  <c r="I27" i="18"/>
  <c r="S23" i="18"/>
  <c r="S27" i="18"/>
  <c r="W4" i="18"/>
  <c r="U4" i="18"/>
  <c r="S6" i="18"/>
  <c r="I6" i="18"/>
  <c r="N6" i="18"/>
  <c r="N13" i="18"/>
  <c r="N25" i="18"/>
  <c r="N18" i="18"/>
  <c r="N30" i="18"/>
  <c r="N9" i="18"/>
  <c r="N17" i="18"/>
  <c r="N29" i="18"/>
  <c r="B7" i="18"/>
  <c r="C10" i="18"/>
  <c r="N14" i="18"/>
  <c r="N22" i="18"/>
  <c r="I5" i="18"/>
  <c r="J5" i="18" s="1"/>
  <c r="S5" i="18"/>
  <c r="T5" i="18" s="1"/>
  <c r="I9" i="18"/>
  <c r="I13" i="18"/>
  <c r="I17" i="18"/>
  <c r="I21" i="18"/>
  <c r="S21" i="18"/>
  <c r="I25" i="18"/>
  <c r="I29" i="18"/>
  <c r="N5" i="18"/>
  <c r="O5" i="18" s="1"/>
  <c r="N26" i="18"/>
  <c r="I14" i="18"/>
  <c r="I18" i="18"/>
  <c r="I22" i="18"/>
  <c r="I26" i="18"/>
  <c r="I30" i="18"/>
  <c r="A5" i="17"/>
  <c r="I11" i="17"/>
  <c r="I20" i="17"/>
  <c r="S24" i="17"/>
  <c r="S27" i="17"/>
  <c r="S11" i="17"/>
  <c r="S15" i="17"/>
  <c r="I24" i="17"/>
  <c r="I27" i="17"/>
  <c r="I15" i="17"/>
  <c r="I12" i="17"/>
  <c r="S16" i="17"/>
  <c r="I16" i="17"/>
  <c r="S20" i="17"/>
  <c r="I23" i="17"/>
  <c r="I28" i="17"/>
  <c r="N30" i="17"/>
  <c r="S19" i="17"/>
  <c r="S12" i="17"/>
  <c r="I19" i="17"/>
  <c r="S23" i="17"/>
  <c r="S28" i="17"/>
  <c r="B8" i="17"/>
  <c r="A8" i="17" s="1"/>
  <c r="A7" i="17"/>
  <c r="O6" i="17"/>
  <c r="V5" i="17"/>
  <c r="U4" i="17"/>
  <c r="S13" i="17"/>
  <c r="I13" i="17"/>
  <c r="S21" i="17"/>
  <c r="I21" i="17"/>
  <c r="S29" i="17"/>
  <c r="I29" i="17"/>
  <c r="T5" i="17"/>
  <c r="S6" i="17"/>
  <c r="I6" i="17"/>
  <c r="C7" i="17"/>
  <c r="I5" i="17"/>
  <c r="J5" i="17" s="1"/>
  <c r="S5" i="17"/>
  <c r="S9" i="17"/>
  <c r="I9" i="17"/>
  <c r="S17" i="17"/>
  <c r="I17" i="17"/>
  <c r="S25" i="17"/>
  <c r="I25" i="17"/>
  <c r="W4" i="17"/>
  <c r="N29" i="17"/>
  <c r="N10" i="17"/>
  <c r="N14" i="17"/>
  <c r="N26" i="17"/>
  <c r="N18" i="17"/>
  <c r="N22" i="17"/>
  <c r="I10" i="17"/>
  <c r="I14" i="17"/>
  <c r="I18" i="17"/>
  <c r="I22" i="17"/>
  <c r="I26" i="17"/>
  <c r="I30" i="17"/>
  <c r="A5" i="16"/>
  <c r="N5" i="16"/>
  <c r="O5" i="16" s="1"/>
  <c r="I8" i="16"/>
  <c r="S24" i="16"/>
  <c r="I24" i="16"/>
  <c r="I28" i="16"/>
  <c r="S16" i="16"/>
  <c r="S19" i="16"/>
  <c r="I15" i="16"/>
  <c r="I16" i="16"/>
  <c r="I19" i="16"/>
  <c r="S7" i="16"/>
  <c r="S11" i="16"/>
  <c r="I20" i="16"/>
  <c r="S23" i="16"/>
  <c r="I27" i="16"/>
  <c r="S20" i="16"/>
  <c r="S27" i="16"/>
  <c r="I7" i="16"/>
  <c r="I11" i="16"/>
  <c r="S12" i="16"/>
  <c r="S8" i="16"/>
  <c r="I12" i="16"/>
  <c r="S15" i="16"/>
  <c r="I23" i="16"/>
  <c r="S28" i="16"/>
  <c r="S17" i="16"/>
  <c r="I17" i="16"/>
  <c r="S22" i="16"/>
  <c r="I22" i="16"/>
  <c r="A6" i="16"/>
  <c r="S21" i="16"/>
  <c r="I21" i="16"/>
  <c r="S26" i="16"/>
  <c r="I26" i="16"/>
  <c r="N26" i="16"/>
  <c r="S29" i="16"/>
  <c r="I29" i="16"/>
  <c r="S6" i="16"/>
  <c r="I6" i="16"/>
  <c r="S10" i="16"/>
  <c r="I10" i="16"/>
  <c r="S9" i="16"/>
  <c r="I9" i="16"/>
  <c r="S14" i="16"/>
  <c r="I14" i="16"/>
  <c r="S25" i="16"/>
  <c r="I25" i="16"/>
  <c r="U4" i="16"/>
  <c r="S5" i="16"/>
  <c r="T5" i="16" s="1"/>
  <c r="I5" i="16"/>
  <c r="J5" i="16" s="1"/>
  <c r="W4" i="16"/>
  <c r="S13" i="16"/>
  <c r="I13" i="16"/>
  <c r="N17" i="16"/>
  <c r="S18" i="16"/>
  <c r="I18" i="16"/>
  <c r="N22" i="16"/>
  <c r="N30" i="16"/>
  <c r="I30" i="16"/>
  <c r="Y1" i="1"/>
  <c r="O6" i="18" l="1"/>
  <c r="V5" i="18"/>
  <c r="T6" i="18"/>
  <c r="W5" i="18"/>
  <c r="U5" i="18"/>
  <c r="J6" i="18"/>
  <c r="S10" i="18"/>
  <c r="I10" i="18"/>
  <c r="N10" i="18"/>
  <c r="B8" i="18"/>
  <c r="A7" i="18"/>
  <c r="A8" i="18" s="1"/>
  <c r="J6" i="17"/>
  <c r="U5" i="17"/>
  <c r="V6" i="17"/>
  <c r="W5" i="17"/>
  <c r="T6" i="17"/>
  <c r="C8" i="17"/>
  <c r="N7" i="17"/>
  <c r="O7" i="17" s="1"/>
  <c r="I7" i="17"/>
  <c r="S7" i="17"/>
  <c r="B9" i="17"/>
  <c r="A9" i="17" s="1"/>
  <c r="J6" i="16"/>
  <c r="U6" i="16" s="1"/>
  <c r="U5" i="16"/>
  <c r="W5" i="16"/>
  <c r="T6" i="16"/>
  <c r="O6" i="16"/>
  <c r="V5" i="16"/>
  <c r="I4" i="1"/>
  <c r="N4" i="1"/>
  <c r="S4" i="1"/>
  <c r="BO1" i="1"/>
  <c r="AT1" i="1"/>
  <c r="J7" i="16" l="1"/>
  <c r="V6" i="16"/>
  <c r="O7" i="16"/>
  <c r="W6" i="16"/>
  <c r="T7" i="16"/>
  <c r="W6" i="18"/>
  <c r="T7" i="18"/>
  <c r="B9" i="18"/>
  <c r="A9" i="18" s="1"/>
  <c r="U6" i="18"/>
  <c r="J7" i="18"/>
  <c r="O7" i="18"/>
  <c r="V6" i="18"/>
  <c r="V7" i="17"/>
  <c r="U6" i="17"/>
  <c r="J7" i="17"/>
  <c r="A10" i="17"/>
  <c r="B10" i="17"/>
  <c r="N8" i="17"/>
  <c r="O8" i="17" s="1"/>
  <c r="I8" i="17"/>
  <c r="S8" i="17"/>
  <c r="W6" i="17"/>
  <c r="T7" i="17"/>
  <c r="D5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U7" i="16" l="1"/>
  <c r="J8" i="16"/>
  <c r="V7" i="16"/>
  <c r="O8" i="16"/>
  <c r="W7" i="16"/>
  <c r="T8" i="16"/>
  <c r="V7" i="18"/>
  <c r="O8" i="18"/>
  <c r="B10" i="18"/>
  <c r="J8" i="18"/>
  <c r="U7" i="18"/>
  <c r="T8" i="18"/>
  <c r="W7" i="18"/>
  <c r="O9" i="17"/>
  <c r="V8" i="17"/>
  <c r="J8" i="17"/>
  <c r="U7" i="17"/>
  <c r="T8" i="17"/>
  <c r="W7" i="17"/>
  <c r="B11" i="17"/>
  <c r="A11" i="17" s="1"/>
  <c r="C5" i="1"/>
  <c r="B5" i="1"/>
  <c r="A5" i="1" s="1"/>
  <c r="U8" i="16" l="1"/>
  <c r="J9" i="16"/>
  <c r="V8" i="16"/>
  <c r="O9" i="16"/>
  <c r="W8" i="16"/>
  <c r="T9" i="16"/>
  <c r="B11" i="18"/>
  <c r="A11" i="18" s="1"/>
  <c r="T9" i="18"/>
  <c r="W8" i="18"/>
  <c r="A10" i="18"/>
  <c r="V8" i="18"/>
  <c r="O9" i="18"/>
  <c r="J9" i="18"/>
  <c r="U8" i="18"/>
  <c r="B12" i="17"/>
  <c r="A12" i="17" s="1"/>
  <c r="J9" i="17"/>
  <c r="U8" i="17"/>
  <c r="T9" i="17"/>
  <c r="W8" i="17"/>
  <c r="O10" i="17"/>
  <c r="V9" i="17"/>
  <c r="N5" i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U9" i="16" l="1"/>
  <c r="J10" i="16"/>
  <c r="V9" i="16"/>
  <c r="O10" i="16"/>
  <c r="W9" i="16"/>
  <c r="T10" i="16"/>
  <c r="J10" i="18"/>
  <c r="U9" i="18"/>
  <c r="O10" i="18"/>
  <c r="V9" i="18"/>
  <c r="W9" i="18"/>
  <c r="T10" i="18"/>
  <c r="O11" i="17"/>
  <c r="V11" i="17" s="1"/>
  <c r="V10" i="17"/>
  <c r="J10" i="17"/>
  <c r="U9" i="17"/>
  <c r="W9" i="17"/>
  <c r="T10" i="17"/>
  <c r="W3" i="1"/>
  <c r="V3" i="1"/>
  <c r="U3" i="1"/>
  <c r="U10" i="16" l="1"/>
  <c r="J11" i="16"/>
  <c r="U11" i="16" s="1"/>
  <c r="V10" i="16"/>
  <c r="O11" i="16"/>
  <c r="V11" i="16" s="1"/>
  <c r="W10" i="16"/>
  <c r="T11" i="16"/>
  <c r="W11" i="16" s="1"/>
  <c r="W10" i="18"/>
  <c r="T11" i="18"/>
  <c r="W11" i="18" s="1"/>
  <c r="O11" i="18"/>
  <c r="V11" i="18" s="1"/>
  <c r="V10" i="18"/>
  <c r="U10" i="18"/>
  <c r="J11" i="18"/>
  <c r="U11" i="18" s="1"/>
  <c r="W10" i="17"/>
  <c r="T11" i="17"/>
  <c r="W11" i="17" s="1"/>
  <c r="J11" i="17"/>
  <c r="U11" i="17" s="1"/>
  <c r="U10" i="17"/>
  <c r="W2" i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V5" i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J9" i="1"/>
  <c r="U9" i="1" s="1"/>
  <c r="T8" i="1"/>
  <c r="V8" i="1"/>
  <c r="O9" i="1"/>
  <c r="W6" i="1"/>
  <c r="B13" i="1"/>
  <c r="A13" i="1" s="1"/>
  <c r="W7" i="1" l="1"/>
  <c r="J10" i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<sst xmlns="http://schemas.openxmlformats.org/spreadsheetml/2006/main" count="825" uniqueCount="155">
  <si>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</si>
  <si>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</si>
  <si>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</si>
  <si>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</si>
  <si>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</si>
  <si>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</si>
  <si>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</si>
  <si>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</si>
  <si>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</si>
  <si>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</si>
  <si>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</si>
  <si>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</si>
  <si>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</si>
  <si>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</si>
  <si>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</si>
  <si>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</si>
  <si>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</si>
  <si>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</si>
  <si>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</si>
  <si>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</si>
  <si>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</si>
  <si>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</si>
  <si>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</si>
  <si>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</si>
  <si>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</si>
  <si>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</si>
  <si>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</si>
  <si>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</si>
  <si>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</si>
  <si>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</si>
  <si>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</si>
  <si>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</si>
  <si>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</si>
  <si>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</si>
  <si>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</si>
  <si>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</si>
  <si>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</si>
  <si>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</si>
  <si>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</si>
  <si>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</si>
  <si>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</si>
  <si>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</si>
  <si>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</si>
  <si>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</si>
  <si>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</si>
  <si>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</si>
  <si>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</si>
  <si>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</si>
  <si>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</si>
  <si>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</si>
  <si>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</si>
  <si>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</si>
  <si>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</si>
  <si>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</si>
  <si>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</si>
  <si>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</si>
  <si>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</si>
  <si>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</si>
  <si>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</si>
  <si>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</si>
  <si>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</si>
  <si>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</si>
  <si>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</si>
  <si>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</si>
  <si>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</si>
  <si>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</si>
  <si>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</si>
  <si>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</si>
  <si>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</si>
  <si>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</si>
  <si>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</si>
  <si>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</si>
  <si>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</si>
  <si>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</si>
  <si>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</si>
  <si>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</si>
  <si>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</si>
  <si>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</si>
  <si>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</si>
  <si>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</si>
  <si>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</si>
  <si>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</si>
  <si>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</si>
  <si>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</si>
  <si>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</si>
  <si>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</si>
  <si>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</si>
  <si>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</si>
  <si>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</si>
  <si>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</si>
  <si>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</si>
  <si>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</si>
  <si>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</si>
  <si>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</si>
  <si>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</si>
  <si>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</si>
  <si>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</si>
  <si>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</si>
  <si>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</si>
  <si>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</si>
  <si>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</si>
  <si>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</si>
  <si>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</si>
  <si>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</si>
  <si>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</si>
  <si>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</si>
  <si>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</si>
  <si>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</si>
  <si>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</si>
  <si>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</si>
  <si>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</si>
  <si>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</si>
  <si>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</si>
  <si>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</si>
  <si>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</si>
  <si>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</si>
  <si>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</si>
  <si>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</si>
  <si>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</si>
  <si>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</si>
  <si>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</si>
  <si>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</si>
  <si>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</si>
  <si>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</si>
  <si>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</si>
  <si>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</si>
  <si>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</si>
  <si>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</si>
  <si>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</si>
  <si>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</si>
  <si>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</si>
  <si>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</si>
  <si>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</si>
  <si>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</si>
  <si>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</si>
  <si>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</si>
  <si>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</si>
  <si>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</si>
  <si>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</si>
  <si>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</si>
  <si>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</si>
  <si>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</si>
  <si>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</si>
  <si>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</si>
  <si>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</si>
  <si>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</si>
  <si>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ツモ</t>
  </si>
  <si>
    <t>ツモ支払</t>
  </si>
  <si>
    <t>01</t>
  </si>
  <si>
    <t>*</t>
  </si>
  <si>
    <t>ロン</t>
  </si>
  <si>
    <t>放銃</t>
  </si>
  <si>
    <t>02</t>
  </si>
  <si>
    <t>チョンボ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</si>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</sst>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9" t="s">
        <v>8</v>
      </c>
      <c r="T2" s="6" t="s">
        <v>4</v>
      </c>
      <c r="U2" s="38" t="str">
        <f>$F$1</f>
        <v>だいち</v>
      </c>
      <c r="V2" s="39" t="str">
        <f>$K$1</f>
        <v>ただ</v>
      </c>
      <c r="W2" s="18" t="str">
        <f>$P$1</f>
        <v>りくと</v>
      </c>
      <c r="Y2" s="41" t="s">
        <v>25</v>
      </c>
      <c r="Z2" s="51" t="s">
        <v>28</v>
      </c>
      <c r="AA2" s="42" t="s">
        <v>26</v>
      </c>
      <c r="AB2" s="42" t="s">
        <v>138</v>
      </c>
      <c r="AC2" s="42" t="s">
        <v>20</v>
      </c>
      <c r="AD2" s="43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41" t="s">
        <v>25</v>
      </c>
      <c r="AU2" s="51" t="s">
        <v>28</v>
      </c>
      <c r="AV2" s="42" t="s">
        <v>26</v>
      </c>
      <c r="AW2" s="42" t="s">
        <v>139</v>
      </c>
      <c r="AX2" s="42" t="s">
        <v>20</v>
      </c>
      <c r="AY2" s="43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41" t="s">
        <v>25</v>
      </c>
      <c r="BP2" s="51" t="s">
        <v>28</v>
      </c>
      <c r="BQ2" s="42" t="s">
        <v>26</v>
      </c>
      <c r="BR2" s="42" t="s">
        <v>139</v>
      </c>
      <c r="BS2" s="42" t="s">
        <v>20</v>
      </c>
      <c r="BT2" s="43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142</v>
      </c>
      <c r="F4" s="8" t="s">
        <v>147</v>
      </c>
      <c r="G4" s="9">
        <v>-9000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26000</v>
      </c>
      <c r="K4" s="8" t="s">
        <v>146</v>
      </c>
      <c r="L4" s="9">
        <v>18000</v>
      </c>
      <c r="M4" s="9">
        <v>1000</v>
      </c>
      <c r="N4" s="10">
        <f t="shared" ref="N4" si="0">_xlfn.SWITCH(K4,"ロン",$C4*1000,"ツモ",$C4*1000,"放銃",$C4*-1000,"ツモ支払",$C4*-500,"")</f>
        <v>0</v>
      </c>
      <c r="O4" s="32">
        <f>IF(COUNTA($F4,$K4,$P4)&gt;0,O3+SUM(L4:N4),"")</f>
        <v>54000</v>
      </c>
      <c r="P4" s="8" t="s">
        <v>147</v>
      </c>
      <c r="Q4" s="9">
        <v>-9000</v>
      </c>
      <c r="R4" s="9">
        <v>-1000</v>
      </c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25000</v>
      </c>
      <c r="U4" s="22">
        <f>IF($J4="","",ROUND(($J4-$J$3)/1000,0))</f>
        <v>-9</v>
      </c>
      <c r="V4" s="23">
        <f t="shared" ref="V4:V30" si="2">IF($O4="","",ROUND(($O4-$O$3)/1000,0))</f>
        <v>19</v>
      </c>
      <c r="W4" s="24">
        <f t="shared" ref="W4:W30" si="3">IF($T4="","",ROUND(($T4-$T$3)/1000,0))</f>
        <v>-10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>
        <v>1</v>
      </c>
      <c r="AW4" s="44"/>
      <c r="AX4" s="44">
        <v>6</v>
      </c>
      <c r="AY4" s="48" t="s">
        <v>149</v>
      </c>
      <c r="AZ4" s="59" t="s">
        <v>148</v>
      </c>
      <c r="BA4" s="60" t="s">
        <v>89</v>
      </c>
      <c r="BB4" s="60" t="s">
        <v>91</v>
      </c>
      <c r="BC4" s="60" t="s">
        <v>86</v>
      </c>
      <c r="BD4" s="60" t="s">
        <v>86</v>
      </c>
      <c r="BE4" s="60" t="s">
        <v>88</v>
      </c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>
        <v>1</v>
      </c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142</v>
      </c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26000</v>
      </c>
      <c r="K5" s="8" t="s">
        <v>150</v>
      </c>
      <c r="L5" s="9">
        <v>24000</v>
      </c>
      <c r="M5" s="9"/>
      <c r="N5" s="10">
        <f t="shared" ref="N5:N30" si="6">_xlfn.SWITCH(K5,"ロン",$C5*1000,"ツモ",$C5*1000,"放銃",$C5*-1000,"ツモ支払",$C5*-500,"")</f>
        <v>1000</v>
      </c>
      <c r="O5" s="32">
        <f t="shared" ref="O5:O30" si="7">IF(COUNTA($F5,$K5,$P5)&gt;0,O4+SUM(L5:N5),"")</f>
        <v>79000</v>
      </c>
      <c r="P5" s="8" t="s">
        <v>151</v>
      </c>
      <c r="Q5" s="9">
        <v>-24000</v>
      </c>
      <c r="R5" s="9"/>
      <c r="S5" s="10">
        <f t="shared" si="1"/>
        <v>-1000</v>
      </c>
      <c r="T5" s="32">
        <f t="shared" ref="T5:T30" si="8">IF(COUNTA($F5,$K5,$P5)&gt;0,T4+SUM(Q5:S5),"")</f>
        <v>0</v>
      </c>
      <c r="U5" s="22">
        <f t="shared" ref="U5:U30" si="9">IF($J5="","",ROUND(($J5-$J$3)/1000,0))</f>
        <v>-9</v>
      </c>
      <c r="V5" s="23">
        <f t="shared" si="2"/>
        <v>44</v>
      </c>
      <c r="W5" s="24">
        <f t="shared" si="3"/>
        <v>-35</v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>
        <v>1</v>
      </c>
      <c r="AW5" s="44"/>
      <c r="AX5" s="44">
        <v>8</v>
      </c>
      <c r="AY5" s="48" t="s">
        <v>149</v>
      </c>
      <c r="AZ5" s="59" t="s">
        <v>148</v>
      </c>
      <c r="BA5" s="60" t="s">
        <v>87</v>
      </c>
      <c r="BB5" s="60" t="s">
        <v>87</v>
      </c>
      <c r="BC5" s="60" t="s">
        <v>88</v>
      </c>
      <c r="BD5" s="60" t="s">
        <v>88</v>
      </c>
      <c r="BE5" s="60" t="s">
        <v>91</v>
      </c>
      <c r="BF5" s="60" t="s">
        <v>90</v>
      </c>
      <c r="BG5" s="60" t="s">
        <v>92</v>
      </c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>
        <v>1</v>
      </c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9">
        <f t="shared" ref="B6:B30" si="11">IF($E6="","",IF($E5=$E6,B5,IF(B5=3,1,B5+1)))</f>
        <v>1</v>
      </c>
      <c r="C6" s="29">
        <f t="shared" ref="C6:C30" si="12">IF($E6="","",IF($E5=$E6,C5+1,0))</f>
        <v>2</v>
      </c>
      <c r="D6" s="29">
        <f t="shared" ref="D6:D30" si="13">IF($E6="","",IF(OR($F5="流局",$F5="チョンボ"),D5+($H5+$M5+$R5)/-1000,0))</f>
        <v>0</v>
      </c>
      <c r="E6" s="4" t="s">
        <v>142</v>
      </c>
      <c r="F6" s="8" t="s">
        <v>147</v>
      </c>
      <c r="G6" s="9">
        <v>-9000</v>
      </c>
      <c r="H6" s="9"/>
      <c r="I6" s="10">
        <f t="shared" si="4"/>
        <v>-1000</v>
      </c>
      <c r="J6" s="32">
        <f t="shared" si="5"/>
        <v>16000</v>
      </c>
      <c r="K6" s="8" t="s">
        <v>146</v>
      </c>
      <c r="L6" s="9">
        <v>18000</v>
      </c>
      <c r="M6" s="9"/>
      <c r="N6" s="10">
        <f t="shared" si="6"/>
        <v>2000</v>
      </c>
      <c r="O6" s="32">
        <f t="shared" si="7"/>
        <v>99000</v>
      </c>
      <c r="P6" s="8" t="s">
        <v>147</v>
      </c>
      <c r="Q6" s="9">
        <v>-9000</v>
      </c>
      <c r="R6" s="9"/>
      <c r="S6" s="10">
        <f t="shared" si="1"/>
        <v>-1000</v>
      </c>
      <c r="T6" s="32">
        <f t="shared" si="8"/>
        <v>-10000</v>
      </c>
      <c r="U6" s="22">
        <f t="shared" si="9"/>
        <v>-19</v>
      </c>
      <c r="V6" s="23">
        <f t="shared" si="2"/>
        <v>64</v>
      </c>
      <c r="W6" s="24">
        <f t="shared" si="3"/>
        <v>-45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>
        <v>7</v>
      </c>
      <c r="AY6" s="48" t="s">
        <v>149</v>
      </c>
      <c r="AZ6" s="59" t="s">
        <v>148</v>
      </c>
      <c r="BA6" s="60" t="s">
        <v>89</v>
      </c>
      <c r="BB6" s="60" t="s">
        <v>152</v>
      </c>
      <c r="BC6" s="60" t="s">
        <v>90</v>
      </c>
      <c r="BD6" s="60" t="s">
        <v>86</v>
      </c>
      <c r="BE6" s="60" t="s">
        <v>87</v>
      </c>
      <c r="BF6" s="60" t="s">
        <v>88</v>
      </c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/>
      </c>
      <c r="B7" s="29" t="str">
        <f t="shared" si="11"/>
        <v/>
      </c>
      <c r="C7" s="29" t="str">
        <f t="shared" si="12"/>
        <v/>
      </c>
      <c r="D7" s="29" t="str">
        <f t="shared" si="13"/>
        <v/>
      </c>
      <c r="E7" s="4"/>
      <c r="F7" s="8"/>
      <c r="G7" s="9"/>
      <c r="H7" s="9"/>
      <c r="I7" s="10" t="str">
        <f t="shared" si="4"/>
        <v/>
      </c>
      <c r="J7" s="32" t="str">
        <f t="shared" si="5"/>
        <v/>
      </c>
      <c r="K7" s="8"/>
      <c r="L7" s="9"/>
      <c r="M7" s="9"/>
      <c r="N7" s="10" t="str">
        <f t="shared" si="6"/>
        <v/>
      </c>
      <c r="O7" s="32" t="str">
        <f t="shared" si="7"/>
        <v/>
      </c>
      <c r="P7" s="8"/>
      <c r="Q7" s="9"/>
      <c r="R7" s="9"/>
      <c r="S7" s="10" t="str">
        <f t="shared" si="1"/>
        <v/>
      </c>
      <c r="T7" s="32" t="str">
        <f t="shared" si="8"/>
        <v/>
      </c>
      <c r="U7" s="22" t="str">
        <f t="shared" si="9"/>
        <v/>
      </c>
      <c r="V7" s="23" t="str">
        <f t="shared" si="2"/>
        <v/>
      </c>
      <c r="W7" s="24" t="str">
        <f t="shared" si="3"/>
        <v/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/>
      </c>
      <c r="B8" s="29" t="str">
        <f t="shared" si="11"/>
        <v/>
      </c>
      <c r="C8" s="29" t="str">
        <f t="shared" si="12"/>
        <v/>
      </c>
      <c r="D8" s="29" t="str">
        <f t="shared" si="13"/>
        <v/>
      </c>
      <c r="E8" s="4"/>
      <c r="F8" s="8"/>
      <c r="G8" s="9"/>
      <c r="H8" s="9"/>
      <c r="I8" s="10" t="str">
        <f t="shared" si="4"/>
        <v/>
      </c>
      <c r="J8" s="32" t="str">
        <f t="shared" si="5"/>
        <v/>
      </c>
      <c r="K8" s="8"/>
      <c r="L8" s="9"/>
      <c r="M8" s="9"/>
      <c r="N8" s="10" t="str">
        <f t="shared" si="6"/>
        <v/>
      </c>
      <c r="O8" s="32" t="str">
        <f t="shared" si="7"/>
        <v/>
      </c>
      <c r="P8" s="8"/>
      <c r="Q8" s="9"/>
      <c r="R8" s="9"/>
      <c r="S8" s="10" t="str">
        <f t="shared" si="1"/>
        <v/>
      </c>
      <c r="T8" s="32" t="str">
        <f t="shared" si="8"/>
        <v/>
      </c>
      <c r="U8" s="22" t="str">
        <f t="shared" si="9"/>
        <v/>
      </c>
      <c r="V8" s="23" t="str">
        <f t="shared" si="2"/>
        <v/>
      </c>
      <c r="W8" s="24" t="str">
        <f t="shared" si="3"/>
        <v/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/>
      </c>
      <c r="B9" s="29" t="str">
        <f t="shared" si="11"/>
        <v/>
      </c>
      <c r="C9" s="29" t="str">
        <f t="shared" si="12"/>
        <v/>
      </c>
      <c r="D9" s="29" t="str">
        <f t="shared" si="13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6"/>
        <v/>
      </c>
      <c r="O9" s="32" t="str">
        <f t="shared" si="7"/>
        <v/>
      </c>
      <c r="P9" s="8"/>
      <c r="Q9" s="9"/>
      <c r="R9" s="9"/>
      <c r="S9" s="10" t="str">
        <f t="shared" si="1"/>
        <v/>
      </c>
      <c r="T9" s="32" t="str">
        <f t="shared" si="8"/>
        <v/>
      </c>
      <c r="U9" s="22" t="str">
        <f t="shared" si="9"/>
        <v/>
      </c>
      <c r="V9" s="23" t="str">
        <f t="shared" si="2"/>
        <v/>
      </c>
      <c r="W9" s="24" t="str">
        <f t="shared" si="3"/>
        <v/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10"/>
        <v/>
      </c>
      <c r="B10" s="29" t="str">
        <f t="shared" si="11"/>
        <v/>
      </c>
      <c r="C10" s="29" t="str">
        <f t="shared" si="12"/>
        <v/>
      </c>
      <c r="D10" s="29" t="str">
        <f t="shared" si="13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6"/>
        <v/>
      </c>
      <c r="O10" s="32" t="str">
        <f t="shared" si="7"/>
        <v/>
      </c>
      <c r="P10" s="8"/>
      <c r="Q10" s="9"/>
      <c r="R10" s="9"/>
      <c r="S10" s="10" t="str">
        <f t="shared" si="1"/>
        <v/>
      </c>
      <c r="T10" s="32" t="str">
        <f t="shared" si="8"/>
        <v/>
      </c>
      <c r="U10" s="22" t="str">
        <f t="shared" si="9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/>
      </c>
      <c r="B11" s="29" t="str">
        <f t="shared" si="11"/>
        <v/>
      </c>
      <c r="C11" s="29" t="str">
        <f t="shared" si="12"/>
        <v/>
      </c>
      <c r="D11" s="29" t="str">
        <f t="shared" si="13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6"/>
        <v/>
      </c>
      <c r="O11" s="32" t="str">
        <f t="shared" si="7"/>
        <v/>
      </c>
      <c r="P11" s="8"/>
      <c r="Q11" s="9"/>
      <c r="R11" s="9"/>
      <c r="S11" s="10" t="str">
        <f t="shared" si="1"/>
        <v/>
      </c>
      <c r="T11" s="32" t="str">
        <f t="shared" si="8"/>
        <v/>
      </c>
      <c r="U11" s="22" t="str">
        <f t="shared" si="9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D4A3C-70E9-47AD-BCA3-03DEBAFA4480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りくと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142</v>
      </c>
      <c r="F4" s="8" t="s">
        <v>147</v>
      </c>
      <c r="G4" s="9">
        <v>-3000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32000</v>
      </c>
      <c r="K4" s="8" t="s">
        <v>147</v>
      </c>
      <c r="L4" s="9">
        <v>-5000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30000</v>
      </c>
      <c r="P4" s="8" t="s">
        <v>146</v>
      </c>
      <c r="Q4" s="9">
        <v>8000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43000</v>
      </c>
      <c r="U4" s="22">
        <f>IF($J4="","",ROUND(($J4-$J$3)/1000,0))</f>
        <v>-3</v>
      </c>
      <c r="V4" s="23">
        <f t="shared" ref="V4:V30" si="2">IF($O4="","",ROUND(($O4-$O$3)/1000,0))</f>
        <v>-5</v>
      </c>
      <c r="W4" s="24">
        <f t="shared" ref="W4:W30" si="3">IF($T4="","",ROUND(($T4-$T$3)/1000,0))</f>
        <v>8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>
        <v>1</v>
      </c>
      <c r="BR4" s="44"/>
      <c r="BS4" s="44">
        <v>5</v>
      </c>
      <c r="BT4" s="48" t="s">
        <v>149</v>
      </c>
      <c r="BU4" s="59" t="s">
        <v>148</v>
      </c>
      <c r="BV4" s="60" t="s">
        <v>89</v>
      </c>
      <c r="BW4" s="60" t="s">
        <v>86</v>
      </c>
      <c r="BX4" s="60" t="s">
        <v>88</v>
      </c>
      <c r="BY4" s="60" t="s">
        <v>88</v>
      </c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144</v>
      </c>
      <c r="F5" s="8" t="s">
        <v>151</v>
      </c>
      <c r="G5" s="9">
        <v>-1600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30400</v>
      </c>
      <c r="K5" s="8" t="s">
        <v>150</v>
      </c>
      <c r="L5" s="9">
        <v>1600</v>
      </c>
      <c r="M5" s="9"/>
      <c r="N5" s="10">
        <f t="shared" si="0"/>
        <v>0</v>
      </c>
      <c r="O5" s="32">
        <f t="shared" ref="O5:O30" si="6">IF(COUNTA($F5,$K5,$P5)&gt;0,O4+SUM(L5:N5),"")</f>
        <v>31600</v>
      </c>
      <c r="P5" s="8"/>
      <c r="Q5" s="9"/>
      <c r="R5" s="9"/>
      <c r="S5" s="10" t="str">
        <f t="shared" si="1"/>
        <v/>
      </c>
      <c r="T5" s="32">
        <f t="shared" ref="T5:T30" si="7">IF(COUNTA($F5,$K5,$P5)&gt;0,T4+SUM(Q5:S5),"")</f>
        <v>43000</v>
      </c>
      <c r="U5" s="22">
        <f t="shared" ref="U5:U30" si="8">IF($J5="","",ROUND(($J5-$J$3)/1000,0))</f>
        <v>-5</v>
      </c>
      <c r="V5" s="23">
        <f t="shared" si="2"/>
        <v>-3</v>
      </c>
      <c r="W5" s="24">
        <f t="shared" si="3"/>
        <v>8</v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>
        <v>2</v>
      </c>
      <c r="AY5" s="48">
        <v>25</v>
      </c>
      <c r="AZ5" s="59" t="s">
        <v>108</v>
      </c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140</v>
      </c>
      <c r="F6" s="8" t="s">
        <v>150</v>
      </c>
      <c r="G6" s="9">
        <v>18000</v>
      </c>
      <c r="H6" s="9"/>
      <c r="I6" s="10">
        <f t="shared" si="4"/>
        <v>0</v>
      </c>
      <c r="J6" s="32">
        <f t="shared" si="5"/>
        <v>48400</v>
      </c>
      <c r="K6" s="8" t="s">
        <v>151</v>
      </c>
      <c r="L6" s="9">
        <v>-18000</v>
      </c>
      <c r="M6" s="9"/>
      <c r="N6" s="10">
        <f t="shared" si="0"/>
        <v>0</v>
      </c>
      <c r="O6" s="32">
        <f t="shared" si="6"/>
        <v>13600</v>
      </c>
      <c r="P6" s="8"/>
      <c r="Q6" s="9"/>
      <c r="R6" s="9"/>
      <c r="S6" s="10" t="str">
        <f t="shared" si="1"/>
        <v/>
      </c>
      <c r="T6" s="32">
        <f t="shared" si="7"/>
        <v>43000</v>
      </c>
      <c r="U6" s="22">
        <f t="shared" si="8"/>
        <v>13</v>
      </c>
      <c r="V6" s="23">
        <f t="shared" si="2"/>
        <v>-21</v>
      </c>
      <c r="W6" s="24">
        <f t="shared" si="3"/>
        <v>8</v>
      </c>
      <c r="Y6" s="8"/>
      <c r="Z6" s="53"/>
      <c r="AA6" s="44"/>
      <c r="AB6" s="44">
        <v>1</v>
      </c>
      <c r="AC6" s="44">
        <v>7</v>
      </c>
      <c r="AD6" s="48" t="s">
        <v>149</v>
      </c>
      <c r="AE6" s="59" t="s">
        <v>93</v>
      </c>
      <c r="AF6" s="60" t="s">
        <v>93</v>
      </c>
      <c r="AG6" s="60" t="s">
        <v>88</v>
      </c>
      <c r="AH6" s="60" t="s">
        <v>88</v>
      </c>
      <c r="AI6" s="60" t="s">
        <v>88</v>
      </c>
      <c r="AJ6" s="60" t="s">
        <v>111</v>
      </c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>
        <v>1</v>
      </c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>
        <v>1</v>
      </c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1</v>
      </c>
      <c r="D7" s="29">
        <f t="shared" si="12"/>
        <v>0</v>
      </c>
      <c r="E7" s="4" t="s">
        <v>140</v>
      </c>
      <c r="F7" s="8" t="s">
        <v>150</v>
      </c>
      <c r="G7" s="9">
        <v>7700</v>
      </c>
      <c r="H7" s="9"/>
      <c r="I7" s="10">
        <f t="shared" si="4"/>
        <v>1000</v>
      </c>
      <c r="J7" s="32">
        <f t="shared" si="5"/>
        <v>57100</v>
      </c>
      <c r="K7" s="8" t="s">
        <v>151</v>
      </c>
      <c r="L7" s="9">
        <v>-7700</v>
      </c>
      <c r="M7" s="9"/>
      <c r="N7" s="10">
        <f t="shared" si="0"/>
        <v>-1000</v>
      </c>
      <c r="O7" s="32">
        <f t="shared" si="6"/>
        <v>4900</v>
      </c>
      <c r="P7" s="8"/>
      <c r="Q7" s="9"/>
      <c r="R7" s="9"/>
      <c r="S7" s="10" t="str">
        <f t="shared" si="1"/>
        <v/>
      </c>
      <c r="T7" s="32">
        <f t="shared" si="7"/>
        <v>43000</v>
      </c>
      <c r="U7" s="22">
        <f t="shared" si="8"/>
        <v>22</v>
      </c>
      <c r="V7" s="23">
        <f t="shared" si="2"/>
        <v>-30</v>
      </c>
      <c r="W7" s="24">
        <f t="shared" si="3"/>
        <v>8</v>
      </c>
      <c r="Y7" s="8"/>
      <c r="Z7" s="53"/>
      <c r="AA7" s="44">
        <v>1</v>
      </c>
      <c r="AB7" s="44"/>
      <c r="AC7" s="44">
        <v>3</v>
      </c>
      <c r="AD7" s="48">
        <v>40</v>
      </c>
      <c r="AE7" s="59" t="s">
        <v>148</v>
      </c>
      <c r="AF7" s="60" t="s">
        <v>88</v>
      </c>
      <c r="AG7" s="60" t="s">
        <v>93</v>
      </c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東</v>
      </c>
      <c r="B8" s="29">
        <f t="shared" si="10"/>
        <v>3</v>
      </c>
      <c r="C8" s="29">
        <f t="shared" si="11"/>
        <v>2</v>
      </c>
      <c r="D8" s="29">
        <f t="shared" si="12"/>
        <v>0</v>
      </c>
      <c r="E8" s="4" t="s">
        <v>141</v>
      </c>
      <c r="F8" s="8"/>
      <c r="G8" s="9"/>
      <c r="H8" s="9"/>
      <c r="I8" s="10" t="str">
        <f t="shared" si="4"/>
        <v/>
      </c>
      <c r="J8" s="32">
        <f t="shared" si="5"/>
        <v>57100</v>
      </c>
      <c r="K8" s="8" t="s">
        <v>150</v>
      </c>
      <c r="L8" s="9">
        <v>5200</v>
      </c>
      <c r="M8" s="9">
        <v>1000</v>
      </c>
      <c r="N8" s="10">
        <f t="shared" si="0"/>
        <v>2000</v>
      </c>
      <c r="O8" s="32">
        <f t="shared" si="6"/>
        <v>13100</v>
      </c>
      <c r="P8" s="8" t="s">
        <v>151</v>
      </c>
      <c r="Q8" s="9">
        <v>-5200</v>
      </c>
      <c r="R8" s="9">
        <v>-1000</v>
      </c>
      <c r="S8" s="10">
        <f t="shared" si="1"/>
        <v>-2000</v>
      </c>
      <c r="T8" s="32">
        <f t="shared" si="7"/>
        <v>34800</v>
      </c>
      <c r="U8" s="22">
        <f t="shared" si="8"/>
        <v>22</v>
      </c>
      <c r="V8" s="23">
        <f t="shared" si="2"/>
        <v>-22</v>
      </c>
      <c r="W8" s="24">
        <f t="shared" si="3"/>
        <v>0</v>
      </c>
      <c r="Y8" s="8"/>
      <c r="Z8" s="53"/>
      <c r="AA8" s="44"/>
      <c r="AB8" s="44">
        <v>1</v>
      </c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>
        <v>3</v>
      </c>
      <c r="AY8" s="48">
        <v>40</v>
      </c>
      <c r="AZ8" s="59" t="s">
        <v>95</v>
      </c>
      <c r="BA8" s="60" t="s">
        <v>88</v>
      </c>
      <c r="BB8" s="60" t="s">
        <v>86</v>
      </c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>
        <v>1</v>
      </c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0</v>
      </c>
      <c r="D9" s="29">
        <f t="shared" si="12"/>
        <v>0</v>
      </c>
      <c r="E9" s="4" t="s">
        <v>142</v>
      </c>
      <c r="F9" s="8" t="s">
        <v>147</v>
      </c>
      <c r="G9" s="9">
        <v>-3000</v>
      </c>
      <c r="H9" s="9"/>
      <c r="I9" s="10">
        <f t="shared" si="4"/>
        <v>0</v>
      </c>
      <c r="J9" s="32">
        <f t="shared" si="5"/>
        <v>54100</v>
      </c>
      <c r="K9" s="8" t="s">
        <v>147</v>
      </c>
      <c r="L9" s="9">
        <v>-5000</v>
      </c>
      <c r="M9" s="9"/>
      <c r="N9" s="10">
        <f t="shared" si="0"/>
        <v>0</v>
      </c>
      <c r="O9" s="32">
        <f t="shared" si="6"/>
        <v>8100</v>
      </c>
      <c r="P9" s="8" t="s">
        <v>146</v>
      </c>
      <c r="Q9" s="9">
        <v>8000</v>
      </c>
      <c r="R9" s="9">
        <v>0</v>
      </c>
      <c r="S9" s="10">
        <f t="shared" si="1"/>
        <v>0</v>
      </c>
      <c r="T9" s="32">
        <f t="shared" si="7"/>
        <v>42800</v>
      </c>
      <c r="U9" s="22">
        <f t="shared" si="8"/>
        <v>19</v>
      </c>
      <c r="V9" s="23">
        <f t="shared" si="2"/>
        <v>-27</v>
      </c>
      <c r="W9" s="24">
        <f t="shared" si="3"/>
        <v>8</v>
      </c>
      <c r="Y9" s="8"/>
      <c r="Z9" s="53"/>
      <c r="AA9" s="44"/>
      <c r="AB9" s="44">
        <v>1</v>
      </c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>
        <v>1</v>
      </c>
      <c r="BR9" s="44"/>
      <c r="BS9" s="44">
        <v>4</v>
      </c>
      <c r="BT9" s="48">
        <v>30</v>
      </c>
      <c r="BU9" s="59" t="s">
        <v>148</v>
      </c>
      <c r="BV9" s="60" t="s">
        <v>89</v>
      </c>
      <c r="BW9" s="60" t="s">
        <v>93</v>
      </c>
      <c r="BX9" s="60" t="s">
        <v>87</v>
      </c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0</v>
      </c>
      <c r="D10" s="29">
        <f t="shared" si="12"/>
        <v>0</v>
      </c>
      <c r="E10" s="4" t="s">
        <v>145</v>
      </c>
      <c r="F10" s="8" t="s">
        <v>151</v>
      </c>
      <c r="G10" s="9">
        <v>-16000</v>
      </c>
      <c r="H10" s="9">
        <v>-1000</v>
      </c>
      <c r="I10" s="10">
        <f t="shared" si="4"/>
        <v>0</v>
      </c>
      <c r="J10" s="32">
        <f t="shared" si="5"/>
        <v>37100</v>
      </c>
      <c r="K10" s="8" t="s">
        <v>150</v>
      </c>
      <c r="L10" s="9">
        <v>16000</v>
      </c>
      <c r="M10" s="9">
        <v>1000</v>
      </c>
      <c r="N10" s="10">
        <f t="shared" si="0"/>
        <v>0</v>
      </c>
      <c r="O10" s="32">
        <f t="shared" si="6"/>
        <v>25100</v>
      </c>
      <c r="P10" s="8"/>
      <c r="Q10" s="9"/>
      <c r="R10" s="9"/>
      <c r="S10" s="10" t="str">
        <f t="shared" si="1"/>
        <v/>
      </c>
      <c r="T10" s="32">
        <f t="shared" si="7"/>
        <v>42800</v>
      </c>
      <c r="U10" s="22">
        <f t="shared" si="8"/>
        <v>2</v>
      </c>
      <c r="V10" s="23">
        <f t="shared" si="2"/>
        <v>-10</v>
      </c>
      <c r="W10" s="24">
        <f t="shared" si="3"/>
        <v>8</v>
      </c>
      <c r="Y10" s="8"/>
      <c r="Z10" s="53"/>
      <c r="AA10" s="44">
        <v>1</v>
      </c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>
        <v>1</v>
      </c>
      <c r="AW10" s="44"/>
      <c r="AX10" s="44">
        <v>8</v>
      </c>
      <c r="AY10" s="48" t="s">
        <v>149</v>
      </c>
      <c r="AZ10" s="59" t="s">
        <v>148</v>
      </c>
      <c r="BA10" s="60" t="s">
        <v>152</v>
      </c>
      <c r="BB10" s="60" t="s">
        <v>99</v>
      </c>
      <c r="BC10" s="60" t="s">
        <v>88</v>
      </c>
      <c r="BD10" s="60" t="s">
        <v>88</v>
      </c>
      <c r="BE10" s="60" t="s">
        <v>86</v>
      </c>
      <c r="BF10" s="60" t="s">
        <v>90</v>
      </c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140</v>
      </c>
      <c r="F11" s="8" t="s">
        <v>151</v>
      </c>
      <c r="G11" s="9">
        <v>-12000</v>
      </c>
      <c r="H11" s="9"/>
      <c r="I11" s="10">
        <f t="shared" si="4"/>
        <v>0</v>
      </c>
      <c r="J11" s="32">
        <f t="shared" si="5"/>
        <v>25100</v>
      </c>
      <c r="K11" s="8" t="s">
        <v>150</v>
      </c>
      <c r="L11" s="9">
        <v>12000</v>
      </c>
      <c r="M11" s="9">
        <v>1000</v>
      </c>
      <c r="N11" s="10">
        <f t="shared" si="0"/>
        <v>0</v>
      </c>
      <c r="O11" s="32">
        <f t="shared" si="6"/>
        <v>38100</v>
      </c>
      <c r="P11" s="8"/>
      <c r="Q11" s="9"/>
      <c r="R11" s="9">
        <v>-1000</v>
      </c>
      <c r="S11" s="10" t="str">
        <f t="shared" si="1"/>
        <v/>
      </c>
      <c r="T11" s="32">
        <f t="shared" si="7"/>
        <v>41800</v>
      </c>
      <c r="U11" s="22">
        <f t="shared" si="8"/>
        <v>-10</v>
      </c>
      <c r="V11" s="23">
        <f t="shared" si="2"/>
        <v>3</v>
      </c>
      <c r="W11" s="24">
        <f t="shared" si="3"/>
        <v>7</v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>
        <v>1</v>
      </c>
      <c r="AW11" s="44"/>
      <c r="AX11" s="44">
        <v>6</v>
      </c>
      <c r="AY11" s="48" t="s">
        <v>149</v>
      </c>
      <c r="AZ11" s="59" t="s">
        <v>148</v>
      </c>
      <c r="BA11" s="60" t="s">
        <v>108</v>
      </c>
      <c r="BB11" s="60" t="s">
        <v>88</v>
      </c>
      <c r="BC11" s="60" t="s">
        <v>86</v>
      </c>
      <c r="BD11" s="60" t="s">
        <v>86</v>
      </c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>
        <v>1</v>
      </c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8ECAA8A-0910-4EB2-B3B3-E39E7C3F7BC3}">
      <formula1>$U$2:$W$2</formula1>
    </dataValidation>
    <dataValidation type="list" showInputMessage="1" showErrorMessage="1" sqref="K4:K30 P4:P30 F4:F30" xr:uid="{97094CEC-5368-4431-B5F3-74B50746F37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1E04-BB86-4887-A5B8-6039843AA117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りくと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144</v>
      </c>
      <c r="F4" s="8" t="s">
        <v>146</v>
      </c>
      <c r="G4" s="9">
        <v>3200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38200</v>
      </c>
      <c r="K4" s="8" t="s">
        <v>147</v>
      </c>
      <c r="L4" s="9">
        <v>-1200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33800</v>
      </c>
      <c r="P4" s="8" t="s">
        <v>147</v>
      </c>
      <c r="Q4" s="9">
        <v>-2000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33000</v>
      </c>
      <c r="U4" s="22">
        <f>IF($J4="","",ROUND(($J4-$J$3)/1000,0))</f>
        <v>3</v>
      </c>
      <c r="V4" s="23">
        <f t="shared" ref="V4:V30" si="2">IF($O4="","",ROUND(($O4-$O$3)/1000,0))</f>
        <v>-1</v>
      </c>
      <c r="W4" s="24">
        <f t="shared" ref="W4:W30" si="3">IF($T4="","",ROUND(($T4-$T$3)/1000,0))</f>
        <v>-2</v>
      </c>
      <c r="Y4" s="8"/>
      <c r="Z4" s="53"/>
      <c r="AA4" s="44"/>
      <c r="AB4" s="44"/>
      <c r="AC4" s="44">
        <v>3</v>
      </c>
      <c r="AD4" s="48">
        <v>25</v>
      </c>
      <c r="AE4" s="59" t="s">
        <v>89</v>
      </c>
      <c r="AF4" s="60" t="s">
        <v>108</v>
      </c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141</v>
      </c>
      <c r="F5" s="8" t="s">
        <v>150</v>
      </c>
      <c r="G5" s="9">
        <v>4800</v>
      </c>
      <c r="H5" s="9">
        <v>1000</v>
      </c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44000</v>
      </c>
      <c r="K5" s="8" t="s">
        <v>151</v>
      </c>
      <c r="L5" s="9">
        <v>-4800</v>
      </c>
      <c r="M5" s="9">
        <v>-1000</v>
      </c>
      <c r="N5" s="10">
        <f t="shared" si="0"/>
        <v>0</v>
      </c>
      <c r="O5" s="32">
        <f t="shared" ref="O5:O30" si="6">IF(COUNTA($F5,$K5,$P5)&gt;0,O4+SUM(L5:N5),"")</f>
        <v>28000</v>
      </c>
      <c r="P5" s="8"/>
      <c r="Q5" s="9"/>
      <c r="R5" s="9"/>
      <c r="S5" s="10" t="str">
        <f t="shared" si="1"/>
        <v/>
      </c>
      <c r="T5" s="32">
        <f t="shared" ref="T5:T30" si="7">IF(COUNTA($F5,$K5,$P5)&gt;0,T4+SUM(Q5:S5),"")</f>
        <v>33000</v>
      </c>
      <c r="U5" s="22">
        <f t="shared" ref="U5:U30" si="8">IF($J5="","",ROUND(($J5-$J$3)/1000,0))</f>
        <v>9</v>
      </c>
      <c r="V5" s="23">
        <f t="shared" si="2"/>
        <v>-7</v>
      </c>
      <c r="W5" s="24">
        <f t="shared" si="3"/>
        <v>-2</v>
      </c>
      <c r="Y5" s="8"/>
      <c r="Z5" s="53"/>
      <c r="AA5" s="44">
        <v>1</v>
      </c>
      <c r="AB5" s="44"/>
      <c r="AC5" s="44">
        <v>3</v>
      </c>
      <c r="AD5" s="48">
        <v>25</v>
      </c>
      <c r="AE5" s="59" t="s">
        <v>148</v>
      </c>
      <c r="AF5" s="60" t="s">
        <v>88</v>
      </c>
      <c r="AG5" s="60" t="s">
        <v>92</v>
      </c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>
        <v>1</v>
      </c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140</v>
      </c>
      <c r="F6" s="8" t="s">
        <v>151</v>
      </c>
      <c r="G6" s="9">
        <v>-5200</v>
      </c>
      <c r="H6" s="9"/>
      <c r="I6" s="10">
        <f t="shared" si="4"/>
        <v>-1000</v>
      </c>
      <c r="J6" s="32">
        <f t="shared" si="5"/>
        <v>37800</v>
      </c>
      <c r="K6" s="8" t="s">
        <v>150</v>
      </c>
      <c r="L6" s="9">
        <v>5200</v>
      </c>
      <c r="M6" s="9">
        <v>1000</v>
      </c>
      <c r="N6" s="10">
        <f t="shared" si="0"/>
        <v>1000</v>
      </c>
      <c r="O6" s="32">
        <f t="shared" si="6"/>
        <v>35200</v>
      </c>
      <c r="P6" s="8"/>
      <c r="Q6" s="9"/>
      <c r="R6" s="9">
        <v>-1000</v>
      </c>
      <c r="S6" s="10" t="str">
        <f t="shared" si="1"/>
        <v/>
      </c>
      <c r="T6" s="32">
        <f t="shared" si="7"/>
        <v>32000</v>
      </c>
      <c r="U6" s="22">
        <f t="shared" si="8"/>
        <v>3</v>
      </c>
      <c r="V6" s="23">
        <f t="shared" si="2"/>
        <v>0</v>
      </c>
      <c r="W6" s="24">
        <f t="shared" si="3"/>
        <v>-3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>
        <v>4</v>
      </c>
      <c r="AY6" s="48">
        <v>20</v>
      </c>
      <c r="AZ6" s="59" t="s">
        <v>148</v>
      </c>
      <c r="BA6" s="60" t="s">
        <v>92</v>
      </c>
      <c r="BB6" s="60" t="s">
        <v>90</v>
      </c>
      <c r="BC6" s="60" t="s">
        <v>91</v>
      </c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>
        <v>1</v>
      </c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142</v>
      </c>
      <c r="F7" s="8" t="s">
        <v>147</v>
      </c>
      <c r="G7" s="9">
        <v>-3000</v>
      </c>
      <c r="H7" s="9"/>
      <c r="I7" s="10">
        <f t="shared" si="4"/>
        <v>0</v>
      </c>
      <c r="J7" s="32">
        <f t="shared" si="5"/>
        <v>34800</v>
      </c>
      <c r="K7" s="8" t="s">
        <v>147</v>
      </c>
      <c r="L7" s="9">
        <v>-5000</v>
      </c>
      <c r="M7" s="9"/>
      <c r="N7" s="10">
        <f t="shared" si="0"/>
        <v>0</v>
      </c>
      <c r="O7" s="32">
        <f t="shared" si="6"/>
        <v>30200</v>
      </c>
      <c r="P7" s="8" t="s">
        <v>146</v>
      </c>
      <c r="Q7" s="9">
        <v>8000</v>
      </c>
      <c r="R7" s="9"/>
      <c r="S7" s="10">
        <f t="shared" si="1"/>
        <v>0</v>
      </c>
      <c r="T7" s="32">
        <f t="shared" si="7"/>
        <v>40000</v>
      </c>
      <c r="U7" s="22">
        <f t="shared" si="8"/>
        <v>0</v>
      </c>
      <c r="V7" s="23">
        <f t="shared" si="2"/>
        <v>-5</v>
      </c>
      <c r="W7" s="24">
        <f t="shared" si="3"/>
        <v>5</v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>
        <v>1</v>
      </c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>
        <v>1</v>
      </c>
      <c r="BR7" s="44"/>
      <c r="BS7" s="44">
        <v>5</v>
      </c>
      <c r="BT7" s="48" t="s">
        <v>149</v>
      </c>
      <c r="BU7" s="59" t="s">
        <v>148</v>
      </c>
      <c r="BV7" s="60" t="s">
        <v>89</v>
      </c>
      <c r="BW7" s="60" t="s">
        <v>88</v>
      </c>
      <c r="BX7" s="60" t="s">
        <v>87</v>
      </c>
      <c r="BY7" s="60" t="s">
        <v>87</v>
      </c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144</v>
      </c>
      <c r="F8" s="8" t="s">
        <v>147</v>
      </c>
      <c r="G8" s="9">
        <v>-2000</v>
      </c>
      <c r="H8" s="9"/>
      <c r="I8" s="10">
        <f t="shared" si="4"/>
        <v>0</v>
      </c>
      <c r="J8" s="32">
        <f t="shared" si="5"/>
        <v>32800</v>
      </c>
      <c r="K8" s="8" t="s">
        <v>146</v>
      </c>
      <c r="L8" s="9">
        <v>5300</v>
      </c>
      <c r="M8" s="9"/>
      <c r="N8" s="10">
        <f t="shared" si="0"/>
        <v>0</v>
      </c>
      <c r="O8" s="32">
        <f t="shared" si="6"/>
        <v>35500</v>
      </c>
      <c r="P8" s="8" t="s">
        <v>147</v>
      </c>
      <c r="Q8" s="9">
        <v>-3300</v>
      </c>
      <c r="R8" s="9"/>
      <c r="S8" s="10">
        <f t="shared" si="1"/>
        <v>0</v>
      </c>
      <c r="T8" s="32">
        <f t="shared" si="7"/>
        <v>36700</v>
      </c>
      <c r="U8" s="22">
        <f t="shared" si="8"/>
        <v>-2</v>
      </c>
      <c r="V8" s="23">
        <f t="shared" si="2"/>
        <v>1</v>
      </c>
      <c r="W8" s="24">
        <f t="shared" si="3"/>
        <v>2</v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>
        <v>1</v>
      </c>
      <c r="AW8" s="44"/>
      <c r="AX8" s="44">
        <v>4</v>
      </c>
      <c r="AY8" s="48">
        <v>20</v>
      </c>
      <c r="AZ8" s="59" t="s">
        <v>148</v>
      </c>
      <c r="BA8" s="60" t="s">
        <v>89</v>
      </c>
      <c r="BB8" s="60" t="s">
        <v>152</v>
      </c>
      <c r="BC8" s="60" t="s">
        <v>90</v>
      </c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0</v>
      </c>
      <c r="D9" s="29">
        <f t="shared" si="12"/>
        <v>0</v>
      </c>
      <c r="E9" s="4" t="s">
        <v>140</v>
      </c>
      <c r="F9" s="8" t="s">
        <v>150</v>
      </c>
      <c r="G9" s="9">
        <v>12000</v>
      </c>
      <c r="H9" s="9"/>
      <c r="I9" s="10">
        <f t="shared" si="4"/>
        <v>0</v>
      </c>
      <c r="J9" s="32">
        <f t="shared" si="5"/>
        <v>44800</v>
      </c>
      <c r="K9" s="8" t="s">
        <v>151</v>
      </c>
      <c r="L9" s="9">
        <v>-12000</v>
      </c>
      <c r="M9" s="9"/>
      <c r="N9" s="10">
        <f t="shared" si="0"/>
        <v>0</v>
      </c>
      <c r="O9" s="32">
        <f t="shared" si="6"/>
        <v>23500</v>
      </c>
      <c r="P9" s="8"/>
      <c r="Q9" s="9"/>
      <c r="R9" s="9"/>
      <c r="S9" s="10" t="str">
        <f t="shared" si="1"/>
        <v/>
      </c>
      <c r="T9" s="32">
        <f t="shared" si="7"/>
        <v>36700</v>
      </c>
      <c r="U9" s="22">
        <f t="shared" si="8"/>
        <v>10</v>
      </c>
      <c r="V9" s="23">
        <f t="shared" si="2"/>
        <v>-12</v>
      </c>
      <c r="W9" s="24">
        <f t="shared" si="3"/>
        <v>2</v>
      </c>
      <c r="Y9" s="8"/>
      <c r="Z9" s="53"/>
      <c r="AA9" s="44"/>
      <c r="AB9" s="44">
        <v>1</v>
      </c>
      <c r="AC9" s="44">
        <v>4</v>
      </c>
      <c r="AD9" s="48">
        <v>30</v>
      </c>
      <c r="AE9" s="59" t="s">
        <v>93</v>
      </c>
      <c r="AF9" s="60" t="s">
        <v>93</v>
      </c>
      <c r="AG9" s="60" t="s">
        <v>111</v>
      </c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1</v>
      </c>
      <c r="D10" s="29">
        <f t="shared" si="12"/>
        <v>0</v>
      </c>
      <c r="E10" s="4" t="s">
        <v>141</v>
      </c>
      <c r="F10" s="8"/>
      <c r="G10" s="9"/>
      <c r="H10" s="9"/>
      <c r="I10" s="10" t="str">
        <f t="shared" si="4"/>
        <v/>
      </c>
      <c r="J10" s="32">
        <f t="shared" si="5"/>
        <v>44800</v>
      </c>
      <c r="K10" s="8" t="s">
        <v>151</v>
      </c>
      <c r="L10" s="9">
        <v>-5200</v>
      </c>
      <c r="M10" s="9"/>
      <c r="N10" s="10">
        <f t="shared" si="0"/>
        <v>-1000</v>
      </c>
      <c r="O10" s="32">
        <f t="shared" si="6"/>
        <v>17300</v>
      </c>
      <c r="P10" s="8" t="s">
        <v>150</v>
      </c>
      <c r="Q10" s="9">
        <v>5200</v>
      </c>
      <c r="R10" s="9"/>
      <c r="S10" s="10">
        <f t="shared" si="1"/>
        <v>1000</v>
      </c>
      <c r="T10" s="32">
        <f t="shared" si="7"/>
        <v>42900</v>
      </c>
      <c r="U10" s="22">
        <f t="shared" si="8"/>
        <v>10</v>
      </c>
      <c r="V10" s="23">
        <f t="shared" si="2"/>
        <v>-18</v>
      </c>
      <c r="W10" s="24">
        <f t="shared" si="3"/>
        <v>8</v>
      </c>
      <c r="Y10" s="8"/>
      <c r="Z10" s="53"/>
      <c r="AA10" s="44"/>
      <c r="AB10" s="44">
        <v>1</v>
      </c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>
        <v>1</v>
      </c>
      <c r="BS10" s="44">
        <v>3</v>
      </c>
      <c r="BT10" s="48">
        <v>40</v>
      </c>
      <c r="BU10" s="59" t="s">
        <v>93</v>
      </c>
      <c r="BV10" s="60" t="s">
        <v>105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143</v>
      </c>
      <c r="F11" s="8" t="s">
        <v>147</v>
      </c>
      <c r="G11" s="9">
        <v>-9000</v>
      </c>
      <c r="H11" s="9"/>
      <c r="I11" s="10">
        <f t="shared" si="4"/>
        <v>0</v>
      </c>
      <c r="J11" s="32">
        <f t="shared" si="5"/>
        <v>35800</v>
      </c>
      <c r="K11" s="8" t="s">
        <v>146</v>
      </c>
      <c r="L11" s="9">
        <v>18000</v>
      </c>
      <c r="M11" s="9">
        <v>1000</v>
      </c>
      <c r="N11" s="10">
        <f t="shared" si="0"/>
        <v>0</v>
      </c>
      <c r="O11" s="32">
        <f t="shared" si="6"/>
        <v>36300</v>
      </c>
      <c r="P11" s="8" t="s">
        <v>147</v>
      </c>
      <c r="Q11" s="9">
        <v>-9000</v>
      </c>
      <c r="R11" s="9">
        <v>-1000</v>
      </c>
      <c r="S11" s="10">
        <f t="shared" si="1"/>
        <v>0</v>
      </c>
      <c r="T11" s="32">
        <f t="shared" si="7"/>
        <v>32900</v>
      </c>
      <c r="U11" s="22">
        <f t="shared" si="8"/>
        <v>1</v>
      </c>
      <c r="V11" s="23">
        <f t="shared" si="2"/>
        <v>1</v>
      </c>
      <c r="W11" s="24">
        <f t="shared" si="3"/>
        <v>-2</v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>
        <v>1</v>
      </c>
      <c r="AW11" s="44"/>
      <c r="AX11" s="44">
        <v>6</v>
      </c>
      <c r="AY11" s="48" t="s">
        <v>149</v>
      </c>
      <c r="AZ11" s="59" t="s">
        <v>148</v>
      </c>
      <c r="BA11" s="60" t="s">
        <v>89</v>
      </c>
      <c r="BB11" s="60" t="s">
        <v>86</v>
      </c>
      <c r="BC11" s="60" t="s">
        <v>87</v>
      </c>
      <c r="BD11" s="60" t="s">
        <v>88</v>
      </c>
      <c r="BE11" s="60" t="s">
        <v>88</v>
      </c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>
        <v>1</v>
      </c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64D9EE10-447A-41CF-924F-FF369BAA9E58}">
      <formula1>"ロン,ツモ,放銃,ツモ支払,流局,チョンボ"</formula1>
    </dataValidation>
    <dataValidation type="list" allowBlank="1" showInputMessage="1" showErrorMessage="1" sqref="E4:E30" xr:uid="{53BA6531-47AB-40EF-9C77-3A34FEB697A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3A5F-203D-4332-9690-ABC21CAFC55B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ただ</v>
      </c>
      <c r="W2" s="18" t="str">
        <f>$P$1</f>
        <v>りくと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144</v>
      </c>
      <c r="F4" s="8"/>
      <c r="G4" s="9"/>
      <c r="H4" s="9"/>
      <c r="I4" s="10" t="str">
        <f>_xlfn.SWITCH(F4,"ロン",$C4*1000,"ツモ",$C4*1000,"放銃",$C4*-1000,"ツモ支払",$C4*-500,"")</f>
        <v/>
      </c>
      <c r="J4" s="32">
        <f>IF(COUNTA($F4,$K4,$P4)&gt;0,J3+SUM(G4:I4),"")</f>
        <v>35000</v>
      </c>
      <c r="K4" s="8" t="s">
        <v>150</v>
      </c>
      <c r="L4" s="9">
        <v>16000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51000</v>
      </c>
      <c r="P4" s="8" t="s">
        <v>151</v>
      </c>
      <c r="Q4" s="9">
        <v>-16000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19000</v>
      </c>
      <c r="U4" s="22">
        <f>IF($J4="","",ROUND(($J4-$J$3)/1000,0))</f>
        <v>0</v>
      </c>
      <c r="V4" s="23">
        <f t="shared" ref="V4:V30" si="2">IF($O4="","",ROUND(($O4-$O$3)/1000,0))</f>
        <v>16</v>
      </c>
      <c r="W4" s="24">
        <f t="shared" ref="W4:W30" si="3">IF($T4="","",ROUND(($T4-$T$3)/1000,0))</f>
        <v>-16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>
        <v>1</v>
      </c>
      <c r="AW4" s="44"/>
      <c r="AX4" s="44">
        <v>9</v>
      </c>
      <c r="AY4" s="48" t="s">
        <v>149</v>
      </c>
      <c r="AZ4" s="59" t="s">
        <v>148</v>
      </c>
      <c r="BA4" s="60" t="s">
        <v>111</v>
      </c>
      <c r="BB4" s="60" t="s">
        <v>108</v>
      </c>
      <c r="BC4" s="60" t="s">
        <v>88</v>
      </c>
      <c r="BD4" s="60" t="s">
        <v>86</v>
      </c>
      <c r="BE4" s="60" t="s">
        <v>86</v>
      </c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140</v>
      </c>
      <c r="F5" s="8" t="s">
        <v>153</v>
      </c>
      <c r="G5" s="9">
        <v>5000</v>
      </c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40000</v>
      </c>
      <c r="K5" s="8" t="s">
        <v>153</v>
      </c>
      <c r="L5" s="9">
        <v>-8000</v>
      </c>
      <c r="M5" s="9"/>
      <c r="N5" s="10" t="str">
        <f t="shared" si="0"/>
        <v/>
      </c>
      <c r="O5" s="32">
        <f t="shared" ref="O5:O30" si="6">IF(COUNTA($F5,$K5,$P5)&gt;0,O4+SUM(L5:N5),"")</f>
        <v>43000</v>
      </c>
      <c r="P5" s="8" t="s">
        <v>153</v>
      </c>
      <c r="Q5" s="9">
        <v>3000</v>
      </c>
      <c r="R5" s="9"/>
      <c r="S5" s="10" t="str">
        <f t="shared" si="1"/>
        <v/>
      </c>
      <c r="T5" s="32">
        <f t="shared" ref="T5:T30" si="7">IF(COUNTA($F5,$K5,$P5)&gt;0,T4+SUM(Q5:S5),"")</f>
        <v>22000</v>
      </c>
      <c r="U5" s="22">
        <f t="shared" ref="U5:U30" si="8">IF($J5="","",ROUND(($J5-$J$3)/1000,0))</f>
        <v>5</v>
      </c>
      <c r="V5" s="23">
        <f t="shared" si="2"/>
        <v>8</v>
      </c>
      <c r="W5" s="24">
        <f t="shared" si="3"/>
        <v>-13</v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>
        <v>1</v>
      </c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140</v>
      </c>
      <c r="F6" s="8" t="s">
        <v>146</v>
      </c>
      <c r="G6" s="9">
        <v>7800</v>
      </c>
      <c r="H6" s="9"/>
      <c r="I6" s="10">
        <f t="shared" si="4"/>
        <v>1000</v>
      </c>
      <c r="J6" s="32">
        <f t="shared" si="5"/>
        <v>48800</v>
      </c>
      <c r="K6" s="8" t="s">
        <v>147</v>
      </c>
      <c r="L6" s="9">
        <v>-3900</v>
      </c>
      <c r="M6" s="9"/>
      <c r="N6" s="10">
        <f t="shared" si="0"/>
        <v>-500</v>
      </c>
      <c r="O6" s="32">
        <f t="shared" si="6"/>
        <v>38600</v>
      </c>
      <c r="P6" s="8" t="s">
        <v>147</v>
      </c>
      <c r="Q6" s="9">
        <v>-3900</v>
      </c>
      <c r="R6" s="9"/>
      <c r="S6" s="10">
        <f t="shared" si="1"/>
        <v>-500</v>
      </c>
      <c r="T6" s="32">
        <f t="shared" si="7"/>
        <v>17600</v>
      </c>
      <c r="U6" s="22">
        <f t="shared" si="8"/>
        <v>14</v>
      </c>
      <c r="V6" s="23">
        <f t="shared" si="2"/>
        <v>4</v>
      </c>
      <c r="W6" s="24">
        <f t="shared" si="3"/>
        <v>-17</v>
      </c>
      <c r="Y6" s="8"/>
      <c r="Z6" s="53"/>
      <c r="AA6" s="44">
        <v>1</v>
      </c>
      <c r="AB6" s="44"/>
      <c r="AC6" s="44">
        <v>4</v>
      </c>
      <c r="AD6" s="48">
        <v>20</v>
      </c>
      <c r="AE6" s="59" t="s">
        <v>148</v>
      </c>
      <c r="AF6" s="60" t="s">
        <v>89</v>
      </c>
      <c r="AG6" s="60" t="s">
        <v>90</v>
      </c>
      <c r="AH6" s="60" t="s">
        <v>88</v>
      </c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2</v>
      </c>
      <c r="C7" s="29">
        <f t="shared" si="11"/>
        <v>2</v>
      </c>
      <c r="D7" s="29">
        <f t="shared" si="12"/>
        <v>0</v>
      </c>
      <c r="E7" s="4" t="s">
        <v>140</v>
      </c>
      <c r="F7" s="8" t="s">
        <v>154</v>
      </c>
      <c r="G7" s="9">
        <v>-1500</v>
      </c>
      <c r="H7" s="9"/>
      <c r="I7" s="10" t="str">
        <f t="shared" si="4"/>
        <v/>
      </c>
      <c r="J7" s="32">
        <f t="shared" si="5"/>
        <v>47300</v>
      </c>
      <c r="K7" s="8" t="s">
        <v>154</v>
      </c>
      <c r="L7" s="9">
        <v>3000</v>
      </c>
      <c r="M7" s="9">
        <v>-1000</v>
      </c>
      <c r="N7" s="10" t="str">
        <f t="shared" si="0"/>
        <v/>
      </c>
      <c r="O7" s="32">
        <f t="shared" si="6"/>
        <v>40600</v>
      </c>
      <c r="P7" s="8" t="s">
        <v>154</v>
      </c>
      <c r="Q7" s="9">
        <v>-1500</v>
      </c>
      <c r="R7" s="9"/>
      <c r="S7" s="10" t="str">
        <f t="shared" si="1"/>
        <v/>
      </c>
      <c r="T7" s="32">
        <f t="shared" si="7"/>
        <v>16100</v>
      </c>
      <c r="U7" s="22">
        <f t="shared" si="8"/>
        <v>12</v>
      </c>
      <c r="V7" s="23">
        <f t="shared" si="2"/>
        <v>6</v>
      </c>
      <c r="W7" s="24">
        <f t="shared" si="3"/>
        <v>-19</v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>
        <v>1</v>
      </c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>
        <v>1</v>
      </c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>東</v>
      </c>
      <c r="B8" s="29">
        <f t="shared" si="10"/>
        <v>3</v>
      </c>
      <c r="C8" s="29">
        <f t="shared" si="11"/>
        <v>0</v>
      </c>
      <c r="D8" s="29">
        <f t="shared" si="12"/>
        <v>1</v>
      </c>
      <c r="E8" s="4" t="s">
        <v>142</v>
      </c>
      <c r="F8" s="8"/>
      <c r="G8" s="9"/>
      <c r="H8" s="9"/>
      <c r="I8" s="10" t="str">
        <f t="shared" si="4"/>
        <v/>
      </c>
      <c r="J8" s="32">
        <f t="shared" si="5"/>
        <v>47300</v>
      </c>
      <c r="K8" s="8" t="s">
        <v>150</v>
      </c>
      <c r="L8" s="9">
        <v>7700</v>
      </c>
      <c r="M8" s="9">
        <v>1000</v>
      </c>
      <c r="N8" s="10">
        <f t="shared" si="0"/>
        <v>0</v>
      </c>
      <c r="O8" s="32">
        <f t="shared" si="6"/>
        <v>49300</v>
      </c>
      <c r="P8" s="8" t="s">
        <v>151</v>
      </c>
      <c r="Q8" s="9">
        <v>-7700</v>
      </c>
      <c r="R8" s="9"/>
      <c r="S8" s="10">
        <f t="shared" si="1"/>
        <v>0</v>
      </c>
      <c r="T8" s="32">
        <f t="shared" si="7"/>
        <v>8400</v>
      </c>
      <c r="U8" s="22">
        <f t="shared" si="8"/>
        <v>12</v>
      </c>
      <c r="V8" s="23">
        <f t="shared" si="2"/>
        <v>14</v>
      </c>
      <c r="W8" s="24">
        <f t="shared" si="3"/>
        <v>-27</v>
      </c>
      <c r="Y8" s="8"/>
      <c r="Z8" s="53"/>
      <c r="AA8" s="44"/>
      <c r="AB8" s="44">
        <v>1</v>
      </c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>
        <v>1</v>
      </c>
      <c r="AX8" s="44">
        <v>3</v>
      </c>
      <c r="AY8" s="48">
        <v>40</v>
      </c>
      <c r="AZ8" s="59" t="s">
        <v>93</v>
      </c>
      <c r="BA8" s="60" t="s">
        <v>93</v>
      </c>
      <c r="BB8" s="60" t="s">
        <v>86</v>
      </c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>東</v>
      </c>
      <c r="B9" s="29">
        <f t="shared" si="10"/>
        <v>3</v>
      </c>
      <c r="C9" s="29">
        <f t="shared" si="11"/>
        <v>1</v>
      </c>
      <c r="D9" s="29">
        <f t="shared" si="12"/>
        <v>0</v>
      </c>
      <c r="E9" s="4" t="s">
        <v>143</v>
      </c>
      <c r="F9" s="8" t="s">
        <v>146</v>
      </c>
      <c r="G9" s="9">
        <v>16000</v>
      </c>
      <c r="H9" s="9"/>
      <c r="I9" s="10">
        <f t="shared" si="4"/>
        <v>1000</v>
      </c>
      <c r="J9" s="32">
        <f t="shared" si="5"/>
        <v>64300</v>
      </c>
      <c r="K9" s="8" t="s">
        <v>147</v>
      </c>
      <c r="L9" s="9">
        <v>-10000</v>
      </c>
      <c r="M9" s="9"/>
      <c r="N9" s="10">
        <f t="shared" si="0"/>
        <v>-500</v>
      </c>
      <c r="O9" s="32">
        <f t="shared" si="6"/>
        <v>38800</v>
      </c>
      <c r="P9" s="8" t="s">
        <v>147</v>
      </c>
      <c r="Q9" s="9">
        <v>-6000</v>
      </c>
      <c r="R9" s="9"/>
      <c r="S9" s="10">
        <f t="shared" si="1"/>
        <v>-500</v>
      </c>
      <c r="T9" s="32">
        <f t="shared" si="7"/>
        <v>1900</v>
      </c>
      <c r="U9" s="22">
        <f t="shared" si="8"/>
        <v>29</v>
      </c>
      <c r="V9" s="23">
        <f t="shared" si="2"/>
        <v>4</v>
      </c>
      <c r="W9" s="24">
        <f t="shared" si="3"/>
        <v>-33</v>
      </c>
      <c r="Y9" s="8"/>
      <c r="Z9" s="53"/>
      <c r="AA9" s="44">
        <v>1</v>
      </c>
      <c r="AB9" s="44"/>
      <c r="AC9" s="44">
        <v>8</v>
      </c>
      <c r="AD9" s="48" t="s">
        <v>149</v>
      </c>
      <c r="AE9" s="59" t="s">
        <v>148</v>
      </c>
      <c r="AF9" s="60" t="s">
        <v>89</v>
      </c>
      <c r="AG9" s="60" t="s">
        <v>88</v>
      </c>
      <c r="AH9" s="60" t="s">
        <v>86</v>
      </c>
      <c r="AI9" s="60" t="s">
        <v>86</v>
      </c>
      <c r="AJ9" s="60" t="s">
        <v>86</v>
      </c>
      <c r="AK9" s="60" t="s">
        <v>87</v>
      </c>
      <c r="AL9" s="60" t="s">
        <v>92</v>
      </c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>南</v>
      </c>
      <c r="B10" s="29">
        <f t="shared" si="10"/>
        <v>1</v>
      </c>
      <c r="C10" s="29">
        <f t="shared" si="11"/>
        <v>0</v>
      </c>
      <c r="D10" s="29">
        <f t="shared" si="12"/>
        <v>0</v>
      </c>
      <c r="E10" s="4" t="s">
        <v>144</v>
      </c>
      <c r="F10" s="8" t="s">
        <v>150</v>
      </c>
      <c r="G10" s="9">
        <v>2000</v>
      </c>
      <c r="H10" s="9">
        <v>1000</v>
      </c>
      <c r="I10" s="10">
        <f t="shared" si="4"/>
        <v>0</v>
      </c>
      <c r="J10" s="32">
        <f t="shared" si="5"/>
        <v>67300</v>
      </c>
      <c r="K10" s="8"/>
      <c r="L10" s="9"/>
      <c r="M10" s="9">
        <v>-1000</v>
      </c>
      <c r="N10" s="10" t="str">
        <f t="shared" si="0"/>
        <v/>
      </c>
      <c r="O10" s="32">
        <f t="shared" si="6"/>
        <v>37800</v>
      </c>
      <c r="P10" s="8" t="s">
        <v>151</v>
      </c>
      <c r="Q10" s="9">
        <v>-2000</v>
      </c>
      <c r="R10" s="9"/>
      <c r="S10" s="10">
        <f t="shared" si="1"/>
        <v>0</v>
      </c>
      <c r="T10" s="32">
        <f t="shared" si="7"/>
        <v>-100</v>
      </c>
      <c r="U10" s="22">
        <f t="shared" si="8"/>
        <v>32</v>
      </c>
      <c r="V10" s="23">
        <f t="shared" si="2"/>
        <v>3</v>
      </c>
      <c r="W10" s="24">
        <f t="shared" si="3"/>
        <v>-35</v>
      </c>
      <c r="Y10" s="8"/>
      <c r="Z10" s="53"/>
      <c r="AA10" s="44"/>
      <c r="AB10" s="44">
        <v>1</v>
      </c>
      <c r="AC10" s="44">
        <v>2</v>
      </c>
      <c r="AD10" s="48">
        <v>30</v>
      </c>
      <c r="AE10" s="59" t="s">
        <v>93</v>
      </c>
      <c r="AF10" s="60" t="s">
        <v>88</v>
      </c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>
        <v>1</v>
      </c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8D44FD4F-116B-4A1A-BC14-C1E67342E55B}">
      <formula1>$U$2:$W$2</formula1>
    </dataValidation>
    <dataValidation type="list" showInputMessage="1" showErrorMessage="1" sqref="K4:K30 P4:P30 F4:F30" xr:uid="{35657B63-58FF-40F6-A344-D7E31672C4B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29</v>
      </c>
      <c r="B1" s="17" t="s">
        <v>30</v>
      </c>
      <c r="C1" s="17" t="s">
        <v>31</v>
      </c>
      <c r="D1" s="17" t="s">
        <v>32</v>
      </c>
      <c r="E1" s="55" t="s">
        <v>33</v>
      </c>
    </row>
    <row r="2" spans="1:5" x14ac:dyDescent="0.4">
      <c r="A2" s="55" t="s">
        <v>84</v>
      </c>
      <c r="B2" s="17" t="s">
        <v>34</v>
      </c>
      <c r="C2" s="17">
        <v>1</v>
      </c>
    </row>
    <row r="3" spans="1:5" x14ac:dyDescent="0.4">
      <c r="A3" s="55" t="s">
        <v>85</v>
      </c>
      <c r="B3" s="17" t="s">
        <v>35</v>
      </c>
      <c r="C3" s="17">
        <v>1</v>
      </c>
    </row>
    <row r="4" spans="1:5" x14ac:dyDescent="0.4">
      <c r="A4" s="55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55" t="s">
        <v>87</v>
      </c>
      <c r="B5" s="17" t="s">
        <v>37</v>
      </c>
      <c r="C5" s="17">
        <v>1</v>
      </c>
      <c r="E5" s="55" t="s">
        <v>134</v>
      </c>
    </row>
    <row r="6" spans="1:5" x14ac:dyDescent="0.4">
      <c r="A6" s="55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55" t="s">
        <v>89</v>
      </c>
      <c r="B7" s="17" t="s">
        <v>39</v>
      </c>
      <c r="C7" s="17">
        <v>1</v>
      </c>
    </row>
    <row r="8" spans="1:5" x14ac:dyDescent="0.4">
      <c r="A8" s="55" t="s">
        <v>90</v>
      </c>
      <c r="B8" s="17" t="s">
        <v>40</v>
      </c>
      <c r="C8" s="17">
        <v>1</v>
      </c>
    </row>
    <row r="9" spans="1:5" x14ac:dyDescent="0.4">
      <c r="A9" s="55" t="s">
        <v>91</v>
      </c>
      <c r="B9" s="17" t="s">
        <v>41</v>
      </c>
      <c r="C9" s="17">
        <v>1</v>
      </c>
    </row>
    <row r="10" spans="1:5" x14ac:dyDescent="0.4">
      <c r="A10" s="55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55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55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55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55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55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55" t="s">
        <v>98</v>
      </c>
      <c r="B16" s="17" t="s">
        <v>48</v>
      </c>
      <c r="C16" s="17">
        <v>2</v>
      </c>
      <c r="E16" s="55" t="s">
        <v>84</v>
      </c>
    </row>
    <row r="17" spans="1:4" x14ac:dyDescent="0.4">
      <c r="A17" s="55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55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55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55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55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55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55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55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55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55" t="s">
        <v>108</v>
      </c>
      <c r="B26" s="17" t="s">
        <v>58</v>
      </c>
      <c r="C26" s="17">
        <v>2</v>
      </c>
    </row>
    <row r="27" spans="1:4" x14ac:dyDescent="0.4">
      <c r="A27" s="55" t="s">
        <v>109</v>
      </c>
      <c r="B27" s="17" t="s">
        <v>59</v>
      </c>
      <c r="C27" s="17">
        <v>3</v>
      </c>
    </row>
    <row r="28" spans="1:4" x14ac:dyDescent="0.4">
      <c r="A28" s="55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55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55" t="s">
        <v>112</v>
      </c>
      <c r="B30" s="17" t="s">
        <v>62</v>
      </c>
      <c r="C30" s="17">
        <v>5</v>
      </c>
    </row>
    <row r="31" spans="1:4" x14ac:dyDescent="0.4">
      <c r="A31" s="55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55" t="s">
        <v>114</v>
      </c>
      <c r="B32" s="17" t="s">
        <v>64</v>
      </c>
      <c r="C32" s="17">
        <v>13</v>
      </c>
    </row>
    <row r="33" spans="1:5" x14ac:dyDescent="0.4">
      <c r="A33" s="55" t="s">
        <v>115</v>
      </c>
      <c r="B33" s="17" t="s">
        <v>65</v>
      </c>
      <c r="C33" s="17">
        <v>13</v>
      </c>
    </row>
    <row r="34" spans="1:5" x14ac:dyDescent="0.4">
      <c r="A34" s="55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55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55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55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55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55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55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55" t="s">
        <v>123</v>
      </c>
      <c r="B41" s="17" t="s">
        <v>73</v>
      </c>
      <c r="C41" s="17">
        <v>13</v>
      </c>
    </row>
    <row r="42" spans="1:5" x14ac:dyDescent="0.4">
      <c r="A42" s="55" t="s">
        <v>124</v>
      </c>
      <c r="B42" s="17" t="s">
        <v>74</v>
      </c>
      <c r="C42" s="17">
        <v>13</v>
      </c>
    </row>
    <row r="43" spans="1:5" x14ac:dyDescent="0.4">
      <c r="A43" s="55" t="s">
        <v>125</v>
      </c>
      <c r="B43" s="17" t="s">
        <v>75</v>
      </c>
      <c r="C43" s="17">
        <v>13</v>
      </c>
    </row>
    <row r="44" spans="1:5" x14ac:dyDescent="0.4">
      <c r="A44" s="55" t="s">
        <v>126</v>
      </c>
      <c r="B44" s="17" t="s">
        <v>76</v>
      </c>
      <c r="C44" s="17">
        <v>13</v>
      </c>
    </row>
    <row r="45" spans="1:5" x14ac:dyDescent="0.4">
      <c r="A45" s="55" t="s">
        <v>127</v>
      </c>
      <c r="B45" s="17" t="s">
        <v>77</v>
      </c>
      <c r="C45" s="17">
        <v>26</v>
      </c>
      <c r="E45" s="55" t="s">
        <v>135</v>
      </c>
    </row>
    <row r="46" spans="1:5" x14ac:dyDescent="0.4">
      <c r="A46" s="55" t="s">
        <v>128</v>
      </c>
      <c r="B46" s="17" t="s">
        <v>78</v>
      </c>
      <c r="C46" s="17">
        <v>26</v>
      </c>
      <c r="E46" s="55" t="s">
        <v>136</v>
      </c>
    </row>
    <row r="47" spans="1:5" x14ac:dyDescent="0.4">
      <c r="A47" s="55" t="s">
        <v>129</v>
      </c>
      <c r="B47" s="17" t="s">
        <v>79</v>
      </c>
      <c r="C47" s="17">
        <v>26</v>
      </c>
      <c r="E47" s="55" t="s">
        <v>137</v>
      </c>
    </row>
    <row r="48" spans="1:5" x14ac:dyDescent="0.4">
      <c r="A48" s="55" t="s">
        <v>130</v>
      </c>
      <c r="B48" s="17" t="s">
        <v>80</v>
      </c>
      <c r="C48" s="17">
        <v>13</v>
      </c>
    </row>
    <row r="49" spans="1:3" x14ac:dyDescent="0.4">
      <c r="A49" s="55" t="s">
        <v>131</v>
      </c>
      <c r="B49" s="17" t="s">
        <v>81</v>
      </c>
      <c r="C49" s="17">
        <v>13</v>
      </c>
    </row>
    <row r="50" spans="1:3" x14ac:dyDescent="0.4">
      <c r="A50" s="55" t="s">
        <v>132</v>
      </c>
      <c r="B50" s="17" t="s">
        <v>82</v>
      </c>
      <c r="C50" s="17">
        <v>13</v>
      </c>
    </row>
    <row r="51" spans="1:3" x14ac:dyDescent="0.4">
      <c r="A51" s="55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2018-12-13T14:08:54Z</dcterms:modified>
</cp:coreProperties>
</file>