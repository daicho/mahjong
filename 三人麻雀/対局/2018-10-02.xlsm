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981A0EBA-0B5B-450A-BEA8-EBE52A48A380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S8" i="1" l="1"/>
  <c r="S6" i="1"/>
  <c r="J12" i="9" l="1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G12" i="10" l="1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6" i="1"/>
  <c r="N6" i="1"/>
  <c r="D5" i="1"/>
  <c r="C5" i="1"/>
  <c r="I5" i="1" s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7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 l="1"/>
  <c r="I8" i="1"/>
  <c r="A5" i="1"/>
  <c r="J5" i="1"/>
  <c r="A6" i="1"/>
  <c r="A8" i="1"/>
  <c r="B9" i="1"/>
  <c r="A9" i="1" s="1"/>
  <c r="O4" i="1"/>
  <c r="O5" i="1" s="1"/>
  <c r="O6" i="1" s="1"/>
  <c r="O7" i="1" s="1"/>
  <c r="O8" i="1" s="1"/>
  <c r="O9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4" i="1"/>
  <c r="T5" i="1" s="1"/>
  <c r="T6" i="1" s="1"/>
  <c r="T7" i="1" s="1"/>
  <c r="T8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6" i="1"/>
  <c r="J7" i="1" s="1"/>
  <c r="J8" i="1" s="1"/>
  <c r="B10" i="1" l="1"/>
  <c r="B11" i="1" s="1"/>
  <c r="T9" i="1"/>
  <c r="A10" i="1" l="1"/>
  <c r="A11" i="1"/>
  <c r="B12" i="1"/>
  <c r="B13" i="1" l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<sst xmlns="http://schemas.openxmlformats.org/spreadsheetml/2006/main" count="82" uniqueCount="27">
  <si>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</si>
  <si>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</si>
  <si>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</si>
  <si>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</si>
  <si>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</si>
  <si>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</si>
  <si>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</si>
  <si>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</si>
  <si>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</si>
  <si>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</si>
  <si>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</si>
  <si>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</si>
  <si>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</si>
  <si>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</si>
  <si>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</si>
  <si>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</si>
  <si>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</si>
  <si>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</si>
  <si>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</si>
  <si>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</si>
  <si>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</si>
  <si>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れんたろう</t>
  </si>
  <si>
    <t>ともき</t>
  </si>
  <si>
    <t>ともき</t>
    <phoneticPr fontId="1"/>
  </si>
  <si>
    <t>ロン</t>
  </si>
  <si>
    <t>放銃</t>
  </si>
  <si>
    <t>かこたろう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</si>
</sst>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0" borderId="8" xfId="0" applyNumberFormat="1" applyBorder="1" applyAlignment="1">
      <alignment vertical="center" shrinkToFit="1"/>
    </xf>
    <xf numFmtId="178" fontId="0" fillId="0" borderId="2" xfId="0" applyNumberFormat="1" applyBorder="1" applyAlignment="1">
      <alignment vertical="center" shrinkToFit="1"/>
    </xf>
    <xf numFmtId="178" fontId="0" fillId="0" borderId="9" xfId="0" applyNumberFormat="1" applyBorder="1" applyAlignment="1">
      <alignment vertical="center" shrinkToFit="1"/>
    </xf>
    <xf numFmtId="178" fontId="0" fillId="0" borderId="4" xfId="0" applyNumberFormat="1" applyBorder="1" applyAlignment="1">
      <alignment vertical="center" shrinkToFit="1"/>
    </xf>
    <xf numFmtId="178" fontId="0" fillId="0" borderId="1" xfId="0" applyNumberFormat="1" applyBorder="1" applyAlignment="1">
      <alignment vertical="center" shrinkToFit="1"/>
    </xf>
    <xf numFmtId="178" fontId="0" fillId="0" borderId="5" xfId="0" applyNumberFormat="1" applyBorder="1" applyAlignment="1">
      <alignment vertical="center" shrinkToFit="1"/>
    </xf>
    <xf numFmtId="178" fontId="0" fillId="0" borderId="6" xfId="0" applyNumberFormat="1" applyBorder="1" applyAlignment="1">
      <alignment vertical="center" shrinkToFit="1"/>
    </xf>
    <xf numFmtId="178" fontId="0" fillId="0" borderId="3" xfId="0" applyNumberFormat="1" applyBorder="1" applyAlignment="1">
      <alignment vertical="center" shrinkToFit="1"/>
    </xf>
    <xf numFmtId="178" fontId="0" fillId="0" borderId="7" xfId="0" applyNumberFormat="1" applyBorder="1" applyAlignment="1">
      <alignment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3" t="s">
        <v>0</v>
      </c>
      <c r="B1" s="35" t="s">
        <v>2</v>
      </c>
      <c r="C1" s="35" t="s">
        <v>1</v>
      </c>
      <c r="D1" s="35" t="s">
        <v>6</v>
      </c>
      <c r="E1" s="37" t="s">
        <v>3</v>
      </c>
      <c r="F1" s="29" t="s">
        <v>20</v>
      </c>
      <c r="G1" s="30"/>
      <c r="H1" s="30"/>
      <c r="I1" s="31"/>
      <c r="J1" s="32"/>
      <c r="K1" s="29" t="s">
        <v>26</v>
      </c>
      <c r="L1" s="30"/>
      <c r="M1" s="30"/>
      <c r="N1" s="31"/>
      <c r="O1" s="32"/>
      <c r="P1" s="29" t="s">
        <v>23</v>
      </c>
      <c r="Q1" s="30"/>
      <c r="R1" s="30"/>
      <c r="S1" s="31"/>
      <c r="T1" s="32"/>
      <c r="U1" s="29" t="s">
        <v>8</v>
      </c>
      <c r="V1" s="30"/>
      <c r="W1" s="32"/>
    </row>
    <row r="2" spans="1:23" x14ac:dyDescent="0.4">
      <c r="A2" s="34"/>
      <c r="B2" s="36"/>
      <c r="C2" s="36"/>
      <c r="D2" s="36"/>
      <c r="E2" s="38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かこたろう</v>
      </c>
      <c r="W2" s="4" t="str">
        <f>P1</f>
        <v>ともき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39">
        <f t="shared" ref="U3:U30" si="0">IF($J3="","",ROUND(($J3-$J$3)/1000,1))</f>
        <v>0</v>
      </c>
      <c r="V3" s="40">
        <f t="shared" ref="V3:V30" si="1">IF($O3="","",ROUND(($O3-$O$3)/1000,1))</f>
        <v>0</v>
      </c>
      <c r="W3" s="41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21</v>
      </c>
      <c r="F4" s="14"/>
      <c r="G4" s="15"/>
      <c r="H4" s="15">
        <v>-1000</v>
      </c>
      <c r="I4" s="16" t="str">
        <f>IF(OR(F4="ロン",F4="ツモ"),$C4*1000,IF(F4="放銃",$C4*-1000,IF(F4="ツモ支払",$C4*-500,"")))</f>
        <v/>
      </c>
      <c r="J4" s="17">
        <f t="shared" ref="J4:J30" si="3">IF(COUNTA($F4,$K4,$P4)&gt;0,J3+SUM(G4:I4),"")</f>
        <v>34000</v>
      </c>
      <c r="K4" s="14" t="s">
        <v>25</v>
      </c>
      <c r="L4" s="15">
        <v>-8000</v>
      </c>
      <c r="M4" s="15"/>
      <c r="N4" s="16">
        <f>IF(OR(K4="ロン",K4="ツモ"),$C4*1000,IF(K4="放銃",$C4*-1000,IF(K4="ツモ支払",$C4*-500,"")))</f>
        <v>0</v>
      </c>
      <c r="O4" s="17">
        <f t="shared" ref="O4:O30" si="4">IF(COUNTA($F4,$K4,$P4)&gt;0,O3+SUM(L4:N4),"")</f>
        <v>27000</v>
      </c>
      <c r="P4" s="14" t="s">
        <v>24</v>
      </c>
      <c r="Q4" s="15">
        <v>8000</v>
      </c>
      <c r="R4" s="15">
        <v>1000</v>
      </c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44000</v>
      </c>
      <c r="U4" s="42">
        <f t="shared" si="0"/>
        <v>-1</v>
      </c>
      <c r="V4" s="43">
        <f t="shared" si="1"/>
        <v>-8</v>
      </c>
      <c r="W4" s="44">
        <f t="shared" si="2"/>
        <v>9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2</v>
      </c>
      <c r="C5" s="25">
        <f>IF($E5="","",IF($E4=$E5,C4+1,0))</f>
        <v>0</v>
      </c>
      <c r="D5" s="25">
        <f>IF($E5="","",IF(OR(F4="流局",K4="流局",P4="流局",F4="チョンボ",K4="チョンボ",P4="チョンボ"),D4+($H4+$M4+$R4)/-1000,0))</f>
        <v>0</v>
      </c>
      <c r="E5" s="6" t="s">
        <v>22</v>
      </c>
      <c r="F5" s="14" t="s">
        <v>24</v>
      </c>
      <c r="G5" s="15">
        <v>1000</v>
      </c>
      <c r="H5" s="15"/>
      <c r="I5" s="16">
        <f>IF(OR(F5="ロン",F5="ツモ"),$C5*1000,IF(F5="放銃",$C5*-1000,IF(F5="ツモ支払",$C5*-500,"")))</f>
        <v>0</v>
      </c>
      <c r="J5" s="17">
        <f t="shared" si="3"/>
        <v>35000</v>
      </c>
      <c r="K5" s="14" t="s">
        <v>25</v>
      </c>
      <c r="L5" s="15">
        <v>-1000</v>
      </c>
      <c r="M5" s="15"/>
      <c r="N5" s="16">
        <f t="shared" ref="N5:N30" si="6">IF(OR(K5="ロン",K5="ツモ"),$C5*1000,IF(K5="放銃",$C5*-1000,IF(K5="ツモ支払",$C5*-500,"")))</f>
        <v>0</v>
      </c>
      <c r="O5" s="17">
        <f t="shared" si="4"/>
        <v>26000</v>
      </c>
      <c r="P5" s="14"/>
      <c r="Q5" s="15"/>
      <c r="R5" s="15"/>
      <c r="S5" s="16" t="str">
        <f t="shared" ref="S5:S30" si="7">IF(OR(P5="ロン",P5="ツモ"),$C5*1000,IF(P5="放銃",$C5*-1000,IF(P5="ツモ支払",$C5*-500,"")))</f>
        <v/>
      </c>
      <c r="T5" s="17">
        <f t="shared" si="5"/>
        <v>44000</v>
      </c>
      <c r="U5" s="42">
        <f t="shared" si="0"/>
        <v>0</v>
      </c>
      <c r="V5" s="43">
        <f t="shared" si="1"/>
        <v>-9</v>
      </c>
      <c r="W5" s="44">
        <f t="shared" si="2"/>
        <v>9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3</v>
      </c>
      <c r="C6" s="25">
        <f t="shared" ref="C6:C30" si="10">IF($E6="","",IF($E5=$E6,C5+1,0))</f>
        <v>0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19</v>
      </c>
      <c r="F6" s="14" t="s">
        <v>24</v>
      </c>
      <c r="G6" s="15">
        <v>12000</v>
      </c>
      <c r="H6" s="15"/>
      <c r="I6" s="16">
        <f t="shared" ref="I6:I30" si="12">IF(OR(F6="ロン",F6="ツモ"),$C6*1000,IF(F6="放銃",$C6*-1000,IF(F6="ツモ支払",$C6*-500,"")))</f>
        <v>0</v>
      </c>
      <c r="J6" s="17">
        <f t="shared" si="3"/>
        <v>47000</v>
      </c>
      <c r="K6" s="14"/>
      <c r="L6" s="15"/>
      <c r="M6" s="15"/>
      <c r="N6" s="16" t="str">
        <f t="shared" si="6"/>
        <v/>
      </c>
      <c r="O6" s="17">
        <f t="shared" si="4"/>
        <v>26000</v>
      </c>
      <c r="P6" s="14" t="s">
        <v>25</v>
      </c>
      <c r="Q6" s="15">
        <v>-12000</v>
      </c>
      <c r="R6" s="15"/>
      <c r="S6" s="16">
        <f>IF(OR(P6="ロン",P6="ツモ"),$C6*1000,IF(P6="放銃",$C6*-1000,IF(P6="ツモ支払",$C6*-500,"")))</f>
        <v>0</v>
      </c>
      <c r="T6" s="17">
        <f t="shared" si="5"/>
        <v>32000</v>
      </c>
      <c r="U6" s="42">
        <f t="shared" si="0"/>
        <v>12</v>
      </c>
      <c r="V6" s="43">
        <f t="shared" si="1"/>
        <v>-9</v>
      </c>
      <c r="W6" s="44">
        <f t="shared" si="2"/>
        <v>-3</v>
      </c>
    </row>
    <row r="7" spans="1:23" x14ac:dyDescent="0.4">
      <c r="A7" s="24" t="str">
        <f t="shared" si="8"/>
        <v>東</v>
      </c>
      <c r="B7" s="25">
        <f t="shared" si="9"/>
        <v>3</v>
      </c>
      <c r="C7" s="25">
        <f t="shared" si="10"/>
        <v>1</v>
      </c>
      <c r="D7" s="25">
        <f t="shared" si="11"/>
        <v>0</v>
      </c>
      <c r="E7" s="6" t="s">
        <v>19</v>
      </c>
      <c r="F7" s="14" t="s">
        <v>24</v>
      </c>
      <c r="G7" s="15">
        <v>12000</v>
      </c>
      <c r="H7" s="15"/>
      <c r="I7" s="16">
        <f t="shared" si="12"/>
        <v>1000</v>
      </c>
      <c r="J7" s="17">
        <f t="shared" si="3"/>
        <v>60000</v>
      </c>
      <c r="K7" s="14" t="s">
        <v>25</v>
      </c>
      <c r="L7" s="15">
        <v>-12000</v>
      </c>
      <c r="M7" s="15"/>
      <c r="N7" s="16">
        <f t="shared" si="6"/>
        <v>-1000</v>
      </c>
      <c r="O7" s="17">
        <f t="shared" si="4"/>
        <v>13000</v>
      </c>
      <c r="P7" s="14"/>
      <c r="Q7" s="15"/>
      <c r="R7" s="15"/>
      <c r="S7" s="16" t="str">
        <f t="shared" si="7"/>
        <v/>
      </c>
      <c r="T7" s="17">
        <f t="shared" si="5"/>
        <v>32000</v>
      </c>
      <c r="U7" s="42">
        <f t="shared" si="0"/>
        <v>25</v>
      </c>
      <c r="V7" s="43">
        <f t="shared" si="1"/>
        <v>-22</v>
      </c>
      <c r="W7" s="44">
        <f t="shared" si="2"/>
        <v>-3</v>
      </c>
    </row>
    <row r="8" spans="1:23" x14ac:dyDescent="0.4">
      <c r="A8" s="24" t="str">
        <f t="shared" si="8"/>
        <v>東</v>
      </c>
      <c r="B8" s="25">
        <f t="shared" si="9"/>
        <v>3</v>
      </c>
      <c r="C8" s="25">
        <f t="shared" si="10"/>
        <v>2</v>
      </c>
      <c r="D8" s="25">
        <f t="shared" si="11"/>
        <v>0</v>
      </c>
      <c r="E8" s="6" t="s">
        <v>19</v>
      </c>
      <c r="F8" s="14" t="s">
        <v>25</v>
      </c>
      <c r="G8" s="15">
        <v>-8000</v>
      </c>
      <c r="H8" s="15"/>
      <c r="I8" s="16">
        <f t="shared" si="12"/>
        <v>-2000</v>
      </c>
      <c r="J8" s="17">
        <f t="shared" si="3"/>
        <v>50000</v>
      </c>
      <c r="K8" s="14"/>
      <c r="L8" s="15"/>
      <c r="M8" s="15"/>
      <c r="N8" s="16" t="str">
        <f t="shared" si="6"/>
        <v/>
      </c>
      <c r="O8" s="17">
        <f t="shared" si="4"/>
        <v>13000</v>
      </c>
      <c r="P8" s="14" t="s">
        <v>24</v>
      </c>
      <c r="Q8" s="15">
        <v>8000</v>
      </c>
      <c r="R8" s="15"/>
      <c r="S8" s="16">
        <f>IF(OR(P8="ロン",P8="ツモ"),$C8*1000,IF(P8="放銃",$C8*-1000,IF(P8="ツモ支払",$C8*-500,"")))</f>
        <v>2000</v>
      </c>
      <c r="T8" s="17">
        <f t="shared" si="5"/>
        <v>42000</v>
      </c>
      <c r="U8" s="42">
        <f t="shared" si="0"/>
        <v>15</v>
      </c>
      <c r="V8" s="43">
        <f t="shared" si="1"/>
        <v>-22</v>
      </c>
      <c r="W8" s="44">
        <f t="shared" si="2"/>
        <v>7</v>
      </c>
    </row>
    <row r="9" spans="1:23" x14ac:dyDescent="0.4">
      <c r="A9" s="24" t="str">
        <f t="shared" si="8"/>
        <v/>
      </c>
      <c r="B9" s="25" t="str">
        <f t="shared" si="9"/>
        <v/>
      </c>
      <c r="C9" s="25" t="str">
        <f t="shared" si="10"/>
        <v/>
      </c>
      <c r="D9" s="25" t="str">
        <f t="shared" si="11"/>
        <v/>
      </c>
      <c r="E9" s="6"/>
      <c r="F9" s="14"/>
      <c r="G9" s="15"/>
      <c r="H9" s="15"/>
      <c r="I9" s="16" t="str">
        <f t="shared" si="12"/>
        <v/>
      </c>
      <c r="J9" s="17" t="str">
        <f t="shared" si="3"/>
        <v/>
      </c>
      <c r="K9" s="14"/>
      <c r="L9" s="15"/>
      <c r="M9" s="15"/>
      <c r="N9" s="16" t="str">
        <f t="shared" si="6"/>
        <v/>
      </c>
      <c r="O9" s="17" t="str">
        <f t="shared" si="4"/>
        <v/>
      </c>
      <c r="P9" s="14"/>
      <c r="Q9" s="15"/>
      <c r="R9" s="15"/>
      <c r="S9" s="16" t="str">
        <f t="shared" si="7"/>
        <v/>
      </c>
      <c r="T9" s="17" t="str">
        <f t="shared" si="5"/>
        <v/>
      </c>
      <c r="U9" s="42" t="str">
        <f t="shared" si="0"/>
        <v/>
      </c>
      <c r="V9" s="43" t="str">
        <f t="shared" si="1"/>
        <v/>
      </c>
      <c r="W9" s="44" t="str">
        <f t="shared" si="2"/>
        <v/>
      </c>
    </row>
    <row r="10" spans="1:23" x14ac:dyDescent="0.4">
      <c r="A10" s="24" t="str">
        <f t="shared" si="8"/>
        <v/>
      </c>
      <c r="B10" s="25" t="str">
        <f t="shared" si="9"/>
        <v/>
      </c>
      <c r="C10" s="25" t="str">
        <f t="shared" si="10"/>
        <v/>
      </c>
      <c r="D10" s="25" t="str">
        <f t="shared" si="11"/>
        <v/>
      </c>
      <c r="E10" s="6"/>
      <c r="F10" s="14"/>
      <c r="G10" s="15"/>
      <c r="H10" s="15"/>
      <c r="I10" s="16" t="str">
        <f t="shared" si="12"/>
        <v/>
      </c>
      <c r="J10" s="17" t="str">
        <f t="shared" si="3"/>
        <v/>
      </c>
      <c r="K10" s="14"/>
      <c r="L10" s="15"/>
      <c r="M10" s="15"/>
      <c r="N10" s="16" t="str">
        <f t="shared" si="6"/>
        <v/>
      </c>
      <c r="O10" s="17" t="str">
        <f t="shared" si="4"/>
        <v/>
      </c>
      <c r="P10" s="14"/>
      <c r="Q10" s="15"/>
      <c r="R10" s="15"/>
      <c r="S10" s="16" t="str">
        <f t="shared" si="7"/>
        <v/>
      </c>
      <c r="T10" s="17" t="str">
        <f t="shared" si="5"/>
        <v/>
      </c>
      <c r="U10" s="42" t="str">
        <f t="shared" si="0"/>
        <v/>
      </c>
      <c r="V10" s="43" t="str">
        <f t="shared" si="1"/>
        <v/>
      </c>
      <c r="W10" s="44" t="str">
        <f t="shared" si="2"/>
        <v/>
      </c>
    </row>
    <row r="11" spans="1:23" x14ac:dyDescent="0.4">
      <c r="A11" s="24" t="str">
        <f t="shared" si="8"/>
        <v/>
      </c>
      <c r="B11" s="25" t="str">
        <f t="shared" si="9"/>
        <v/>
      </c>
      <c r="C11" s="25" t="str">
        <f t="shared" si="10"/>
        <v/>
      </c>
      <c r="D11" s="25" t="str">
        <f t="shared" si="11"/>
        <v/>
      </c>
      <c r="E11" s="6"/>
      <c r="F11" s="14"/>
      <c r="G11" s="15"/>
      <c r="H11" s="15"/>
      <c r="I11" s="16" t="str">
        <f t="shared" si="12"/>
        <v/>
      </c>
      <c r="J11" s="17" t="str">
        <f t="shared" si="3"/>
        <v/>
      </c>
      <c r="K11" s="14"/>
      <c r="L11" s="15"/>
      <c r="M11" s="15"/>
      <c r="N11" s="16" t="str">
        <f t="shared" si="6"/>
        <v/>
      </c>
      <c r="O11" s="17" t="str">
        <f t="shared" si="4"/>
        <v/>
      </c>
      <c r="P11" s="14"/>
      <c r="Q11" s="15"/>
      <c r="R11" s="15"/>
      <c r="S11" s="16" t="str">
        <f t="shared" si="7"/>
        <v/>
      </c>
      <c r="T11" s="17" t="str">
        <f t="shared" si="5"/>
        <v/>
      </c>
      <c r="U11" s="42" t="str">
        <f t="shared" si="0"/>
        <v/>
      </c>
      <c r="V11" s="43" t="str">
        <f t="shared" si="1"/>
        <v/>
      </c>
      <c r="W11" s="44" t="str">
        <f t="shared" si="2"/>
        <v/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42" t="str">
        <f t="shared" si="0"/>
        <v/>
      </c>
      <c r="V12" s="43" t="str">
        <f t="shared" si="1"/>
        <v/>
      </c>
      <c r="W12" s="44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2" t="str">
        <f t="shared" si="0"/>
        <v/>
      </c>
      <c r="V13" s="43" t="str">
        <f t="shared" si="1"/>
        <v/>
      </c>
      <c r="W13" s="44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2" t="str">
        <f t="shared" si="0"/>
        <v/>
      </c>
      <c r="V14" s="43" t="str">
        <f t="shared" si="1"/>
        <v/>
      </c>
      <c r="W14" s="44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2" t="str">
        <f t="shared" si="0"/>
        <v/>
      </c>
      <c r="V15" s="43" t="str">
        <f t="shared" si="1"/>
        <v/>
      </c>
      <c r="W15" s="44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2" t="str">
        <f t="shared" si="0"/>
        <v/>
      </c>
      <c r="V16" s="43" t="str">
        <f t="shared" si="1"/>
        <v/>
      </c>
      <c r="W16" s="44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2" t="str">
        <f t="shared" si="0"/>
        <v/>
      </c>
      <c r="V17" s="43" t="str">
        <f t="shared" si="1"/>
        <v/>
      </c>
      <c r="W17" s="44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2" t="str">
        <f t="shared" si="0"/>
        <v/>
      </c>
      <c r="V18" s="43" t="str">
        <f t="shared" si="1"/>
        <v/>
      </c>
      <c r="W18" s="44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2" t="str">
        <f t="shared" si="0"/>
        <v/>
      </c>
      <c r="V19" s="43" t="str">
        <f t="shared" si="1"/>
        <v/>
      </c>
      <c r="W19" s="44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2" t="str">
        <f t="shared" si="0"/>
        <v/>
      </c>
      <c r="V20" s="43" t="str">
        <f t="shared" si="1"/>
        <v/>
      </c>
      <c r="W20" s="44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2" t="str">
        <f t="shared" si="0"/>
        <v/>
      </c>
      <c r="V21" s="43" t="str">
        <f t="shared" si="1"/>
        <v/>
      </c>
      <c r="W21" s="44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2" t="str">
        <f t="shared" si="0"/>
        <v/>
      </c>
      <c r="V22" s="43" t="str">
        <f t="shared" si="1"/>
        <v/>
      </c>
      <c r="W22" s="44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2" t="str">
        <f t="shared" si="0"/>
        <v/>
      </c>
      <c r="V23" s="43" t="str">
        <f t="shared" si="1"/>
        <v/>
      </c>
      <c r="W23" s="44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2" t="str">
        <f t="shared" si="0"/>
        <v/>
      </c>
      <c r="V24" s="43" t="str">
        <f t="shared" si="1"/>
        <v/>
      </c>
      <c r="W24" s="44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2" t="str">
        <f t="shared" si="0"/>
        <v/>
      </c>
      <c r="V25" s="43" t="str">
        <f t="shared" si="1"/>
        <v/>
      </c>
      <c r="W25" s="44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2" t="str">
        <f t="shared" si="0"/>
        <v/>
      </c>
      <c r="V26" s="43" t="str">
        <f t="shared" si="1"/>
        <v/>
      </c>
      <c r="W26" s="44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2" t="str">
        <f t="shared" si="0"/>
        <v/>
      </c>
      <c r="V27" s="43" t="str">
        <f t="shared" si="1"/>
        <v/>
      </c>
      <c r="W27" s="44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2" t="str">
        <f t="shared" si="0"/>
        <v/>
      </c>
      <c r="V28" s="43" t="str">
        <f t="shared" si="1"/>
        <v/>
      </c>
      <c r="W28" s="44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2" t="str">
        <f t="shared" si="0"/>
        <v/>
      </c>
      <c r="V29" s="43" t="str">
        <f t="shared" si="1"/>
        <v/>
      </c>
      <c r="W29" s="44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5" t="str">
        <f t="shared" si="0"/>
        <v/>
      </c>
      <c r="V30" s="46" t="str">
        <f t="shared" si="1"/>
        <v/>
      </c>
      <c r="W30" s="47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28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28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28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28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28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28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28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28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28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28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28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28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28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28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28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28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28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28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28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28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28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28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28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28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28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28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28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28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28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28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28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28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28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28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28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28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28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28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28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28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28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28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28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28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28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28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28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28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28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28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28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28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28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28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28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28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28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28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28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28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28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28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28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28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28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28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28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28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28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28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2018-12-20T05:39:15Z</dcterms:modified>
</cp:coreProperties>
</file>