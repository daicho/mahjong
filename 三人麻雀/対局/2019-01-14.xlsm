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FA6908DC-3419-478D-A28A-62A4CABC72A6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1" r:id="rId6"/>
    <sheet name="Sheet7" sheetId="22" r:id="rId7"/>
    <sheet name="Sheet8" sheetId="23" r:id="rId8"/>
    <sheet name="役一覧" sheetId="15" state="hidden" r:id="rId9"/>
    <sheet name="点数表(親ロン)" sheetId="4" state="hidden" r:id="rId10"/>
    <sheet name="点数表(親ツモ)" sheetId="9" state="hidden" r:id="rId11"/>
    <sheet name="点数表(子→親)" sheetId="7" state="hidden" r:id="rId12"/>
    <sheet name="点数表(子ロン)" sheetId="3" state="hidden" r:id="rId13"/>
    <sheet name="点数表(子ツモ)" sheetId="10" state="hidden" r:id="rId14"/>
    <sheet name="点数表(子→子)" sheetId="5" state="hidden" r:id="rId15"/>
    <sheet name="点数表(親→子)" sheetId="6" state="hidden" r:id="rId16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D13" i="23"/>
  <c r="C13" i="23"/>
  <c r="D12" i="23"/>
  <c r="D11" i="23"/>
  <c r="D10" i="23"/>
  <c r="C10" i="23"/>
  <c r="C11" i="23" s="1"/>
  <c r="C12" i="23" s="1"/>
  <c r="D9" i="23"/>
  <c r="D8" i="23"/>
  <c r="C8" i="23"/>
  <c r="C9" i="23" s="1"/>
  <c r="D7" i="23"/>
  <c r="C7" i="23"/>
  <c r="D6" i="23"/>
  <c r="C6" i="23"/>
  <c r="O5" i="23"/>
  <c r="O6" i="23" s="1"/>
  <c r="J5" i="23"/>
  <c r="U5" i="23" s="1"/>
  <c r="D5" i="23"/>
  <c r="C5" i="23"/>
  <c r="B5" i="23"/>
  <c r="B6" i="23" s="1"/>
  <c r="A5" i="23"/>
  <c r="T4" i="23"/>
  <c r="W4" i="23" s="1"/>
  <c r="O4" i="23"/>
  <c r="V4" i="23" s="1"/>
  <c r="J4" i="23"/>
  <c r="U4" i="23" s="1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 s="1"/>
  <c r="T13" i="22"/>
  <c r="W13" i="22" s="1"/>
  <c r="O13" i="22"/>
  <c r="V13" i="22" s="1"/>
  <c r="J13" i="22"/>
  <c r="U13" i="22" s="1"/>
  <c r="D13" i="22"/>
  <c r="C13" i="22"/>
  <c r="B13" i="22"/>
  <c r="A13" i="22" s="1"/>
  <c r="T12" i="22"/>
  <c r="W12" i="22" s="1"/>
  <c r="O12" i="22"/>
  <c r="V12" i="22" s="1"/>
  <c r="J12" i="22"/>
  <c r="U12" i="22" s="1"/>
  <c r="D12" i="22"/>
  <c r="C12" i="22"/>
  <c r="B12" i="22"/>
  <c r="A12" i="22" s="1"/>
  <c r="T11" i="22"/>
  <c r="W11" i="22" s="1"/>
  <c r="O11" i="22"/>
  <c r="V11" i="22" s="1"/>
  <c r="J11" i="22"/>
  <c r="U11" i="22" s="1"/>
  <c r="D11" i="22"/>
  <c r="C11" i="22"/>
  <c r="B11" i="22"/>
  <c r="A11" i="22" s="1"/>
  <c r="T10" i="22"/>
  <c r="W10" i="22" s="1"/>
  <c r="O10" i="22"/>
  <c r="V10" i="22" s="1"/>
  <c r="J10" i="22"/>
  <c r="U10" i="22" s="1"/>
  <c r="D10" i="22"/>
  <c r="C10" i="22"/>
  <c r="B10" i="22"/>
  <c r="A10" i="22"/>
  <c r="D9" i="22"/>
  <c r="C9" i="22"/>
  <c r="D8" i="22"/>
  <c r="C8" i="22"/>
  <c r="D7" i="22"/>
  <c r="C7" i="22"/>
  <c r="D6" i="22"/>
  <c r="C6" i="22"/>
  <c r="O5" i="22"/>
  <c r="O6" i="22" s="1"/>
  <c r="J5" i="22"/>
  <c r="U5" i="22" s="1"/>
  <c r="D5" i="22"/>
  <c r="C5" i="22"/>
  <c r="B5" i="22"/>
  <c r="B6" i="22" s="1"/>
  <c r="T4" i="22"/>
  <c r="W4" i="22" s="1"/>
  <c r="O4" i="22"/>
  <c r="V4" i="22" s="1"/>
  <c r="J4" i="22"/>
  <c r="U4" i="22" s="1"/>
  <c r="W3" i="22"/>
  <c r="V3" i="22"/>
  <c r="U3" i="22"/>
  <c r="W2" i="22"/>
  <c r="V2" i="22"/>
  <c r="U2" i="22"/>
  <c r="BO1" i="22"/>
  <c r="AT1" i="22"/>
  <c r="Y1" i="22"/>
  <c r="V5" i="23" l="1"/>
  <c r="V6" i="23"/>
  <c r="O7" i="23"/>
  <c r="B7" i="23"/>
  <c r="A7" i="23" s="1"/>
  <c r="T5" i="23"/>
  <c r="A6" i="23"/>
  <c r="J6" i="23"/>
  <c r="A5" i="22"/>
  <c r="V5" i="22"/>
  <c r="B7" i="22"/>
  <c r="V6" i="22"/>
  <c r="O7" i="22"/>
  <c r="T5" i="22"/>
  <c r="A6" i="22"/>
  <c r="J6" i="22"/>
  <c r="B8" i="23" l="1"/>
  <c r="A8" i="23" s="1"/>
  <c r="U6" i="23"/>
  <c r="J7" i="23"/>
  <c r="O8" i="23"/>
  <c r="V7" i="23"/>
  <c r="W5" i="23"/>
  <c r="T6" i="23"/>
  <c r="A7" i="22"/>
  <c r="U6" i="22"/>
  <c r="J7" i="22"/>
  <c r="B8" i="22"/>
  <c r="O8" i="22"/>
  <c r="V7" i="22"/>
  <c r="W5" i="22"/>
  <c r="T6" i="22"/>
  <c r="V8" i="23" l="1"/>
  <c r="O9" i="23"/>
  <c r="W6" i="23"/>
  <c r="T7" i="23"/>
  <c r="U7" i="23"/>
  <c r="J8" i="23"/>
  <c r="B9" i="23"/>
  <c r="A9" i="23" s="1"/>
  <c r="B9" i="22"/>
  <c r="A9" i="22" s="1"/>
  <c r="V8" i="22"/>
  <c r="O9" i="22"/>
  <c r="V9" i="22" s="1"/>
  <c r="W6" i="22"/>
  <c r="T7" i="22"/>
  <c r="A8" i="22"/>
  <c r="U7" i="22"/>
  <c r="J8" i="22"/>
  <c r="W7" i="23" l="1"/>
  <c r="T8" i="23"/>
  <c r="U8" i="23"/>
  <c r="J9" i="23"/>
  <c r="O10" i="23"/>
  <c r="V9" i="23"/>
  <c r="B10" i="23"/>
  <c r="A10" i="23"/>
  <c r="T8" i="22"/>
  <c r="W7" i="22"/>
  <c r="U8" i="22"/>
  <c r="J9" i="22"/>
  <c r="U9" i="22" s="1"/>
  <c r="U9" i="23" l="1"/>
  <c r="J10" i="23"/>
  <c r="B11" i="23"/>
  <c r="W8" i="23"/>
  <c r="T9" i="23"/>
  <c r="V10" i="23"/>
  <c r="O11" i="23"/>
  <c r="W8" i="22"/>
  <c r="T9" i="22"/>
  <c r="W9" i="22" s="1"/>
  <c r="B12" i="23" l="1"/>
  <c r="A12" i="23" s="1"/>
  <c r="A11" i="23"/>
  <c r="W9" i="23"/>
  <c r="T10" i="23"/>
  <c r="U10" i="23"/>
  <c r="J11" i="23"/>
  <c r="O12" i="23"/>
  <c r="V11" i="23"/>
  <c r="V12" i="23" l="1"/>
  <c r="O13" i="23"/>
  <c r="V13" i="23" s="1"/>
  <c r="U11" i="23"/>
  <c r="J12" i="23"/>
  <c r="W10" i="23"/>
  <c r="T11" i="23"/>
  <c r="B13" i="23"/>
  <c r="A13" i="23" s="1"/>
  <c r="U12" i="23" l="1"/>
  <c r="J13" i="23"/>
  <c r="U13" i="23" s="1"/>
  <c r="W11" i="23"/>
  <c r="T12" i="23"/>
  <c r="W12" i="23" l="1"/>
  <c r="T13" i="23"/>
  <c r="W13" i="23" s="1"/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D12" i="21"/>
  <c r="C12" i="21"/>
  <c r="D10" i="21"/>
  <c r="D11" i="21" s="1"/>
  <c r="C10" i="21"/>
  <c r="C11" i="21" s="1"/>
  <c r="D9" i="21"/>
  <c r="C9" i="21"/>
  <c r="D8" i="21"/>
  <c r="C8" i="21"/>
  <c r="D7" i="21"/>
  <c r="C7" i="21"/>
  <c r="D6" i="21"/>
  <c r="C6" i="21"/>
  <c r="O5" i="21"/>
  <c r="O6" i="21" s="1"/>
  <c r="J5" i="21"/>
  <c r="U5" i="21" s="1"/>
  <c r="D5" i="21"/>
  <c r="C5" i="21"/>
  <c r="B5" i="21"/>
  <c r="B6" i="21" s="1"/>
  <c r="T4" i="21"/>
  <c r="W4" i="21" s="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A5" i="21" l="1"/>
  <c r="V5" i="21"/>
  <c r="V6" i="21"/>
  <c r="O7" i="21"/>
  <c r="B7" i="21"/>
  <c r="A7" i="21" s="1"/>
  <c r="T5" i="21"/>
  <c r="A6" i="21"/>
  <c r="J6" i="21"/>
  <c r="O8" i="21" l="1"/>
  <c r="V7" i="21"/>
  <c r="U6" i="21"/>
  <c r="J7" i="21"/>
  <c r="B8" i="21"/>
  <c r="A8" i="21" s="1"/>
  <c r="T6" i="21"/>
  <c r="W5" i="21"/>
  <c r="U7" i="21" l="1"/>
  <c r="J8" i="21"/>
  <c r="W6" i="21"/>
  <c r="T7" i="21"/>
  <c r="B9" i="21"/>
  <c r="A9" i="21" s="1"/>
  <c r="O9" i="21"/>
  <c r="V8" i="21"/>
  <c r="T8" i="21" l="1"/>
  <c r="W7" i="21"/>
  <c r="O10" i="21"/>
  <c r="V9" i="21"/>
  <c r="U8" i="21"/>
  <c r="J9" i="21"/>
  <c r="B10" i="21"/>
  <c r="A10" i="21" s="1"/>
  <c r="B11" i="21" l="1"/>
  <c r="A11" i="21"/>
  <c r="V10" i="21"/>
  <c r="O11" i="21"/>
  <c r="U9" i="21"/>
  <c r="J10" i="21"/>
  <c r="W8" i="21"/>
  <c r="T9" i="21"/>
  <c r="W9" i="21" l="1"/>
  <c r="T10" i="21"/>
  <c r="O12" i="21"/>
  <c r="V12" i="21" s="1"/>
  <c r="V11" i="21"/>
  <c r="J11" i="21"/>
  <c r="U10" i="21"/>
  <c r="B12" i="21"/>
  <c r="A12" i="21"/>
  <c r="W10" i="21" l="1"/>
  <c r="T11" i="21"/>
  <c r="U11" i="21"/>
  <c r="J12" i="21"/>
  <c r="U12" i="21" s="1"/>
  <c r="W11" i="21" l="1"/>
  <c r="T12" i="21"/>
  <c r="W12" i="21" s="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U12" i="19" s="1"/>
  <c r="D12" i="19"/>
  <c r="C12" i="19"/>
  <c r="B12" i="19"/>
  <c r="A12" i="19" s="1"/>
  <c r="T11" i="19"/>
  <c r="W11" i="19" s="1"/>
  <c r="O11" i="19"/>
  <c r="V11" i="19" s="1"/>
  <c r="J11" i="19"/>
  <c r="U11" i="19" s="1"/>
  <c r="D11" i="19"/>
  <c r="C11" i="19"/>
  <c r="B11" i="19"/>
  <c r="A11" i="19" s="1"/>
  <c r="T10" i="19"/>
  <c r="W10" i="19" s="1"/>
  <c r="O10" i="19"/>
  <c r="V10" i="19" s="1"/>
  <c r="J10" i="19"/>
  <c r="U10" i="19" s="1"/>
  <c r="D10" i="19"/>
  <c r="C10" i="19"/>
  <c r="B10" i="19"/>
  <c r="A10" i="19" s="1"/>
  <c r="T9" i="19"/>
  <c r="W9" i="19" s="1"/>
  <c r="O9" i="19"/>
  <c r="V9" i="19" s="1"/>
  <c r="J9" i="19"/>
  <c r="U9" i="19" s="1"/>
  <c r="D9" i="19"/>
  <c r="C9" i="19"/>
  <c r="B9" i="19"/>
  <c r="A9" i="19" s="1"/>
  <c r="D8" i="19"/>
  <c r="D7" i="19"/>
  <c r="D6" i="19"/>
  <c r="C6" i="19"/>
  <c r="C7" i="19" s="1"/>
  <c r="C8" i="19" s="1"/>
  <c r="B6" i="19"/>
  <c r="B7" i="19" s="1"/>
  <c r="J5" i="19"/>
  <c r="U5" i="19" s="1"/>
  <c r="D5" i="19"/>
  <c r="C5" i="19"/>
  <c r="B5" i="19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A6" i="19" l="1"/>
  <c r="A5" i="19"/>
  <c r="B8" i="19"/>
  <c r="A7" i="19"/>
  <c r="O5" i="19"/>
  <c r="T5" i="19"/>
  <c r="J6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A5" i="18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 s="1"/>
  <c r="T13" i="17"/>
  <c r="W13" i="17" s="1"/>
  <c r="O13" i="17"/>
  <c r="V13" i="17" s="1"/>
  <c r="J13" i="17"/>
  <c r="U13" i="17" s="1"/>
  <c r="D13" i="17"/>
  <c r="C13" i="17"/>
  <c r="B13" i="17"/>
  <c r="A13" i="17" s="1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 s="1"/>
  <c r="D10" i="17"/>
  <c r="C10" i="17"/>
  <c r="D9" i="17"/>
  <c r="C9" i="17"/>
  <c r="D8" i="17"/>
  <c r="C8" i="17"/>
  <c r="D7" i="17"/>
  <c r="C7" i="17"/>
  <c r="D6" i="17"/>
  <c r="C6" i="17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A8" i="19" l="1"/>
  <c r="O6" i="19"/>
  <c r="V5" i="19"/>
  <c r="U6" i="19"/>
  <c r="J7" i="19"/>
  <c r="W5" i="19"/>
  <c r="T6" i="19"/>
  <c r="V5" i="18"/>
  <c r="B7" i="18"/>
  <c r="O7" i="18"/>
  <c r="V6" i="18"/>
  <c r="T5" i="18"/>
  <c r="A6" i="18"/>
  <c r="J6" i="18"/>
  <c r="B7" i="17"/>
  <c r="A7" i="17" s="1"/>
  <c r="O5" i="17"/>
  <c r="T5" i="17"/>
  <c r="A6" i="17"/>
  <c r="J6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 s="1"/>
  <c r="T10" i="16"/>
  <c r="W10" i="16" s="1"/>
  <c r="O10" i="16"/>
  <c r="V10" i="16" s="1"/>
  <c r="J10" i="16"/>
  <c r="U10" i="16" s="1"/>
  <c r="D10" i="16"/>
  <c r="C10" i="16"/>
  <c r="B10" i="16"/>
  <c r="A10" i="16" s="1"/>
  <c r="T9" i="16"/>
  <c r="W9" i="16" s="1"/>
  <c r="O9" i="16"/>
  <c r="V9" i="16" s="1"/>
  <c r="J9" i="16"/>
  <c r="U9" i="16" s="1"/>
  <c r="D9" i="16"/>
  <c r="C9" i="16"/>
  <c r="B9" i="16"/>
  <c r="A9" i="16"/>
  <c r="T8" i="16"/>
  <c r="W8" i="16" s="1"/>
  <c r="O8" i="16"/>
  <c r="V8" i="16" s="1"/>
  <c r="J8" i="16"/>
  <c r="U8" i="16" s="1"/>
  <c r="D8" i="16"/>
  <c r="C8" i="16"/>
  <c r="B8" i="16"/>
  <c r="A8" i="16" s="1"/>
  <c r="D7" i="16"/>
  <c r="D6" i="16"/>
  <c r="C6" i="16"/>
  <c r="C7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U7" i="19" l="1"/>
  <c r="J8" i="19"/>
  <c r="U8" i="19" s="1"/>
  <c r="W6" i="19"/>
  <c r="T7" i="19"/>
  <c r="V6" i="19"/>
  <c r="O7" i="19"/>
  <c r="J7" i="18"/>
  <c r="U6" i="18"/>
  <c r="O8" i="18"/>
  <c r="V7" i="18"/>
  <c r="W5" i="18"/>
  <c r="T6" i="18"/>
  <c r="B8" i="18"/>
  <c r="A7" i="18"/>
  <c r="T6" i="17"/>
  <c r="W5" i="17"/>
  <c r="J7" i="17"/>
  <c r="U6" i="17"/>
  <c r="O6" i="17"/>
  <c r="V5" i="17"/>
  <c r="B8" i="17"/>
  <c r="A8" i="17" s="1"/>
  <c r="A5" i="16"/>
  <c r="B7" i="16"/>
  <c r="A7" i="16" s="1"/>
  <c r="O5" i="16"/>
  <c r="T5" i="16"/>
  <c r="A6" i="16"/>
  <c r="J6" i="16"/>
  <c r="T8" i="19" l="1"/>
  <c r="W8" i="19" s="1"/>
  <c r="W7" i="19"/>
  <c r="O8" i="19"/>
  <c r="V8" i="19" s="1"/>
  <c r="V7" i="19"/>
  <c r="B9" i="18"/>
  <c r="A8" i="18"/>
  <c r="A9" i="18" s="1"/>
  <c r="V8" i="18"/>
  <c r="O9" i="18"/>
  <c r="W6" i="18"/>
  <c r="T7" i="18"/>
  <c r="U7" i="18"/>
  <c r="J8" i="18"/>
  <c r="V6" i="17"/>
  <c r="O7" i="17"/>
  <c r="W6" i="17"/>
  <c r="T7" i="17"/>
  <c r="U7" i="17"/>
  <c r="J8" i="17"/>
  <c r="B9" i="17"/>
  <c r="T6" i="16"/>
  <c r="W5" i="16"/>
  <c r="O6" i="16"/>
  <c r="V5" i="16"/>
  <c r="U6" i="16"/>
  <c r="J7" i="16"/>
  <c r="U7" i="16" s="1"/>
  <c r="W7" i="18" l="1"/>
  <c r="T8" i="18"/>
  <c r="U8" i="18"/>
  <c r="J9" i="18"/>
  <c r="O10" i="18"/>
  <c r="V9" i="18"/>
  <c r="B10" i="18"/>
  <c r="A10" i="18" s="1"/>
  <c r="B10" i="17"/>
  <c r="A9" i="17"/>
  <c r="W7" i="17"/>
  <c r="T8" i="17"/>
  <c r="J9" i="17"/>
  <c r="U8" i="17"/>
  <c r="O8" i="17"/>
  <c r="V7" i="17"/>
  <c r="V6" i="16"/>
  <c r="O7" i="16"/>
  <c r="V7" i="16" s="1"/>
  <c r="W6" i="16"/>
  <c r="T7" i="16"/>
  <c r="W7" i="16" s="1"/>
  <c r="W8" i="18" l="1"/>
  <c r="T9" i="18"/>
  <c r="V10" i="18"/>
  <c r="O11" i="18"/>
  <c r="U9" i="18"/>
  <c r="J10" i="18"/>
  <c r="A11" i="18"/>
  <c r="B11" i="18"/>
  <c r="A10" i="17"/>
  <c r="U9" i="17"/>
  <c r="J10" i="17"/>
  <c r="U10" i="17" s="1"/>
  <c r="W8" i="17"/>
  <c r="T9" i="17"/>
  <c r="V8" i="17"/>
  <c r="O9" i="17"/>
  <c r="W3" i="1"/>
  <c r="V3" i="1"/>
  <c r="U3" i="1"/>
  <c r="B12" i="18" l="1"/>
  <c r="O12" i="18"/>
  <c r="V11" i="18"/>
  <c r="U10" i="18"/>
  <c r="J11" i="18"/>
  <c r="T10" i="18"/>
  <c r="W9" i="18"/>
  <c r="O10" i="17"/>
  <c r="V10" i="17" s="1"/>
  <c r="V9" i="17"/>
  <c r="W9" i="17"/>
  <c r="T10" i="17"/>
  <c r="W10" i="17" s="1"/>
  <c r="B5" i="1"/>
  <c r="A5" i="1" s="1"/>
  <c r="D6" i="1"/>
  <c r="C6" i="1"/>
  <c r="B6" i="1"/>
  <c r="A6" i="1" s="1"/>
  <c r="D5" i="1"/>
  <c r="C5" i="1"/>
  <c r="W10" i="18" l="1"/>
  <c r="T11" i="18"/>
  <c r="B13" i="18"/>
  <c r="A13" i="18" s="1"/>
  <c r="V12" i="18"/>
  <c r="O13" i="18"/>
  <c r="V13" i="18" s="1"/>
  <c r="U11" i="18"/>
  <c r="J12" i="18"/>
  <c r="A12" i="18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J13" i="18" l="1"/>
  <c r="U13" i="18" s="1"/>
  <c r="U12" i="18"/>
  <c r="B14" i="18"/>
  <c r="A14" i="18" s="1"/>
  <c r="T12" i="18"/>
  <c r="W11" i="18"/>
  <c r="Y1" i="1"/>
  <c r="W12" i="18" l="1"/>
  <c r="T13" i="18"/>
  <c r="W13" i="18" s="1"/>
  <c r="BO1" i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<sst xmlns="http://schemas.openxmlformats.org/spreadsheetml/2006/main" count="1304" uniqueCount="163">
  <si>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</si>
  <si>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</si>
  <si>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</si>
  <si>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</si>
  <si>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</si>
  <si>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</si>
  <si>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</si>
  <si>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</si>
  <si>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</si>
  <si>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</si>
  <si>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</si>
  <si>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</si>
  <si>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</si>
  <si>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</si>
  <si>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</si>
  <si>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</si>
  <si>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</si>
  <si>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</si>
  <si>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</si>
  <si>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</si>
  <si>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</si>
  <si>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</si>
  <si>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</si>
  <si>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</si>
  <si>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</si>
  <si>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</si>
  <si>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</si>
  <si>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</si>
  <si>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</si>
  <si>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</si>
  <si>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</si>
  <si>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</si>
  <si>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</si>
  <si>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</si>
  <si>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</si>
  <si>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</si>
  <si>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</si>
  <si>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</si>
  <si>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</si>
  <si>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</si>
  <si>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</si>
  <si>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</si>
  <si>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</si>
  <si>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</si>
  <si>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</si>
  <si>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</si>
  <si>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</si>
  <si>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</si>
  <si>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</si>
  <si>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</si>
  <si>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</si>
  <si>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</si>
  <si>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</si>
  <si>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</si>
  <si>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</si>
  <si>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</si>
  <si>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</si>
  <si>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</si>
  <si>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</si>
  <si>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</si>
  <si>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</si>
  <si>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</si>
  <si>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</si>
  <si>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</si>
  <si>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</si>
  <si>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</si>
  <si>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</si>
  <si>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</si>
  <si>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</si>
  <si>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</si>
  <si>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</si>
  <si>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</si>
  <si>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</si>
  <si>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</si>
  <si>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</si>
  <si>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</si>
  <si>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</si>
  <si>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</si>
  <si>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</si>
  <si>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</si>
  <si>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</si>
  <si>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</si>
  <si>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</si>
  <si>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</si>
  <si>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</si>
  <si>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</si>
  <si>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</si>
  <si>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</si>
  <si>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</si>
  <si>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</si>
  <si>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</si>
  <si>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</si>
  <si>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</si>
  <si>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</si>
  <si>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</si>
  <si>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</si>
  <si>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</si>
  <si>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</si>
  <si>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</si>
  <si>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</si>
  <si>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</si>
  <si>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</si>
  <si>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</si>
  <si>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</si>
  <si>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</si>
  <si>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</si>
  <si>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</si>
  <si>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</si>
  <si>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</si>
  <si>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</si>
  <si>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</si>
  <si>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</si>
  <si>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</si>
  <si>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</si>
  <si>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</si>
  <si>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</si>
  <si>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</si>
  <si>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</si>
  <si>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</si>
  <si>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</si>
  <si>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</si>
  <si>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</si>
  <si>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</si>
  <si>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</si>
  <si>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</si>
  <si>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</si>
  <si>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</si>
  <si>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</si>
  <si>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</si>
  <si>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</si>
  <si>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</si>
  <si>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</si>
  <si>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</si>
  <si>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</si>
  <si>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</si>
  <si>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</si>
  <si>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</si>
  <si>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</si>
  <si>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</si>
  <si>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いっしー</t>
  </si>
  <si>
    <t>いっしー</t>
    <phoneticPr fontId="1"/>
  </si>
  <si>
    <t>放銃</t>
  </si>
  <si>
    <t>ロン</t>
  </si>
  <si>
    <t>01</t>
  </si>
  <si>
    <t>02</t>
  </si>
  <si>
    <t>*</t>
  </si>
  <si>
    <t>まっつん</t>
  </si>
  <si>
    <t>まっつん</t>
    <phoneticPr fontId="1"/>
  </si>
  <si>
    <t>がくと</t>
  </si>
  <si>
    <t>がくと</t>
    <phoneticPr fontId="1"/>
  </si>
  <si>
    <t>れんたろう</t>
  </si>
  <si>
    <t>れんたろう</t>
    <phoneticPr fontId="1"/>
  </si>
  <si>
    <t>T</t>
  </si>
  <si>
    <t>N</t>
  </si>
  <si>
    <t>流局</t>
    <phoneticPr fontId="1"/>
  </si>
  <si>
    <t>ツモ支払</t>
  </si>
  <si>
    <t>ツモ</t>
  </si>
  <si>
    <t>りくと</t>
  </si>
  <si>
    <t>りくと</t>
    <phoneticPr fontId="1"/>
  </si>
  <si>
    <t>ただ</t>
  </si>
  <si>
    <t>ただ</t>
    <phoneticPr fontId="1"/>
  </si>
  <si>
    <t>あさひ</t>
  </si>
  <si>
    <t>あさひ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</si>
</sst>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4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136</v>
      </c>
      <c r="G1" s="92"/>
      <c r="H1" s="92"/>
      <c r="I1" s="101"/>
      <c r="J1" s="93"/>
      <c r="K1" s="90" t="s">
        <v>138</v>
      </c>
      <c r="L1" s="92"/>
      <c r="M1" s="92"/>
      <c r="N1" s="101"/>
      <c r="O1" s="93"/>
      <c r="P1" s="90" t="s">
        <v>140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だいち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たかの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いっしー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いっしー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141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142</v>
      </c>
      <c r="L4" s="9">
        <v>5200</v>
      </c>
      <c r="M4" s="9"/>
      <c r="N4" s="55">
        <v>0</v>
      </c>
      <c r="O4" s="21">
        <f>IF(COUNTA($F4,$K4,$P4)&gt;0,O3+SUM(L4:N4),"")</f>
        <v>40200</v>
      </c>
      <c r="P4" s="8"/>
      <c r="Q4" s="9"/>
      <c r="R4" s="9"/>
      <c r="S4" s="55"/>
      <c r="T4" s="21">
        <f>IF(COUNTA($F4,$K4,$P4)&gt;0,T3+SUM(Q4:S4),"")</f>
        <v>35000</v>
      </c>
      <c r="U4" s="66">
        <f t="shared" ref="U4:U30" si="0">IF($J4="","",ROUND(($J4-$J$3)/1000,1))</f>
        <v>-5.2</v>
      </c>
      <c r="V4" s="67">
        <f t="shared" ref="V4:V30" si="1">IF($O4="","",ROUND(($O4-$O$3)/1000,1))</f>
        <v>5.2</v>
      </c>
      <c r="W4" s="68">
        <f t="shared" ref="W4:W30" si="2">IF($T4="","",ROUND(($T4-$T$3)/1000,1))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143</v>
      </c>
      <c r="BA4" s="48" t="s">
        <v>144</v>
      </c>
      <c r="BB4" s="48" t="s">
        <v>86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141</v>
      </c>
      <c r="G5" s="9">
        <v>-8000</v>
      </c>
      <c r="H5" s="9"/>
      <c r="I5" s="55">
        <v>0</v>
      </c>
      <c r="J5" s="21">
        <f t="shared" ref="J5:J30" si="6">IF(COUNTA($F5,$K5,$P5)&gt;0,J4+SUM(G5:I5),"")</f>
        <v>21800</v>
      </c>
      <c r="K5" s="8"/>
      <c r="L5" s="9"/>
      <c r="M5" s="9"/>
      <c r="N5" s="55"/>
      <c r="O5" s="21">
        <f t="shared" ref="O5:O30" si="7">IF(COUNTA($F5,$K5,$P5)&gt;0,O4+SUM(L5:N5),"")</f>
        <v>40200</v>
      </c>
      <c r="P5" s="8" t="s">
        <v>142</v>
      </c>
      <c r="Q5" s="9">
        <v>8000</v>
      </c>
      <c r="R5" s="9"/>
      <c r="S5" s="55">
        <v>0</v>
      </c>
      <c r="T5" s="21">
        <f t="shared" ref="T5:T30" si="8">IF(COUNTA($F5,$K5,$P5)&gt;0,T4+SUM(Q5:S5),"")</f>
        <v>43000</v>
      </c>
      <c r="U5" s="66">
        <f t="shared" si="0"/>
        <v>-13.2</v>
      </c>
      <c r="V5" s="67">
        <f t="shared" si="1"/>
        <v>5.2</v>
      </c>
      <c r="W5" s="68">
        <f t="shared" si="2"/>
        <v>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5</v>
      </c>
      <c r="BT5" s="36" t="s">
        <v>145</v>
      </c>
      <c r="BU5" s="47" t="s">
        <v>87</v>
      </c>
      <c r="BV5" s="48" t="s">
        <v>82</v>
      </c>
      <c r="BW5" s="48" t="s">
        <v>80</v>
      </c>
      <c r="BX5" s="48" t="s">
        <v>80</v>
      </c>
      <c r="BY5" s="48" t="s">
        <v>80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141</v>
      </c>
      <c r="G6" s="9">
        <v>-5800</v>
      </c>
      <c r="H6" s="9"/>
      <c r="I6" s="55">
        <v>0</v>
      </c>
      <c r="J6" s="21">
        <f t="shared" si="6"/>
        <v>16000</v>
      </c>
      <c r="K6" s="8"/>
      <c r="L6" s="9"/>
      <c r="M6" s="9"/>
      <c r="N6" s="55"/>
      <c r="O6" s="21">
        <f t="shared" si="7"/>
        <v>40200</v>
      </c>
      <c r="P6" s="8" t="s">
        <v>142</v>
      </c>
      <c r="Q6" s="9">
        <v>5800</v>
      </c>
      <c r="R6" s="9"/>
      <c r="S6" s="55">
        <v>0</v>
      </c>
      <c r="T6" s="21">
        <f t="shared" si="8"/>
        <v>48800</v>
      </c>
      <c r="U6" s="66">
        <f t="shared" si="0"/>
        <v>-19</v>
      </c>
      <c r="V6" s="67">
        <f t="shared" si="1"/>
        <v>5.2</v>
      </c>
      <c r="W6" s="68">
        <f t="shared" si="2"/>
        <v>13.8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3</v>
      </c>
      <c r="BT6" s="36">
        <v>30</v>
      </c>
      <c r="BU6" s="47" t="s">
        <v>80</v>
      </c>
      <c r="BV6" s="48" t="s">
        <v>82</v>
      </c>
      <c r="BW6" s="48" t="s">
        <v>87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3</v>
      </c>
      <c r="C7" s="18">
        <f t="shared" ref="C7:C30" si="11">IF($E7="","",IF(F6="チョンボ",C6,IF($E6=$E7,C6+1,0)))</f>
        <v>1</v>
      </c>
      <c r="D7" s="18">
        <f t="shared" si="5"/>
        <v>0</v>
      </c>
      <c r="E7" s="4" t="s">
        <v>139</v>
      </c>
      <c r="F7" s="8" t="s">
        <v>141</v>
      </c>
      <c r="G7" s="9">
        <v>-18000</v>
      </c>
      <c r="H7" s="9"/>
      <c r="I7" s="55">
        <v>-1000</v>
      </c>
      <c r="J7" s="21">
        <f t="shared" si="6"/>
        <v>-3000</v>
      </c>
      <c r="K7" s="8"/>
      <c r="L7" s="9"/>
      <c r="M7" s="9"/>
      <c r="N7" s="55"/>
      <c r="O7" s="21">
        <f t="shared" si="7"/>
        <v>40200</v>
      </c>
      <c r="P7" s="8" t="s">
        <v>142</v>
      </c>
      <c r="Q7" s="9">
        <v>18000</v>
      </c>
      <c r="R7" s="9"/>
      <c r="S7" s="55">
        <v>1000</v>
      </c>
      <c r="T7" s="21">
        <f t="shared" si="8"/>
        <v>67800</v>
      </c>
      <c r="U7" s="66">
        <f t="shared" si="0"/>
        <v>-38</v>
      </c>
      <c r="V7" s="67">
        <f t="shared" si="1"/>
        <v>5.2</v>
      </c>
      <c r="W7" s="68">
        <f t="shared" si="2"/>
        <v>32.799999999999997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6</v>
      </c>
      <c r="BT7" s="36" t="s">
        <v>145</v>
      </c>
      <c r="BU7" s="47" t="s">
        <v>143</v>
      </c>
      <c r="BV7" s="48" t="s">
        <v>82</v>
      </c>
      <c r="BW7" s="48" t="s">
        <v>82</v>
      </c>
      <c r="BX7" s="48" t="s">
        <v>80</v>
      </c>
      <c r="BY7" s="48" t="s">
        <v>87</v>
      </c>
      <c r="BZ7" s="48" t="s">
        <v>87</v>
      </c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9"/>
        <v/>
      </c>
      <c r="C8" s="18" t="str">
        <f t="shared" si="11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6" t="str">
        <f t="shared" si="0"/>
        <v/>
      </c>
      <c r="V8" s="67" t="str">
        <f t="shared" si="1"/>
        <v/>
      </c>
      <c r="W8" s="68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9"/>
        <v/>
      </c>
      <c r="C9" s="18" t="str">
        <f t="shared" si="11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6" t="str">
        <f t="shared" si="0"/>
        <v/>
      </c>
      <c r="V9" s="67" t="str">
        <f t="shared" si="1"/>
        <v/>
      </c>
      <c r="W9" s="68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61199-2705-4C99-B249-0EACBBA652FC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136</v>
      </c>
      <c r="G1" s="92"/>
      <c r="H1" s="92"/>
      <c r="I1" s="101"/>
      <c r="J1" s="93"/>
      <c r="K1" s="90" t="s">
        <v>138</v>
      </c>
      <c r="L1" s="92"/>
      <c r="M1" s="92"/>
      <c r="N1" s="101"/>
      <c r="O1" s="93"/>
      <c r="P1" s="90" t="s">
        <v>140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だいち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たかの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いっしー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だいち</v>
      </c>
      <c r="V2" s="62" t="str">
        <f>$K$1</f>
        <v>たかの</v>
      </c>
      <c r="W2" s="16" t="str">
        <f>$P$1</f>
        <v>いっしー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-8000</v>
      </c>
      <c r="M4" s="9"/>
      <c r="N4" s="55">
        <v>0</v>
      </c>
      <c r="O4" s="21">
        <f>IF(COUNTA($F4,$K4,$P4)&gt;0,O3+SUM(L4:N4),"")</f>
        <v>27000</v>
      </c>
      <c r="P4" s="8" t="s">
        <v>142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6">
        <f t="shared" ref="U4:U30" si="0">IF($J4="","",ROUND(($J4-$J$3)/1000,1))</f>
        <v>0</v>
      </c>
      <c r="V4" s="67">
        <f t="shared" ref="V4:V30" si="1">IF($O4="","",ROUND(($O4-$O$3)/1000,1))</f>
        <v>-8</v>
      </c>
      <c r="W4" s="68">
        <f t="shared" ref="W4:W30" si="2">IF($T4="","",ROUND(($T4-$T$3)/1000,1))</f>
        <v>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5</v>
      </c>
      <c r="BT4" s="36" t="s">
        <v>145</v>
      </c>
      <c r="BU4" s="47" t="s">
        <v>102</v>
      </c>
      <c r="BV4" s="48" t="s">
        <v>82</v>
      </c>
      <c r="BW4" s="48" t="s">
        <v>80</v>
      </c>
      <c r="BX4" s="48" t="s">
        <v>80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142</v>
      </c>
      <c r="G5" s="9">
        <v>5200</v>
      </c>
      <c r="H5" s="9"/>
      <c r="I5" s="55">
        <v>0</v>
      </c>
      <c r="J5" s="21">
        <f t="shared" ref="J5:J30" si="6">IF(COUNTA($F5,$K5,$P5)&gt;0,J4+SUM(G5:I5),"")</f>
        <v>40200</v>
      </c>
      <c r="K5" s="8"/>
      <c r="L5" s="9"/>
      <c r="M5" s="9"/>
      <c r="N5" s="55"/>
      <c r="O5" s="21">
        <f t="shared" ref="O5:O30" si="7">IF(COUNTA($F5,$K5,$P5)&gt;0,O4+SUM(L5:N5),"")</f>
        <v>27000</v>
      </c>
      <c r="P5" s="8" t="s">
        <v>141</v>
      </c>
      <c r="Q5" s="9">
        <v>-5200</v>
      </c>
      <c r="R5" s="9"/>
      <c r="S5" s="55">
        <v>0</v>
      </c>
      <c r="T5" s="21">
        <f t="shared" ref="T5:T30" si="8">IF(COUNTA($F5,$K5,$P5)&gt;0,T4+SUM(Q5:S5),"")</f>
        <v>37800</v>
      </c>
      <c r="U5" s="66">
        <f t="shared" si="0"/>
        <v>5.2</v>
      </c>
      <c r="V5" s="67">
        <f t="shared" si="1"/>
        <v>-8</v>
      </c>
      <c r="W5" s="68">
        <f t="shared" si="2"/>
        <v>2.8</v>
      </c>
      <c r="Y5" s="8"/>
      <c r="Z5" s="41"/>
      <c r="AA5" s="32"/>
      <c r="AB5" s="32"/>
      <c r="AC5" s="32">
        <v>3</v>
      </c>
      <c r="AD5" s="36">
        <v>40</v>
      </c>
      <c r="AE5" s="47" t="s">
        <v>85</v>
      </c>
      <c r="AF5" s="48" t="s">
        <v>80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/>
      <c r="G6" s="9"/>
      <c r="H6" s="9"/>
      <c r="I6" s="55"/>
      <c r="J6" s="21">
        <f t="shared" si="6"/>
        <v>40200</v>
      </c>
      <c r="K6" s="8" t="s">
        <v>141</v>
      </c>
      <c r="L6" s="9">
        <v>-3900</v>
      </c>
      <c r="M6" s="9"/>
      <c r="N6" s="55">
        <v>0</v>
      </c>
      <c r="O6" s="21">
        <f t="shared" si="7"/>
        <v>23100</v>
      </c>
      <c r="P6" s="8" t="s">
        <v>142</v>
      </c>
      <c r="Q6" s="9">
        <v>3900</v>
      </c>
      <c r="R6" s="9"/>
      <c r="S6" s="55">
        <v>0</v>
      </c>
      <c r="T6" s="21">
        <f t="shared" si="8"/>
        <v>41700</v>
      </c>
      <c r="U6" s="66">
        <f t="shared" si="0"/>
        <v>5.2</v>
      </c>
      <c r="V6" s="67">
        <f t="shared" si="1"/>
        <v>-11.9</v>
      </c>
      <c r="W6" s="68">
        <f t="shared" si="2"/>
        <v>6.7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3</v>
      </c>
      <c r="BT6" s="36">
        <v>30</v>
      </c>
      <c r="BU6" s="47" t="s">
        <v>105</v>
      </c>
      <c r="BV6" s="48" t="s">
        <v>87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137</v>
      </c>
      <c r="F7" s="8" t="s">
        <v>142</v>
      </c>
      <c r="G7" s="9">
        <v>5200</v>
      </c>
      <c r="H7" s="9">
        <v>1000</v>
      </c>
      <c r="I7" s="55">
        <v>0</v>
      </c>
      <c r="J7" s="21">
        <f t="shared" si="6"/>
        <v>46400</v>
      </c>
      <c r="K7" s="8" t="s">
        <v>141</v>
      </c>
      <c r="L7" s="9">
        <v>-5200</v>
      </c>
      <c r="M7" s="9">
        <v>-1000</v>
      </c>
      <c r="N7" s="55">
        <v>0</v>
      </c>
      <c r="O7" s="21">
        <f t="shared" si="7"/>
        <v>16900</v>
      </c>
      <c r="P7" s="8"/>
      <c r="Q7" s="9"/>
      <c r="R7" s="9"/>
      <c r="S7" s="55"/>
      <c r="T7" s="21">
        <f t="shared" si="8"/>
        <v>41700</v>
      </c>
      <c r="U7" s="66">
        <f t="shared" si="0"/>
        <v>11.4</v>
      </c>
      <c r="V7" s="67">
        <f t="shared" si="1"/>
        <v>-18.100000000000001</v>
      </c>
      <c r="W7" s="68">
        <f t="shared" si="2"/>
        <v>6.7</v>
      </c>
      <c r="Y7" s="8"/>
      <c r="Z7" s="41"/>
      <c r="AA7" s="32">
        <v>1</v>
      </c>
      <c r="AB7" s="32"/>
      <c r="AC7" s="32">
        <v>3</v>
      </c>
      <c r="AD7" s="36">
        <v>40</v>
      </c>
      <c r="AE7" s="47" t="s">
        <v>80</v>
      </c>
      <c r="AF7" s="48" t="s">
        <v>85</v>
      </c>
      <c r="AG7" s="48" t="s">
        <v>143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142</v>
      </c>
      <c r="G8" s="9">
        <v>2600</v>
      </c>
      <c r="H8" s="9">
        <v>1000</v>
      </c>
      <c r="I8" s="55">
        <v>0</v>
      </c>
      <c r="J8" s="21">
        <f t="shared" si="6"/>
        <v>50000</v>
      </c>
      <c r="K8" s="8" t="s">
        <v>141</v>
      </c>
      <c r="L8" s="9">
        <v>-2600</v>
      </c>
      <c r="M8" s="9">
        <v>-1000</v>
      </c>
      <c r="N8" s="55">
        <v>0</v>
      </c>
      <c r="O8" s="21">
        <f t="shared" si="7"/>
        <v>13300</v>
      </c>
      <c r="P8" s="8"/>
      <c r="Q8" s="9"/>
      <c r="R8" s="9"/>
      <c r="S8" s="55"/>
      <c r="T8" s="21">
        <f t="shared" si="8"/>
        <v>41700</v>
      </c>
      <c r="U8" s="66">
        <f t="shared" si="0"/>
        <v>15</v>
      </c>
      <c r="V8" s="67">
        <f t="shared" si="1"/>
        <v>-21.7</v>
      </c>
      <c r="W8" s="68">
        <f t="shared" si="2"/>
        <v>6.7</v>
      </c>
      <c r="Y8" s="8"/>
      <c r="Z8" s="41"/>
      <c r="AA8" s="32"/>
      <c r="AB8" s="32"/>
      <c r="AC8" s="32">
        <v>2</v>
      </c>
      <c r="AD8" s="36">
        <v>40</v>
      </c>
      <c r="AE8" s="47" t="s">
        <v>86</v>
      </c>
      <c r="AF8" s="48" t="s">
        <v>85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142</v>
      </c>
      <c r="G9" s="9">
        <v>1500</v>
      </c>
      <c r="H9" s="9"/>
      <c r="I9" s="55">
        <v>0</v>
      </c>
      <c r="J9" s="21">
        <f t="shared" si="6"/>
        <v>51500</v>
      </c>
      <c r="K9" s="8"/>
      <c r="L9" s="9"/>
      <c r="M9" s="9"/>
      <c r="N9" s="55"/>
      <c r="O9" s="21">
        <f t="shared" si="7"/>
        <v>13300</v>
      </c>
      <c r="P9" s="8" t="s">
        <v>141</v>
      </c>
      <c r="Q9" s="9">
        <v>-1500</v>
      </c>
      <c r="R9" s="9"/>
      <c r="S9" s="55">
        <v>0</v>
      </c>
      <c r="T9" s="21">
        <f t="shared" si="8"/>
        <v>40200</v>
      </c>
      <c r="U9" s="66">
        <f t="shared" si="0"/>
        <v>16.5</v>
      </c>
      <c r="V9" s="67">
        <f t="shared" si="1"/>
        <v>-21.7</v>
      </c>
      <c r="W9" s="68">
        <f t="shared" si="2"/>
        <v>5.2</v>
      </c>
      <c r="Y9" s="8"/>
      <c r="Z9" s="41"/>
      <c r="AA9" s="32"/>
      <c r="AB9" s="32">
        <v>1</v>
      </c>
      <c r="AC9" s="32">
        <v>1</v>
      </c>
      <c r="AD9" s="36">
        <v>30</v>
      </c>
      <c r="AE9" s="47" t="s">
        <v>87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1</v>
      </c>
      <c r="D10" s="18">
        <f t="shared" si="5"/>
        <v>0</v>
      </c>
      <c r="E10" s="4" t="s">
        <v>135</v>
      </c>
      <c r="F10" s="8"/>
      <c r="G10" s="9"/>
      <c r="H10" s="9"/>
      <c r="I10" s="55"/>
      <c r="J10" s="21">
        <f t="shared" si="6"/>
        <v>51500</v>
      </c>
      <c r="K10" s="8" t="s">
        <v>142</v>
      </c>
      <c r="L10" s="9">
        <v>12000</v>
      </c>
      <c r="M10" s="9">
        <v>1000</v>
      </c>
      <c r="N10" s="55">
        <v>1000</v>
      </c>
      <c r="O10" s="21">
        <f t="shared" si="7"/>
        <v>27300</v>
      </c>
      <c r="P10" s="8" t="s">
        <v>141</v>
      </c>
      <c r="Q10" s="9">
        <v>-12000</v>
      </c>
      <c r="R10" s="9">
        <v>-1000</v>
      </c>
      <c r="S10" s="55">
        <v>-1000</v>
      </c>
      <c r="T10" s="21">
        <f t="shared" si="8"/>
        <v>26200</v>
      </c>
      <c r="U10" s="66">
        <f t="shared" si="0"/>
        <v>16.5</v>
      </c>
      <c r="V10" s="67">
        <f t="shared" si="1"/>
        <v>-7.7</v>
      </c>
      <c r="W10" s="68">
        <f t="shared" si="2"/>
        <v>-8.8000000000000007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6</v>
      </c>
      <c r="AY10" s="36" t="s">
        <v>145</v>
      </c>
      <c r="AZ10" s="47" t="s">
        <v>87</v>
      </c>
      <c r="BA10" s="48" t="s">
        <v>87</v>
      </c>
      <c r="BB10" s="48" t="s">
        <v>87</v>
      </c>
      <c r="BC10" s="48" t="s">
        <v>82</v>
      </c>
      <c r="BD10" s="48" t="s">
        <v>80</v>
      </c>
      <c r="BE10" s="48" t="s">
        <v>87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allowBlank="1" showInputMessage="1" showErrorMessage="1" sqref="E4:E30" xr:uid="{02A9DE3C-B2B2-4C3D-A8E7-088E28B530C2}">
      <formula1>$U$2:$W$2</formula1>
    </dataValidation>
    <dataValidation type="list" showInputMessage="1" showErrorMessage="1" sqref="K4:K30 P4:P30 F4:F30" xr:uid="{DF21FB5A-7522-42D5-B1BB-92101EAEDC6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EE394-0014-4F5D-8859-76FF4D0ACCAE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147</v>
      </c>
      <c r="G1" s="92"/>
      <c r="H1" s="92"/>
      <c r="I1" s="101"/>
      <c r="J1" s="93"/>
      <c r="K1" s="90" t="s">
        <v>151</v>
      </c>
      <c r="L1" s="92"/>
      <c r="M1" s="92"/>
      <c r="N1" s="101"/>
      <c r="O1" s="93"/>
      <c r="P1" s="90" t="s">
        <v>149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まっつん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れんたろう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がくと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まっつん</v>
      </c>
      <c r="V2" s="77" t="str">
        <f>$K$1</f>
        <v>れんたろう</v>
      </c>
      <c r="W2" s="16" t="str">
        <f>$P$1</f>
        <v>がくと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 t="s">
        <v>142</v>
      </c>
      <c r="G4" s="9">
        <v>3900</v>
      </c>
      <c r="H4" s="9"/>
      <c r="I4" s="55">
        <v>0</v>
      </c>
      <c r="J4" s="21">
        <f>IF(COUNTA($F4,$K4,$P4)&gt;0,J3+SUM(G4:I4),"")</f>
        <v>38900</v>
      </c>
      <c r="K4" s="8" t="s">
        <v>141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/>
      <c r="Q4" s="9"/>
      <c r="R4" s="9"/>
      <c r="S4" s="55"/>
      <c r="T4" s="21">
        <f>IF(COUNTA($F4,$K4,$P4)&gt;0,T3+SUM(Q4:S4),"")</f>
        <v>35000</v>
      </c>
      <c r="U4" s="66">
        <f t="shared" ref="U4:U30" si="0">IF($J4="","",ROUND(($J4-$J$3)/1000,1))</f>
        <v>3.9</v>
      </c>
      <c r="V4" s="67">
        <f t="shared" ref="V4:V30" si="1">IF($O4="","",ROUND(($O4-$O$3)/1000,1))</f>
        <v>-3.9</v>
      </c>
      <c r="W4" s="68">
        <f t="shared" ref="W4:W30" si="2">IF($T4="","",ROUND(($T4-$T$3)/1000,1))</f>
        <v>0</v>
      </c>
      <c r="Y4" s="8"/>
      <c r="Z4" s="41"/>
      <c r="AA4" s="32"/>
      <c r="AB4" s="32">
        <v>1</v>
      </c>
      <c r="AC4" s="32">
        <v>3</v>
      </c>
      <c r="AD4" s="36">
        <v>30</v>
      </c>
      <c r="AE4" s="47" t="s">
        <v>99</v>
      </c>
      <c r="AF4" s="48" t="s">
        <v>82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148</v>
      </c>
      <c r="F5" s="8"/>
      <c r="G5" s="9"/>
      <c r="H5" s="9"/>
      <c r="I5" s="55"/>
      <c r="J5" s="21">
        <f t="shared" ref="J5:J30" si="6">IF(COUNTA($F5,$K5,$P5)&gt;0,J4+SUM(G5:I5),"")</f>
        <v>38900</v>
      </c>
      <c r="K5" s="8" t="s">
        <v>141</v>
      </c>
      <c r="L5" s="9">
        <v>-12000</v>
      </c>
      <c r="M5" s="9">
        <v>-1000</v>
      </c>
      <c r="N5" s="55">
        <v>0</v>
      </c>
      <c r="O5" s="21">
        <f t="shared" ref="O5:O30" si="7">IF(COUNTA($F5,$K5,$P5)&gt;0,O4+SUM(L5:N5),"")</f>
        <v>18100</v>
      </c>
      <c r="P5" s="8" t="s">
        <v>142</v>
      </c>
      <c r="Q5" s="9">
        <v>12000</v>
      </c>
      <c r="R5" s="9">
        <v>1000</v>
      </c>
      <c r="S5" s="55">
        <v>0</v>
      </c>
      <c r="T5" s="21">
        <f t="shared" ref="T5:T30" si="8">IF(COUNTA($F5,$K5,$P5)&gt;0,T4+SUM(Q5:S5),"")</f>
        <v>48000</v>
      </c>
      <c r="U5" s="66">
        <f t="shared" si="0"/>
        <v>3.9</v>
      </c>
      <c r="V5" s="67">
        <f t="shared" si="1"/>
        <v>-16.899999999999999</v>
      </c>
      <c r="W5" s="68">
        <f t="shared" si="2"/>
        <v>13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145</v>
      </c>
      <c r="BU5" s="47" t="s">
        <v>143</v>
      </c>
      <c r="BV5" s="48" t="s">
        <v>94</v>
      </c>
      <c r="BW5" s="48" t="s">
        <v>87</v>
      </c>
      <c r="BX5" s="48" t="s">
        <v>82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148</v>
      </c>
      <c r="F6" s="8" t="s">
        <v>142</v>
      </c>
      <c r="G6" s="9">
        <v>8000</v>
      </c>
      <c r="H6" s="9"/>
      <c r="I6" s="55">
        <v>1000</v>
      </c>
      <c r="J6" s="21">
        <f t="shared" si="6"/>
        <v>47900</v>
      </c>
      <c r="K6" s="8"/>
      <c r="L6" s="9"/>
      <c r="M6" s="9"/>
      <c r="N6" s="55"/>
      <c r="O6" s="21">
        <f t="shared" si="7"/>
        <v>18100</v>
      </c>
      <c r="P6" s="8" t="s">
        <v>141</v>
      </c>
      <c r="Q6" s="9">
        <v>-8000</v>
      </c>
      <c r="R6" s="9"/>
      <c r="S6" s="55">
        <v>-1000</v>
      </c>
      <c r="T6" s="21">
        <f t="shared" si="8"/>
        <v>39000</v>
      </c>
      <c r="U6" s="66">
        <f t="shared" si="0"/>
        <v>12.9</v>
      </c>
      <c r="V6" s="67">
        <f t="shared" si="1"/>
        <v>-16.899999999999999</v>
      </c>
      <c r="W6" s="68">
        <f t="shared" si="2"/>
        <v>4</v>
      </c>
      <c r="Y6" s="8"/>
      <c r="Z6" s="41"/>
      <c r="AA6" s="32"/>
      <c r="AB6" s="32">
        <v>1</v>
      </c>
      <c r="AC6" s="32">
        <v>5</v>
      </c>
      <c r="AD6" s="36" t="s">
        <v>145</v>
      </c>
      <c r="AE6" s="47" t="s">
        <v>99</v>
      </c>
      <c r="AF6" s="48" t="s">
        <v>80</v>
      </c>
      <c r="AG6" s="48" t="s">
        <v>80</v>
      </c>
      <c r="AH6" s="48" t="s">
        <v>87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146</v>
      </c>
      <c r="F7" s="8" t="s">
        <v>154</v>
      </c>
      <c r="G7" s="9">
        <v>1500</v>
      </c>
      <c r="H7" s="9"/>
      <c r="I7" s="55"/>
      <c r="J7" s="21">
        <f t="shared" si="6"/>
        <v>49400</v>
      </c>
      <c r="K7" s="8" t="s">
        <v>154</v>
      </c>
      <c r="L7" s="9">
        <v>1500</v>
      </c>
      <c r="M7" s="9"/>
      <c r="N7" s="55"/>
      <c r="O7" s="21">
        <f t="shared" si="7"/>
        <v>19600</v>
      </c>
      <c r="P7" s="8" t="s">
        <v>154</v>
      </c>
      <c r="Q7" s="9">
        <v>-3000</v>
      </c>
      <c r="R7" s="9"/>
      <c r="S7" s="55"/>
      <c r="T7" s="21">
        <f t="shared" si="8"/>
        <v>36000</v>
      </c>
      <c r="U7" s="66">
        <f t="shared" si="0"/>
        <v>14.4</v>
      </c>
      <c r="V7" s="67">
        <f t="shared" si="1"/>
        <v>-15.4</v>
      </c>
      <c r="W7" s="68">
        <f t="shared" si="2"/>
        <v>1</v>
      </c>
      <c r="Y7" s="8" t="s">
        <v>152</v>
      </c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152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153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0</v>
      </c>
      <c r="E8" s="4" t="s">
        <v>146</v>
      </c>
      <c r="F8" s="8"/>
      <c r="G8" s="9"/>
      <c r="H8" s="9"/>
      <c r="I8" s="55"/>
      <c r="J8" s="21">
        <f t="shared" si="6"/>
        <v>49400</v>
      </c>
      <c r="K8" s="8" t="s">
        <v>142</v>
      </c>
      <c r="L8" s="9">
        <v>16000</v>
      </c>
      <c r="M8" s="9"/>
      <c r="N8" s="55">
        <v>1000</v>
      </c>
      <c r="O8" s="21">
        <f t="shared" si="7"/>
        <v>36600</v>
      </c>
      <c r="P8" s="8" t="s">
        <v>141</v>
      </c>
      <c r="Q8" s="9">
        <v>-16000</v>
      </c>
      <c r="R8" s="9"/>
      <c r="S8" s="55">
        <v>-1000</v>
      </c>
      <c r="T8" s="21">
        <f t="shared" si="8"/>
        <v>19000</v>
      </c>
      <c r="U8" s="66">
        <f t="shared" si="0"/>
        <v>14.4</v>
      </c>
      <c r="V8" s="67">
        <f t="shared" si="1"/>
        <v>1.6</v>
      </c>
      <c r="W8" s="68">
        <f t="shared" si="2"/>
        <v>-16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9</v>
      </c>
      <c r="AY8" s="36" t="s">
        <v>145</v>
      </c>
      <c r="AZ8" s="47" t="s">
        <v>105</v>
      </c>
      <c r="BA8" s="48" t="s">
        <v>94</v>
      </c>
      <c r="BB8" s="48" t="s">
        <v>82</v>
      </c>
      <c r="BC8" s="48" t="s">
        <v>87</v>
      </c>
      <c r="BD8" s="48" t="s">
        <v>87</v>
      </c>
      <c r="BE8" s="48" t="s">
        <v>87</v>
      </c>
      <c r="BF8" s="48" t="s">
        <v>100</v>
      </c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150</v>
      </c>
      <c r="F9" s="8" t="s">
        <v>155</v>
      </c>
      <c r="G9" s="9">
        <v>-12000</v>
      </c>
      <c r="H9" s="9"/>
      <c r="I9" s="55">
        <v>0</v>
      </c>
      <c r="J9" s="21">
        <f t="shared" si="6"/>
        <v>37400</v>
      </c>
      <c r="K9" s="8" t="s">
        <v>156</v>
      </c>
      <c r="L9" s="9">
        <v>24000</v>
      </c>
      <c r="M9" s="9"/>
      <c r="N9" s="55">
        <v>0</v>
      </c>
      <c r="O9" s="21">
        <f t="shared" si="7"/>
        <v>60600</v>
      </c>
      <c r="P9" s="8" t="s">
        <v>155</v>
      </c>
      <c r="Q9" s="9">
        <v>-12000</v>
      </c>
      <c r="R9" s="9"/>
      <c r="S9" s="55">
        <v>0</v>
      </c>
      <c r="T9" s="21">
        <f t="shared" si="8"/>
        <v>7000</v>
      </c>
      <c r="U9" s="66">
        <f t="shared" si="0"/>
        <v>2.4</v>
      </c>
      <c r="V9" s="67">
        <f t="shared" si="1"/>
        <v>25.6</v>
      </c>
      <c r="W9" s="68">
        <f t="shared" si="2"/>
        <v>-28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8</v>
      </c>
      <c r="AY9" s="36" t="s">
        <v>145</v>
      </c>
      <c r="AZ9" s="47" t="s">
        <v>82</v>
      </c>
      <c r="BA9" s="48" t="s">
        <v>83</v>
      </c>
      <c r="BB9" s="48" t="s">
        <v>102</v>
      </c>
      <c r="BC9" s="48" t="s">
        <v>80</v>
      </c>
      <c r="BD9" s="48" t="s">
        <v>80</v>
      </c>
      <c r="BE9" s="48" t="s">
        <v>80</v>
      </c>
      <c r="BF9" s="48" t="s">
        <v>80</v>
      </c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1</v>
      </c>
      <c r="D10" s="18">
        <f t="shared" si="5"/>
        <v>0</v>
      </c>
      <c r="E10" s="4" t="s">
        <v>150</v>
      </c>
      <c r="F10" s="8" t="s">
        <v>142</v>
      </c>
      <c r="G10" s="9">
        <v>12000</v>
      </c>
      <c r="H10" s="9">
        <v>1000</v>
      </c>
      <c r="I10" s="55">
        <v>1000</v>
      </c>
      <c r="J10" s="21">
        <f t="shared" si="6"/>
        <v>51400</v>
      </c>
      <c r="K10" s="8" t="s">
        <v>141</v>
      </c>
      <c r="L10" s="9">
        <v>-12000</v>
      </c>
      <c r="M10" s="9">
        <v>-1000</v>
      </c>
      <c r="N10" s="55">
        <v>-1000</v>
      </c>
      <c r="O10" s="21">
        <f t="shared" si="7"/>
        <v>46600</v>
      </c>
      <c r="P10" s="8"/>
      <c r="Q10" s="9"/>
      <c r="R10" s="9"/>
      <c r="S10" s="55"/>
      <c r="T10" s="21">
        <f t="shared" si="8"/>
        <v>7000</v>
      </c>
      <c r="U10" s="66">
        <f t="shared" si="0"/>
        <v>16.399999999999999</v>
      </c>
      <c r="V10" s="67">
        <f t="shared" si="1"/>
        <v>11.6</v>
      </c>
      <c r="W10" s="68">
        <f t="shared" si="2"/>
        <v>-28</v>
      </c>
      <c r="Y10" s="8"/>
      <c r="Z10" s="41"/>
      <c r="AA10" s="32"/>
      <c r="AB10" s="32">
        <v>1</v>
      </c>
      <c r="AC10" s="32">
        <v>6</v>
      </c>
      <c r="AD10" s="36" t="s">
        <v>145</v>
      </c>
      <c r="AE10" s="47" t="s">
        <v>101</v>
      </c>
      <c r="AF10" s="48" t="s">
        <v>99</v>
      </c>
      <c r="AG10" s="48" t="s">
        <v>82</v>
      </c>
      <c r="AH10" s="48" t="s">
        <v>87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148</v>
      </c>
      <c r="F11" s="8" t="s">
        <v>141</v>
      </c>
      <c r="G11" s="9">
        <v>-7700</v>
      </c>
      <c r="H11" s="9"/>
      <c r="I11" s="55">
        <v>0</v>
      </c>
      <c r="J11" s="21">
        <f t="shared" si="6"/>
        <v>43700</v>
      </c>
      <c r="K11" s="8"/>
      <c r="L11" s="9"/>
      <c r="M11" s="9"/>
      <c r="N11" s="55"/>
      <c r="O11" s="21">
        <f t="shared" si="7"/>
        <v>46600</v>
      </c>
      <c r="P11" s="8" t="s">
        <v>142</v>
      </c>
      <c r="Q11" s="9">
        <v>7700</v>
      </c>
      <c r="R11" s="9"/>
      <c r="S11" s="55">
        <v>0</v>
      </c>
      <c r="T11" s="21">
        <f t="shared" si="8"/>
        <v>14700</v>
      </c>
      <c r="U11" s="66">
        <f t="shared" si="0"/>
        <v>8.6999999999999993</v>
      </c>
      <c r="V11" s="67">
        <f t="shared" si="1"/>
        <v>11.6</v>
      </c>
      <c r="W11" s="68">
        <f t="shared" si="2"/>
        <v>-20.3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40</v>
      </c>
      <c r="BU11" s="47" t="s">
        <v>143</v>
      </c>
      <c r="BV11" s="48" t="s">
        <v>144</v>
      </c>
      <c r="BW11" s="48" t="s">
        <v>81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1</v>
      </c>
      <c r="D12" s="18">
        <f t="shared" si="5"/>
        <v>0</v>
      </c>
      <c r="E12" s="4" t="s">
        <v>148</v>
      </c>
      <c r="F12" s="8" t="s">
        <v>142</v>
      </c>
      <c r="G12" s="9">
        <v>8000</v>
      </c>
      <c r="H12" s="9"/>
      <c r="I12" s="55">
        <v>1000</v>
      </c>
      <c r="J12" s="21">
        <f t="shared" si="6"/>
        <v>52700</v>
      </c>
      <c r="K12" s="8" t="s">
        <v>141</v>
      </c>
      <c r="L12" s="9">
        <v>-8000</v>
      </c>
      <c r="M12" s="9"/>
      <c r="N12" s="55">
        <v>-1000</v>
      </c>
      <c r="O12" s="21">
        <f t="shared" si="7"/>
        <v>37600</v>
      </c>
      <c r="P12" s="8"/>
      <c r="Q12" s="9"/>
      <c r="R12" s="9"/>
      <c r="S12" s="55"/>
      <c r="T12" s="21">
        <f t="shared" si="8"/>
        <v>14700</v>
      </c>
      <c r="U12" s="66">
        <f t="shared" si="0"/>
        <v>17.7</v>
      </c>
      <c r="V12" s="67">
        <f t="shared" si="1"/>
        <v>2.6</v>
      </c>
      <c r="W12" s="68">
        <f t="shared" si="2"/>
        <v>-20.3</v>
      </c>
      <c r="Y12" s="8"/>
      <c r="Z12" s="41"/>
      <c r="AA12" s="32"/>
      <c r="AB12" s="32">
        <v>1</v>
      </c>
      <c r="AC12" s="32">
        <v>5</v>
      </c>
      <c r="AD12" s="36" t="s">
        <v>145</v>
      </c>
      <c r="AE12" s="47" t="s">
        <v>82</v>
      </c>
      <c r="AF12" s="48" t="s">
        <v>105</v>
      </c>
      <c r="AG12" s="48" t="s">
        <v>99</v>
      </c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146</v>
      </c>
      <c r="F13" s="8" t="s">
        <v>141</v>
      </c>
      <c r="G13" s="9">
        <v>-8000</v>
      </c>
      <c r="H13" s="9">
        <v>-1000</v>
      </c>
      <c r="I13" s="55">
        <v>0</v>
      </c>
      <c r="J13" s="21">
        <f t="shared" si="6"/>
        <v>43700</v>
      </c>
      <c r="K13" s="8" t="s">
        <v>142</v>
      </c>
      <c r="L13" s="9">
        <v>8000</v>
      </c>
      <c r="M13" s="9">
        <v>1000</v>
      </c>
      <c r="N13" s="55">
        <v>0</v>
      </c>
      <c r="O13" s="21">
        <f t="shared" si="7"/>
        <v>46600</v>
      </c>
      <c r="P13" s="8"/>
      <c r="Q13" s="9"/>
      <c r="R13" s="9"/>
      <c r="S13" s="55"/>
      <c r="T13" s="21">
        <f t="shared" si="8"/>
        <v>14700</v>
      </c>
      <c r="U13" s="66">
        <f t="shared" si="0"/>
        <v>8.6999999999999993</v>
      </c>
      <c r="V13" s="67">
        <f t="shared" si="1"/>
        <v>11.6</v>
      </c>
      <c r="W13" s="68">
        <f t="shared" si="2"/>
        <v>-20.3</v>
      </c>
      <c r="Y13" s="8"/>
      <c r="Z13" s="41"/>
      <c r="AA13" s="32">
        <v>1</v>
      </c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>
        <v>4</v>
      </c>
      <c r="AY13" s="36">
        <v>30</v>
      </c>
      <c r="AZ13" s="47" t="s">
        <v>105</v>
      </c>
      <c r="BA13" s="48" t="s">
        <v>87</v>
      </c>
      <c r="BB13" s="48" t="s">
        <v>82</v>
      </c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西</v>
      </c>
      <c r="B14" s="18">
        <f t="shared" si="9"/>
        <v>1</v>
      </c>
      <c r="C14" s="18">
        <f t="shared" si="4"/>
        <v>0</v>
      </c>
      <c r="D14" s="18">
        <f t="shared" si="5"/>
        <v>0</v>
      </c>
      <c r="E14" s="4" t="s">
        <v>150</v>
      </c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B2B7A019-F3B1-4BA3-9F56-F7A341B4202B}">
      <formula1>"ロン,ツモ,放銃,ツモ支払,流局,チョンボ"</formula1>
    </dataValidation>
    <dataValidation type="list" allowBlank="1" showInputMessage="1" showErrorMessage="1" sqref="E4:E30" xr:uid="{5E69169A-955C-416B-8942-9F0437685F4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24F5E-61D4-4A01-AB99-647D0AA9E7F2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147</v>
      </c>
      <c r="G1" s="92"/>
      <c r="H1" s="92"/>
      <c r="I1" s="101"/>
      <c r="J1" s="93"/>
      <c r="K1" s="90" t="s">
        <v>151</v>
      </c>
      <c r="L1" s="92"/>
      <c r="M1" s="92"/>
      <c r="N1" s="101"/>
      <c r="O1" s="93"/>
      <c r="P1" s="90" t="s">
        <v>149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まっつん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れんたろう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がくと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まっつん</v>
      </c>
      <c r="V2" s="77" t="str">
        <f>$K$1</f>
        <v>れんたろう</v>
      </c>
      <c r="W2" s="16" t="str">
        <f>$P$1</f>
        <v>がくと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 t="s">
        <v>142</v>
      </c>
      <c r="G4" s="9">
        <v>12000</v>
      </c>
      <c r="H4" s="9">
        <v>2000</v>
      </c>
      <c r="I4" s="55">
        <v>0</v>
      </c>
      <c r="J4" s="21">
        <f>IF(COUNTA($F4,$K4,$P4)&gt;0,J3+SUM(G4:I4),"")</f>
        <v>49000</v>
      </c>
      <c r="K4" s="8" t="s">
        <v>141</v>
      </c>
      <c r="L4" s="9">
        <v>-12000</v>
      </c>
      <c r="M4" s="9">
        <v>-1000</v>
      </c>
      <c r="N4" s="55">
        <v>0</v>
      </c>
      <c r="O4" s="21">
        <f>IF(COUNTA($F4,$K4,$P4)&gt;0,O3+SUM(L4:N4),"")</f>
        <v>22000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6">
        <f t="shared" ref="U4:U30" si="0">IF($J4="","",ROUND(($J4-$J$3)/1000,1))</f>
        <v>14</v>
      </c>
      <c r="V4" s="67">
        <f t="shared" ref="V4:V30" si="1">IF($O4="","",ROUND(($O4-$O$3)/1000,1))</f>
        <v>-13</v>
      </c>
      <c r="W4" s="68">
        <f t="shared" ref="W4:W30" si="2">IF($T4="","",ROUND(($T4-$T$3)/1000,1))</f>
        <v>-1</v>
      </c>
      <c r="Y4" s="8"/>
      <c r="Z4" s="41"/>
      <c r="AA4" s="32"/>
      <c r="AB4" s="32">
        <v>1</v>
      </c>
      <c r="AC4" s="32">
        <v>7</v>
      </c>
      <c r="AD4" s="36" t="s">
        <v>145</v>
      </c>
      <c r="AE4" s="47" t="s">
        <v>105</v>
      </c>
      <c r="AF4" s="48" t="s">
        <v>82</v>
      </c>
      <c r="AG4" s="48" t="s">
        <v>82</v>
      </c>
      <c r="AH4" s="48" t="s">
        <v>80</v>
      </c>
      <c r="AI4" s="48" t="s">
        <v>80</v>
      </c>
      <c r="AJ4" s="48" t="s">
        <v>87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148</v>
      </c>
      <c r="F5" s="8"/>
      <c r="G5" s="9"/>
      <c r="H5" s="9"/>
      <c r="I5" s="55"/>
      <c r="J5" s="21">
        <f t="shared" ref="J5:J30" si="6">IF(COUNTA($F5,$K5,$P5)&gt;0,J4+SUM(G5:I5),"")</f>
        <v>49000</v>
      </c>
      <c r="K5" s="8" t="s">
        <v>141</v>
      </c>
      <c r="L5" s="9">
        <v>-12000</v>
      </c>
      <c r="M5" s="9"/>
      <c r="N5" s="55">
        <v>0</v>
      </c>
      <c r="O5" s="21">
        <f t="shared" ref="O5:O30" si="7">IF(COUNTA($F5,$K5,$P5)&gt;0,O4+SUM(L5:N5),"")</f>
        <v>10000</v>
      </c>
      <c r="P5" s="8" t="s">
        <v>142</v>
      </c>
      <c r="Q5" s="9">
        <v>12000</v>
      </c>
      <c r="R5" s="9"/>
      <c r="S5" s="55">
        <v>0</v>
      </c>
      <c r="T5" s="21">
        <f t="shared" ref="T5:T30" si="8">IF(COUNTA($F5,$K5,$P5)&gt;0,T4+SUM(Q5:S5),"")</f>
        <v>46000</v>
      </c>
      <c r="U5" s="66">
        <f t="shared" si="0"/>
        <v>14</v>
      </c>
      <c r="V5" s="67">
        <f t="shared" si="1"/>
        <v>-25</v>
      </c>
      <c r="W5" s="68">
        <f t="shared" si="2"/>
        <v>11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145</v>
      </c>
      <c r="BU5" s="47" t="s">
        <v>94</v>
      </c>
      <c r="BV5" s="48" t="s">
        <v>143</v>
      </c>
      <c r="BW5" s="48" t="s">
        <v>87</v>
      </c>
      <c r="BX5" s="48" t="s">
        <v>87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148</v>
      </c>
      <c r="F6" s="8" t="s">
        <v>155</v>
      </c>
      <c r="G6" s="9">
        <v>-2000</v>
      </c>
      <c r="H6" s="9"/>
      <c r="I6" s="55">
        <v>-500</v>
      </c>
      <c r="J6" s="21">
        <f t="shared" si="6"/>
        <v>46500</v>
      </c>
      <c r="K6" s="8" t="s">
        <v>155</v>
      </c>
      <c r="L6" s="9">
        <v>-2000</v>
      </c>
      <c r="M6" s="9"/>
      <c r="N6" s="55">
        <v>-500</v>
      </c>
      <c r="O6" s="21">
        <f t="shared" si="7"/>
        <v>7500</v>
      </c>
      <c r="P6" s="8" t="s">
        <v>156</v>
      </c>
      <c r="Q6" s="9">
        <v>4000</v>
      </c>
      <c r="R6" s="9"/>
      <c r="S6" s="55">
        <v>1000</v>
      </c>
      <c r="T6" s="21">
        <f t="shared" si="8"/>
        <v>51000</v>
      </c>
      <c r="U6" s="66">
        <f t="shared" si="0"/>
        <v>11.5</v>
      </c>
      <c r="V6" s="67">
        <f t="shared" si="1"/>
        <v>-27.5</v>
      </c>
      <c r="W6" s="68">
        <f t="shared" si="2"/>
        <v>16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3</v>
      </c>
      <c r="BT6" s="36">
        <v>20</v>
      </c>
      <c r="BU6" s="47" t="s">
        <v>83</v>
      </c>
      <c r="BV6" s="48" t="s">
        <v>84</v>
      </c>
      <c r="BW6" s="48" t="s">
        <v>82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2</v>
      </c>
      <c r="D7" s="18">
        <f t="shared" si="5"/>
        <v>0</v>
      </c>
      <c r="E7" s="4" t="s">
        <v>148</v>
      </c>
      <c r="F7" s="8" t="s">
        <v>141</v>
      </c>
      <c r="G7" s="9">
        <v>-4800</v>
      </c>
      <c r="H7" s="9"/>
      <c r="I7" s="55">
        <v>-2000</v>
      </c>
      <c r="J7" s="21">
        <f t="shared" si="6"/>
        <v>39700</v>
      </c>
      <c r="K7" s="8"/>
      <c r="L7" s="9"/>
      <c r="M7" s="9"/>
      <c r="N7" s="55"/>
      <c r="O7" s="21">
        <f t="shared" si="7"/>
        <v>7500</v>
      </c>
      <c r="P7" s="8" t="s">
        <v>142</v>
      </c>
      <c r="Q7" s="9">
        <v>4800</v>
      </c>
      <c r="R7" s="9"/>
      <c r="S7" s="55">
        <v>2000</v>
      </c>
      <c r="T7" s="21">
        <f t="shared" si="8"/>
        <v>57800</v>
      </c>
      <c r="U7" s="66">
        <f t="shared" si="0"/>
        <v>4.7</v>
      </c>
      <c r="V7" s="67">
        <f t="shared" si="1"/>
        <v>-27.5</v>
      </c>
      <c r="W7" s="68">
        <f t="shared" si="2"/>
        <v>22.8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3</v>
      </c>
      <c r="BT7" s="36">
        <v>25</v>
      </c>
      <c r="BU7" s="47" t="s">
        <v>102</v>
      </c>
      <c r="BV7" s="48" t="s">
        <v>82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3</v>
      </c>
      <c r="D8" s="18">
        <f t="shared" si="5"/>
        <v>0</v>
      </c>
      <c r="E8" s="4" t="s">
        <v>148</v>
      </c>
      <c r="F8" s="8" t="s">
        <v>142</v>
      </c>
      <c r="G8" s="9">
        <v>12000</v>
      </c>
      <c r="H8" s="9">
        <v>1000</v>
      </c>
      <c r="I8" s="55">
        <v>3000</v>
      </c>
      <c r="J8" s="21">
        <f t="shared" si="6"/>
        <v>55700</v>
      </c>
      <c r="K8" s="8" t="s">
        <v>141</v>
      </c>
      <c r="L8" s="9">
        <v>-12000</v>
      </c>
      <c r="M8" s="9">
        <v>-1000</v>
      </c>
      <c r="N8" s="55">
        <v>-3000</v>
      </c>
      <c r="O8" s="21">
        <f t="shared" si="7"/>
        <v>-8500</v>
      </c>
      <c r="P8" s="8"/>
      <c r="Q8" s="9"/>
      <c r="R8" s="9"/>
      <c r="S8" s="55"/>
      <c r="T8" s="21">
        <f t="shared" si="8"/>
        <v>57800</v>
      </c>
      <c r="U8" s="66">
        <f t="shared" si="0"/>
        <v>20.7</v>
      </c>
      <c r="V8" s="67">
        <f t="shared" si="1"/>
        <v>-43.5</v>
      </c>
      <c r="W8" s="68">
        <f t="shared" si="2"/>
        <v>22.8</v>
      </c>
      <c r="Y8" s="8"/>
      <c r="Z8" s="41"/>
      <c r="AA8" s="32">
        <v>1</v>
      </c>
      <c r="AB8" s="32"/>
      <c r="AC8" s="32">
        <v>6</v>
      </c>
      <c r="AD8" s="36" t="s">
        <v>145</v>
      </c>
      <c r="AE8" s="47" t="s">
        <v>143</v>
      </c>
      <c r="AF8" s="48" t="s">
        <v>82</v>
      </c>
      <c r="AG8" s="48" t="s">
        <v>82</v>
      </c>
      <c r="AH8" s="48" t="s">
        <v>94</v>
      </c>
      <c r="AI8" s="48" t="s">
        <v>85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6" t="str">
        <f t="shared" si="0"/>
        <v/>
      </c>
      <c r="V9" s="67" t="str">
        <f t="shared" si="1"/>
        <v/>
      </c>
      <c r="W9" s="68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DEE9D507-A593-4A3C-B1D2-F285F56CA79D}">
      <formula1>$U$2:$W$2</formula1>
    </dataValidation>
    <dataValidation type="list" showInputMessage="1" showErrorMessage="1" sqref="K4:K30 P4:P30 F4:F30" xr:uid="{F3BF6484-6E3C-410D-A56B-1C0579390E3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402D5-C261-4058-9045-EF0D00F13B37}">
  <sheetPr codeName="Sheet13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136</v>
      </c>
      <c r="G1" s="92"/>
      <c r="H1" s="92"/>
      <c r="I1" s="101"/>
      <c r="J1" s="93"/>
      <c r="K1" s="90" t="s">
        <v>158</v>
      </c>
      <c r="L1" s="92"/>
      <c r="M1" s="92"/>
      <c r="N1" s="101"/>
      <c r="O1" s="93"/>
      <c r="P1" s="90" t="s">
        <v>151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だいち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りくと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れんたろう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2" t="str">
        <f>$F$1</f>
        <v>だいち</v>
      </c>
      <c r="V2" s="83" t="str">
        <f>$K$1</f>
        <v>りくと</v>
      </c>
      <c r="W2" s="16" t="str">
        <f>$P$1</f>
        <v>れんたろう</v>
      </c>
      <c r="Y2" s="78" t="s">
        <v>24</v>
      </c>
      <c r="Z2" s="79" t="s">
        <v>27</v>
      </c>
      <c r="AA2" s="80" t="s">
        <v>25</v>
      </c>
      <c r="AB2" s="80" t="s">
        <v>128</v>
      </c>
      <c r="AC2" s="80" t="s">
        <v>19</v>
      </c>
      <c r="AD2" s="81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78" t="s">
        <v>24</v>
      </c>
      <c r="AU2" s="79" t="s">
        <v>27</v>
      </c>
      <c r="AV2" s="80" t="s">
        <v>25</v>
      </c>
      <c r="AW2" s="80" t="s">
        <v>129</v>
      </c>
      <c r="AX2" s="80" t="s">
        <v>19</v>
      </c>
      <c r="AY2" s="81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78" t="s">
        <v>24</v>
      </c>
      <c r="BP2" s="79" t="s">
        <v>27</v>
      </c>
      <c r="BQ2" s="80" t="s">
        <v>25</v>
      </c>
      <c r="BR2" s="80" t="s">
        <v>129</v>
      </c>
      <c r="BS2" s="80" t="s">
        <v>19</v>
      </c>
      <c r="BT2" s="81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 t="s">
        <v>142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-8000</v>
      </c>
      <c r="R4" s="9"/>
      <c r="S4" s="55">
        <v>0</v>
      </c>
      <c r="T4" s="21">
        <f>IF(COUNTA($F4,$K4,$P4)&gt;0,T3+SUM(Q4:S4),"")</f>
        <v>27000</v>
      </c>
      <c r="U4" s="66">
        <f t="shared" ref="U4:U30" si="0">IF($J4="","",ROUND(($J4-$J$3)/1000,1))</f>
        <v>8</v>
      </c>
      <c r="V4" s="67">
        <f t="shared" ref="V4:V30" si="1">IF($O4="","",ROUND(($O4-$O$3)/1000,1))</f>
        <v>0</v>
      </c>
      <c r="W4" s="68">
        <f t="shared" ref="W4:W30" si="2">IF($T4="","",ROUND(($T4-$T$3)/1000,1))</f>
        <v>-8</v>
      </c>
      <c r="Y4" s="8"/>
      <c r="Z4" s="41"/>
      <c r="AA4" s="32">
        <v>1</v>
      </c>
      <c r="AB4" s="32"/>
      <c r="AC4" s="32">
        <v>4</v>
      </c>
      <c r="AD4" s="36">
        <v>30</v>
      </c>
      <c r="AE4" s="47" t="s">
        <v>143</v>
      </c>
      <c r="AF4" s="48" t="s">
        <v>144</v>
      </c>
      <c r="AG4" s="48" t="s">
        <v>84</v>
      </c>
      <c r="AH4" s="48" t="s">
        <v>82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/>
      <c r="G5" s="9"/>
      <c r="H5" s="9"/>
      <c r="I5" s="55"/>
      <c r="J5" s="21">
        <f t="shared" ref="J5:J30" si="6">IF(COUNTA($F5,$K5,$P5)&gt;0,J4+SUM(G5:I5),"")</f>
        <v>43000</v>
      </c>
      <c r="K5" s="8" t="s">
        <v>142</v>
      </c>
      <c r="L5" s="9">
        <v>5200</v>
      </c>
      <c r="M5" s="9"/>
      <c r="N5" s="55">
        <v>0</v>
      </c>
      <c r="O5" s="21">
        <f t="shared" ref="O5:O30" si="7">IF(COUNTA($F5,$K5,$P5)&gt;0,O4+SUM(L5:N5),"")</f>
        <v>40200</v>
      </c>
      <c r="P5" s="8" t="s">
        <v>141</v>
      </c>
      <c r="Q5" s="9">
        <v>-5200</v>
      </c>
      <c r="R5" s="9"/>
      <c r="S5" s="55">
        <v>0</v>
      </c>
      <c r="T5" s="21">
        <f t="shared" ref="T5:T30" si="8">IF(COUNTA($F5,$K5,$P5)&gt;0,T4+SUM(Q5:S5),"")</f>
        <v>21800</v>
      </c>
      <c r="U5" s="66">
        <f t="shared" si="0"/>
        <v>8</v>
      </c>
      <c r="V5" s="67">
        <f t="shared" si="1"/>
        <v>5.2</v>
      </c>
      <c r="W5" s="68">
        <f t="shared" si="2"/>
        <v>-13.2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3</v>
      </c>
      <c r="AY5" s="36">
        <v>40</v>
      </c>
      <c r="AZ5" s="47" t="s">
        <v>143</v>
      </c>
      <c r="BA5" s="48" t="s">
        <v>82</v>
      </c>
      <c r="BB5" s="48" t="s">
        <v>81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157</v>
      </c>
      <c r="F6" s="8" t="s">
        <v>142</v>
      </c>
      <c r="G6" s="9">
        <v>8000</v>
      </c>
      <c r="H6" s="9"/>
      <c r="I6" s="55">
        <v>0</v>
      </c>
      <c r="J6" s="21">
        <f t="shared" si="6"/>
        <v>51000</v>
      </c>
      <c r="K6" s="8"/>
      <c r="L6" s="9"/>
      <c r="M6" s="9"/>
      <c r="N6" s="55"/>
      <c r="O6" s="21">
        <f t="shared" si="7"/>
        <v>40200</v>
      </c>
      <c r="P6" s="8" t="s">
        <v>141</v>
      </c>
      <c r="Q6" s="9">
        <v>-8000</v>
      </c>
      <c r="R6" s="9"/>
      <c r="S6" s="55">
        <v>0</v>
      </c>
      <c r="T6" s="21">
        <f t="shared" si="8"/>
        <v>13800</v>
      </c>
      <c r="U6" s="66">
        <f t="shared" si="0"/>
        <v>16</v>
      </c>
      <c r="V6" s="67">
        <f t="shared" si="1"/>
        <v>5.2</v>
      </c>
      <c r="W6" s="68">
        <f t="shared" si="2"/>
        <v>-21.2</v>
      </c>
      <c r="Y6" s="8"/>
      <c r="Z6" s="41"/>
      <c r="AA6" s="32">
        <v>1</v>
      </c>
      <c r="AB6" s="32"/>
      <c r="AC6" s="32">
        <v>5</v>
      </c>
      <c r="AD6" s="36" t="s">
        <v>145</v>
      </c>
      <c r="AE6" s="47" t="s">
        <v>143</v>
      </c>
      <c r="AF6" s="48" t="s">
        <v>103</v>
      </c>
      <c r="AG6" s="48" t="s">
        <v>84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150</v>
      </c>
      <c r="F7" s="8" t="s">
        <v>155</v>
      </c>
      <c r="G7" s="9">
        <v>-12000</v>
      </c>
      <c r="H7" s="9"/>
      <c r="I7" s="55">
        <v>0</v>
      </c>
      <c r="J7" s="21">
        <f t="shared" si="6"/>
        <v>39000</v>
      </c>
      <c r="K7" s="8" t="s">
        <v>155</v>
      </c>
      <c r="L7" s="9">
        <v>-12000</v>
      </c>
      <c r="M7" s="9"/>
      <c r="N7" s="55">
        <v>0</v>
      </c>
      <c r="O7" s="21">
        <f t="shared" si="7"/>
        <v>28200</v>
      </c>
      <c r="P7" s="8" t="s">
        <v>156</v>
      </c>
      <c r="Q7" s="9">
        <v>24000</v>
      </c>
      <c r="R7" s="9"/>
      <c r="S7" s="55">
        <v>0</v>
      </c>
      <c r="T7" s="21">
        <f t="shared" si="8"/>
        <v>37800</v>
      </c>
      <c r="U7" s="66">
        <f t="shared" si="0"/>
        <v>4</v>
      </c>
      <c r="V7" s="67">
        <f t="shared" si="1"/>
        <v>-6.8</v>
      </c>
      <c r="W7" s="68">
        <f t="shared" si="2"/>
        <v>2.8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8</v>
      </c>
      <c r="BT7" s="36" t="s">
        <v>145</v>
      </c>
      <c r="BU7" s="47" t="s">
        <v>143</v>
      </c>
      <c r="BV7" s="48" t="s">
        <v>83</v>
      </c>
      <c r="BW7" s="48" t="s">
        <v>80</v>
      </c>
      <c r="BX7" s="48" t="s">
        <v>82</v>
      </c>
      <c r="BY7" s="48" t="s">
        <v>81</v>
      </c>
      <c r="BZ7" s="48" t="s">
        <v>81</v>
      </c>
      <c r="CA7" s="48" t="s">
        <v>81</v>
      </c>
      <c r="CB7" s="48" t="s">
        <v>81</v>
      </c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1</v>
      </c>
      <c r="D8" s="18">
        <f t="shared" si="5"/>
        <v>0</v>
      </c>
      <c r="E8" s="4" t="s">
        <v>150</v>
      </c>
      <c r="F8" s="8"/>
      <c r="G8" s="9"/>
      <c r="H8" s="9"/>
      <c r="I8" s="55"/>
      <c r="J8" s="21">
        <f t="shared" si="6"/>
        <v>39000</v>
      </c>
      <c r="K8" s="8" t="s">
        <v>142</v>
      </c>
      <c r="L8" s="9">
        <v>12000</v>
      </c>
      <c r="M8" s="9"/>
      <c r="N8" s="55">
        <v>1000</v>
      </c>
      <c r="O8" s="21">
        <f t="shared" si="7"/>
        <v>41200</v>
      </c>
      <c r="P8" s="8" t="s">
        <v>141</v>
      </c>
      <c r="Q8" s="9">
        <v>-12000</v>
      </c>
      <c r="R8" s="9"/>
      <c r="S8" s="55">
        <v>-1000</v>
      </c>
      <c r="T8" s="21">
        <f t="shared" si="8"/>
        <v>24800</v>
      </c>
      <c r="U8" s="66">
        <f t="shared" si="0"/>
        <v>4</v>
      </c>
      <c r="V8" s="67">
        <f t="shared" si="1"/>
        <v>6.2</v>
      </c>
      <c r="W8" s="68">
        <f t="shared" si="2"/>
        <v>-10.199999999999999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6</v>
      </c>
      <c r="AY8" s="36" t="s">
        <v>145</v>
      </c>
      <c r="AZ8" s="47" t="s">
        <v>143</v>
      </c>
      <c r="BA8" s="48" t="s">
        <v>144</v>
      </c>
      <c r="BB8" s="48" t="s">
        <v>102</v>
      </c>
      <c r="BC8" s="48" t="s">
        <v>82</v>
      </c>
      <c r="BD8" s="48" t="s">
        <v>82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142</v>
      </c>
      <c r="G9" s="9">
        <v>24000</v>
      </c>
      <c r="H9" s="9"/>
      <c r="I9" s="55">
        <v>0</v>
      </c>
      <c r="J9" s="21">
        <f t="shared" si="6"/>
        <v>63000</v>
      </c>
      <c r="K9" s="8"/>
      <c r="L9" s="9"/>
      <c r="M9" s="9"/>
      <c r="N9" s="55"/>
      <c r="O9" s="21">
        <f t="shared" si="7"/>
        <v>41200</v>
      </c>
      <c r="P9" s="8" t="s">
        <v>141</v>
      </c>
      <c r="Q9" s="9">
        <v>-24000</v>
      </c>
      <c r="R9" s="9"/>
      <c r="S9" s="55">
        <v>0</v>
      </c>
      <c r="T9" s="21">
        <f t="shared" si="8"/>
        <v>800</v>
      </c>
      <c r="U9" s="66">
        <f t="shared" si="0"/>
        <v>28</v>
      </c>
      <c r="V9" s="67">
        <f t="shared" si="1"/>
        <v>6.2</v>
      </c>
      <c r="W9" s="68">
        <f t="shared" si="2"/>
        <v>-34.200000000000003</v>
      </c>
      <c r="Y9" s="8"/>
      <c r="Z9" s="41"/>
      <c r="AA9" s="32">
        <v>1</v>
      </c>
      <c r="AB9" s="32"/>
      <c r="AC9" s="32">
        <v>8</v>
      </c>
      <c r="AD9" s="36" t="s">
        <v>145</v>
      </c>
      <c r="AE9" s="47" t="s">
        <v>143</v>
      </c>
      <c r="AF9" s="48" t="s">
        <v>144</v>
      </c>
      <c r="AG9" s="48" t="s">
        <v>87</v>
      </c>
      <c r="AH9" s="48" t="s">
        <v>82</v>
      </c>
      <c r="AI9" s="48" t="s">
        <v>82</v>
      </c>
      <c r="AJ9" s="48" t="s">
        <v>82</v>
      </c>
      <c r="AK9" s="48" t="s">
        <v>80</v>
      </c>
      <c r="AL9" s="48" t="s">
        <v>80</v>
      </c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1</v>
      </c>
      <c r="D10" s="18">
        <f t="shared" si="5"/>
        <v>0</v>
      </c>
      <c r="E10" s="4" t="s">
        <v>135</v>
      </c>
      <c r="F10" s="8" t="s">
        <v>154</v>
      </c>
      <c r="G10" s="9">
        <v>1500</v>
      </c>
      <c r="H10" s="9">
        <v>-1000</v>
      </c>
      <c r="I10" s="55"/>
      <c r="J10" s="21">
        <f t="shared" si="6"/>
        <v>63500</v>
      </c>
      <c r="K10" s="8" t="s">
        <v>154</v>
      </c>
      <c r="L10" s="9">
        <v>-3000</v>
      </c>
      <c r="M10" s="9"/>
      <c r="N10" s="55"/>
      <c r="O10" s="21">
        <f t="shared" si="7"/>
        <v>38200</v>
      </c>
      <c r="P10" s="8" t="s">
        <v>154</v>
      </c>
      <c r="Q10" s="9">
        <v>1500</v>
      </c>
      <c r="R10" s="9"/>
      <c r="S10" s="55"/>
      <c r="T10" s="21">
        <f t="shared" si="8"/>
        <v>2300</v>
      </c>
      <c r="U10" s="66">
        <f t="shared" si="0"/>
        <v>28.5</v>
      </c>
      <c r="V10" s="67">
        <f t="shared" si="1"/>
        <v>3.2</v>
      </c>
      <c r="W10" s="68">
        <f t="shared" si="2"/>
        <v>-32.700000000000003</v>
      </c>
      <c r="Y10" s="8" t="s">
        <v>152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153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152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2</v>
      </c>
      <c r="D11" s="18">
        <f t="shared" si="5"/>
        <v>1</v>
      </c>
      <c r="E11" s="4" t="s">
        <v>135</v>
      </c>
      <c r="F11" s="8" t="s">
        <v>141</v>
      </c>
      <c r="G11" s="9">
        <v>-5200</v>
      </c>
      <c r="H11" s="9"/>
      <c r="I11" s="55">
        <v>-2000</v>
      </c>
      <c r="J11" s="21">
        <f t="shared" si="6"/>
        <v>56300</v>
      </c>
      <c r="K11" s="8"/>
      <c r="L11" s="9"/>
      <c r="M11" s="9"/>
      <c r="N11" s="55"/>
      <c r="O11" s="21">
        <f t="shared" si="7"/>
        <v>38200</v>
      </c>
      <c r="P11" s="8" t="s">
        <v>142</v>
      </c>
      <c r="Q11" s="9">
        <v>5200</v>
      </c>
      <c r="R11" s="9">
        <v>1000</v>
      </c>
      <c r="S11" s="55">
        <v>2000</v>
      </c>
      <c r="T11" s="21">
        <f t="shared" si="8"/>
        <v>10500</v>
      </c>
      <c r="U11" s="66">
        <f t="shared" si="0"/>
        <v>21.3</v>
      </c>
      <c r="V11" s="67">
        <f t="shared" si="1"/>
        <v>3.2</v>
      </c>
      <c r="W11" s="68">
        <f t="shared" si="2"/>
        <v>-24.5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40</v>
      </c>
      <c r="BU11" s="47" t="s">
        <v>143</v>
      </c>
      <c r="BV11" s="48" t="s">
        <v>87</v>
      </c>
      <c r="BW11" s="48" t="s">
        <v>85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157</v>
      </c>
      <c r="F12" s="8" t="s">
        <v>155</v>
      </c>
      <c r="G12" s="9">
        <v>-6000</v>
      </c>
      <c r="H12" s="9"/>
      <c r="I12" s="55">
        <v>0</v>
      </c>
      <c r="J12" s="21">
        <f t="shared" si="6"/>
        <v>50300</v>
      </c>
      <c r="K12" s="8" t="s">
        <v>155</v>
      </c>
      <c r="L12" s="9">
        <v>-10000</v>
      </c>
      <c r="M12" s="9"/>
      <c r="N12" s="55">
        <v>0</v>
      </c>
      <c r="O12" s="21">
        <f t="shared" si="7"/>
        <v>28200</v>
      </c>
      <c r="P12" s="8" t="s">
        <v>156</v>
      </c>
      <c r="Q12" s="9">
        <v>16000</v>
      </c>
      <c r="R12" s="9"/>
      <c r="S12" s="55">
        <v>0</v>
      </c>
      <c r="T12" s="21">
        <f t="shared" si="8"/>
        <v>26500</v>
      </c>
      <c r="U12" s="66">
        <f t="shared" si="0"/>
        <v>15.3</v>
      </c>
      <c r="V12" s="67">
        <f t="shared" si="1"/>
        <v>-6.8</v>
      </c>
      <c r="W12" s="68">
        <f t="shared" si="2"/>
        <v>-8.5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9</v>
      </c>
      <c r="BT12" s="36" t="s">
        <v>145</v>
      </c>
      <c r="BU12" s="47" t="s">
        <v>143</v>
      </c>
      <c r="BV12" s="48" t="s">
        <v>83</v>
      </c>
      <c r="BW12" s="48" t="s">
        <v>144</v>
      </c>
      <c r="BX12" s="48" t="s">
        <v>81</v>
      </c>
      <c r="BY12" s="48" t="s">
        <v>80</v>
      </c>
      <c r="BZ12" s="48" t="s">
        <v>80</v>
      </c>
      <c r="CA12" s="48" t="s">
        <v>82</v>
      </c>
      <c r="CB12" s="48" t="s">
        <v>86</v>
      </c>
      <c r="CC12" s="48" t="s">
        <v>84</v>
      </c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114AB7A3-E9B7-4439-A208-88C82B93950B}">
      <formula1>"ロン,ツモ,放銃,ツモ支払,流局,チョンボ"</formula1>
    </dataValidation>
    <dataValidation type="list" allowBlank="1" showInputMessage="1" showErrorMessage="1" sqref="E4:E30" xr:uid="{20B66FEE-6EF9-4F83-B559-DF64F74D7EB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830F0-0070-4F3E-A2CD-D6538C0D1C47}">
  <sheetPr codeName="Sheet14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136</v>
      </c>
      <c r="G1" s="92"/>
      <c r="H1" s="92"/>
      <c r="I1" s="101"/>
      <c r="J1" s="93"/>
      <c r="K1" s="90" t="s">
        <v>151</v>
      </c>
      <c r="L1" s="92"/>
      <c r="M1" s="92"/>
      <c r="N1" s="101"/>
      <c r="O1" s="93"/>
      <c r="P1" s="90" t="s">
        <v>140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だいち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れんたろう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いっしー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2" t="str">
        <f>$F$1</f>
        <v>だいち</v>
      </c>
      <c r="V2" s="83" t="str">
        <f>$K$1</f>
        <v>れんたろう</v>
      </c>
      <c r="W2" s="16" t="str">
        <f>$P$1</f>
        <v>いっしー</v>
      </c>
      <c r="Y2" s="78" t="s">
        <v>24</v>
      </c>
      <c r="Z2" s="79" t="s">
        <v>27</v>
      </c>
      <c r="AA2" s="80" t="s">
        <v>25</v>
      </c>
      <c r="AB2" s="80" t="s">
        <v>128</v>
      </c>
      <c r="AC2" s="80" t="s">
        <v>19</v>
      </c>
      <c r="AD2" s="81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78" t="s">
        <v>24</v>
      </c>
      <c r="AU2" s="79" t="s">
        <v>27</v>
      </c>
      <c r="AV2" s="80" t="s">
        <v>25</v>
      </c>
      <c r="AW2" s="80" t="s">
        <v>129</v>
      </c>
      <c r="AX2" s="80" t="s">
        <v>19</v>
      </c>
      <c r="AY2" s="81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78" t="s">
        <v>24</v>
      </c>
      <c r="BP2" s="79" t="s">
        <v>27</v>
      </c>
      <c r="BQ2" s="80" t="s">
        <v>25</v>
      </c>
      <c r="BR2" s="80" t="s">
        <v>129</v>
      </c>
      <c r="BS2" s="80" t="s">
        <v>19</v>
      </c>
      <c r="BT2" s="81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-2600</v>
      </c>
      <c r="M4" s="9"/>
      <c r="N4" s="55">
        <v>0</v>
      </c>
      <c r="O4" s="21">
        <f>IF(COUNTA($F4,$K4,$P4)&gt;0,O3+SUM(L4:N4),"")</f>
        <v>32400</v>
      </c>
      <c r="P4" s="8" t="s">
        <v>142</v>
      </c>
      <c r="Q4" s="9">
        <v>2600</v>
      </c>
      <c r="R4" s="9"/>
      <c r="S4" s="55">
        <v>0</v>
      </c>
      <c r="T4" s="21">
        <f>IF(COUNTA($F4,$K4,$P4)&gt;0,T3+SUM(Q4:S4),"")</f>
        <v>37600</v>
      </c>
      <c r="U4" s="66">
        <f t="shared" ref="U4:U30" si="0">IF($J4="","",ROUND(($J4-$J$3)/1000,1))</f>
        <v>0</v>
      </c>
      <c r="V4" s="67">
        <f t="shared" ref="V4:V30" si="1">IF($O4="","",ROUND(($O4-$O$3)/1000,1))</f>
        <v>-2.6</v>
      </c>
      <c r="W4" s="68">
        <f t="shared" ref="W4:W30" si="2">IF($T4="","",ROUND(($T4-$T$3)/1000,1))</f>
        <v>2.6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2</v>
      </c>
      <c r="BT4" s="36">
        <v>40</v>
      </c>
      <c r="BU4" s="47" t="s">
        <v>143</v>
      </c>
      <c r="BV4" s="48" t="s">
        <v>82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156</v>
      </c>
      <c r="G5" s="9">
        <v>16000</v>
      </c>
      <c r="H5" s="9"/>
      <c r="I5" s="55">
        <v>0</v>
      </c>
      <c r="J5" s="21">
        <f t="shared" ref="J5:J30" si="6">IF(COUNTA($F5,$K5,$P5)&gt;0,J4+SUM(G5:I5),"")</f>
        <v>51000</v>
      </c>
      <c r="K5" s="8" t="s">
        <v>155</v>
      </c>
      <c r="L5" s="9">
        <v>-6000</v>
      </c>
      <c r="M5" s="9"/>
      <c r="N5" s="55">
        <v>0</v>
      </c>
      <c r="O5" s="21">
        <f t="shared" ref="O5:O30" si="7">IF(COUNTA($F5,$K5,$P5)&gt;0,O4+SUM(L5:N5),"")</f>
        <v>26400</v>
      </c>
      <c r="P5" s="8" t="s">
        <v>155</v>
      </c>
      <c r="Q5" s="9">
        <v>-10000</v>
      </c>
      <c r="R5" s="9"/>
      <c r="S5" s="55">
        <v>0</v>
      </c>
      <c r="T5" s="21">
        <f t="shared" ref="T5:T30" si="8">IF(COUNTA($F5,$K5,$P5)&gt;0,T4+SUM(Q5:S5),"")</f>
        <v>27600</v>
      </c>
      <c r="U5" s="66">
        <f t="shared" si="0"/>
        <v>16</v>
      </c>
      <c r="V5" s="67">
        <f t="shared" si="1"/>
        <v>-8.6</v>
      </c>
      <c r="W5" s="68">
        <f t="shared" si="2"/>
        <v>-7.4</v>
      </c>
      <c r="Y5" s="8"/>
      <c r="Z5" s="41"/>
      <c r="AA5" s="32">
        <v>1</v>
      </c>
      <c r="AB5" s="32"/>
      <c r="AC5" s="32">
        <v>9</v>
      </c>
      <c r="AD5" s="36" t="s">
        <v>145</v>
      </c>
      <c r="AE5" s="47" t="s">
        <v>143</v>
      </c>
      <c r="AF5" s="48" t="s">
        <v>83</v>
      </c>
      <c r="AG5" s="48" t="s">
        <v>105</v>
      </c>
      <c r="AH5" s="48" t="s">
        <v>82</v>
      </c>
      <c r="AI5" s="48" t="s">
        <v>82</v>
      </c>
      <c r="AJ5" s="48" t="s">
        <v>80</v>
      </c>
      <c r="AK5" s="48" t="s">
        <v>80</v>
      </c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141</v>
      </c>
      <c r="G6" s="9">
        <v>-8000</v>
      </c>
      <c r="H6" s="9"/>
      <c r="I6" s="55">
        <v>0</v>
      </c>
      <c r="J6" s="21">
        <f t="shared" si="6"/>
        <v>43000</v>
      </c>
      <c r="K6" s="8" t="s">
        <v>142</v>
      </c>
      <c r="L6" s="9">
        <v>8000</v>
      </c>
      <c r="M6" s="9"/>
      <c r="N6" s="55">
        <v>0</v>
      </c>
      <c r="O6" s="21">
        <f t="shared" si="7"/>
        <v>34400</v>
      </c>
      <c r="P6" s="8"/>
      <c r="Q6" s="9"/>
      <c r="R6" s="9"/>
      <c r="S6" s="55"/>
      <c r="T6" s="21">
        <f t="shared" si="8"/>
        <v>27600</v>
      </c>
      <c r="U6" s="66">
        <f t="shared" si="0"/>
        <v>8</v>
      </c>
      <c r="V6" s="67">
        <f t="shared" si="1"/>
        <v>-0.6</v>
      </c>
      <c r="W6" s="68">
        <f t="shared" si="2"/>
        <v>-7.4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40</v>
      </c>
      <c r="AZ6" s="47" t="s">
        <v>143</v>
      </c>
      <c r="BA6" s="48" t="s">
        <v>87</v>
      </c>
      <c r="BB6" s="48" t="s">
        <v>80</v>
      </c>
      <c r="BC6" s="48" t="s">
        <v>80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150</v>
      </c>
      <c r="F7" s="8" t="s">
        <v>142</v>
      </c>
      <c r="G7" s="9">
        <v>2600</v>
      </c>
      <c r="H7" s="9">
        <v>1000</v>
      </c>
      <c r="I7" s="55">
        <v>0</v>
      </c>
      <c r="J7" s="21">
        <f t="shared" si="6"/>
        <v>46600</v>
      </c>
      <c r="K7" s="8"/>
      <c r="L7" s="9"/>
      <c r="M7" s="9">
        <v>-1000</v>
      </c>
      <c r="N7" s="55"/>
      <c r="O7" s="21">
        <f t="shared" si="7"/>
        <v>33400</v>
      </c>
      <c r="P7" s="8" t="s">
        <v>141</v>
      </c>
      <c r="Q7" s="9">
        <v>-2600</v>
      </c>
      <c r="R7" s="9"/>
      <c r="S7" s="55">
        <v>0</v>
      </c>
      <c r="T7" s="21">
        <f t="shared" si="8"/>
        <v>25000</v>
      </c>
      <c r="U7" s="66">
        <f t="shared" si="0"/>
        <v>11.6</v>
      </c>
      <c r="V7" s="67">
        <f t="shared" si="1"/>
        <v>-1.6</v>
      </c>
      <c r="W7" s="68">
        <f t="shared" si="2"/>
        <v>-10</v>
      </c>
      <c r="Y7" s="8"/>
      <c r="Z7" s="41"/>
      <c r="AA7" s="32">
        <v>1</v>
      </c>
      <c r="AB7" s="32"/>
      <c r="AC7" s="32">
        <v>2</v>
      </c>
      <c r="AD7" s="36">
        <v>40</v>
      </c>
      <c r="AE7" s="47" t="s">
        <v>143</v>
      </c>
      <c r="AF7" s="48" t="s">
        <v>144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139</v>
      </c>
      <c r="F8" s="8"/>
      <c r="G8" s="9"/>
      <c r="H8" s="9"/>
      <c r="I8" s="55"/>
      <c r="J8" s="21">
        <f t="shared" si="6"/>
        <v>46600</v>
      </c>
      <c r="K8" s="8" t="s">
        <v>142</v>
      </c>
      <c r="L8" s="9">
        <v>5200</v>
      </c>
      <c r="M8" s="9"/>
      <c r="N8" s="55">
        <v>0</v>
      </c>
      <c r="O8" s="21">
        <f t="shared" si="7"/>
        <v>38600</v>
      </c>
      <c r="P8" s="8" t="s">
        <v>141</v>
      </c>
      <c r="Q8" s="9">
        <v>-5200</v>
      </c>
      <c r="R8" s="9"/>
      <c r="S8" s="55">
        <v>0</v>
      </c>
      <c r="T8" s="21">
        <f t="shared" si="8"/>
        <v>19800</v>
      </c>
      <c r="U8" s="66">
        <f t="shared" si="0"/>
        <v>11.6</v>
      </c>
      <c r="V8" s="67">
        <f t="shared" si="1"/>
        <v>3.6</v>
      </c>
      <c r="W8" s="68">
        <f t="shared" si="2"/>
        <v>-15.2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3</v>
      </c>
      <c r="AY8" s="36">
        <v>40</v>
      </c>
      <c r="AZ8" s="47" t="s">
        <v>143</v>
      </c>
      <c r="BA8" s="48" t="s">
        <v>86</v>
      </c>
      <c r="BB8" s="48" t="s">
        <v>82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135</v>
      </c>
      <c r="F9" s="8"/>
      <c r="G9" s="9"/>
      <c r="H9" s="9"/>
      <c r="I9" s="55"/>
      <c r="J9" s="21">
        <f t="shared" si="6"/>
        <v>46600</v>
      </c>
      <c r="K9" s="8" t="s">
        <v>142</v>
      </c>
      <c r="L9" s="9">
        <v>16000</v>
      </c>
      <c r="M9" s="9"/>
      <c r="N9" s="55">
        <v>0</v>
      </c>
      <c r="O9" s="21">
        <f t="shared" si="7"/>
        <v>54600</v>
      </c>
      <c r="P9" s="8" t="s">
        <v>141</v>
      </c>
      <c r="Q9" s="9">
        <v>-16000</v>
      </c>
      <c r="R9" s="9"/>
      <c r="S9" s="55">
        <v>0</v>
      </c>
      <c r="T9" s="21">
        <f t="shared" si="8"/>
        <v>3800</v>
      </c>
      <c r="U9" s="66">
        <f t="shared" si="0"/>
        <v>11.6</v>
      </c>
      <c r="V9" s="67">
        <f t="shared" si="1"/>
        <v>19.600000000000001</v>
      </c>
      <c r="W9" s="68">
        <f t="shared" si="2"/>
        <v>-31.2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8</v>
      </c>
      <c r="AY9" s="36" t="s">
        <v>145</v>
      </c>
      <c r="AZ9" s="47" t="s">
        <v>143</v>
      </c>
      <c r="BA9" s="48" t="s">
        <v>84</v>
      </c>
      <c r="BB9" s="48" t="s">
        <v>85</v>
      </c>
      <c r="BC9" s="48" t="s">
        <v>80</v>
      </c>
      <c r="BD9" s="48" t="s">
        <v>80</v>
      </c>
      <c r="BE9" s="48" t="s">
        <v>81</v>
      </c>
      <c r="BF9" s="48" t="s">
        <v>81</v>
      </c>
      <c r="BG9" s="48" t="s">
        <v>81</v>
      </c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3E512ABD-1652-4BB0-9195-75D692029CEF}">
      <formula1>$U$2:$W$2</formula1>
    </dataValidation>
    <dataValidation type="list" showInputMessage="1" showErrorMessage="1" sqref="K4:K30 P4:P30 F4:F30" xr:uid="{208EE116-6954-4CA9-B0B5-8CEEC8A6458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E561E-E0B9-4DD8-8F65-DEC07EB9187A}">
  <sheetPr codeName="Sheet15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162</v>
      </c>
      <c r="G1" s="92"/>
      <c r="H1" s="92"/>
      <c r="I1" s="101"/>
      <c r="J1" s="93"/>
      <c r="K1" s="90" t="s">
        <v>160</v>
      </c>
      <c r="L1" s="92"/>
      <c r="M1" s="92"/>
      <c r="N1" s="101"/>
      <c r="O1" s="93"/>
      <c r="P1" s="90" t="s">
        <v>158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あさひ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ただ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りくと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8" t="str">
        <f>$F$1</f>
        <v>あさひ</v>
      </c>
      <c r="V2" s="89" t="str">
        <f>$K$1</f>
        <v>ただ</v>
      </c>
      <c r="W2" s="16" t="str">
        <f>$P$1</f>
        <v>りくと</v>
      </c>
      <c r="Y2" s="84" t="s">
        <v>24</v>
      </c>
      <c r="Z2" s="85" t="s">
        <v>27</v>
      </c>
      <c r="AA2" s="86" t="s">
        <v>25</v>
      </c>
      <c r="AB2" s="86" t="s">
        <v>128</v>
      </c>
      <c r="AC2" s="86" t="s">
        <v>19</v>
      </c>
      <c r="AD2" s="87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84" t="s">
        <v>24</v>
      </c>
      <c r="AU2" s="85" t="s">
        <v>27</v>
      </c>
      <c r="AV2" s="86" t="s">
        <v>25</v>
      </c>
      <c r="AW2" s="86" t="s">
        <v>129</v>
      </c>
      <c r="AX2" s="86" t="s">
        <v>19</v>
      </c>
      <c r="AY2" s="87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84" t="s">
        <v>24</v>
      </c>
      <c r="BP2" s="85" t="s">
        <v>27</v>
      </c>
      <c r="BQ2" s="86" t="s">
        <v>25</v>
      </c>
      <c r="BR2" s="86" t="s">
        <v>129</v>
      </c>
      <c r="BS2" s="86" t="s">
        <v>19</v>
      </c>
      <c r="BT2" s="87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159</v>
      </c>
      <c r="F4" s="8" t="s">
        <v>156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155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155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6">
        <f t="shared" ref="U4:U30" si="0">IF($J4="","",ROUND(($J4-$J$3)/1000,1))</f>
        <v>8</v>
      </c>
      <c r="V4" s="67">
        <f t="shared" ref="V4:V30" si="1">IF($O4="","",ROUND(($O4-$O$3)/1000,1))</f>
        <v>-5</v>
      </c>
      <c r="W4" s="68">
        <f t="shared" ref="W4:W30" si="2">IF($T4="","",ROUND(($T4-$T$3)/1000,1))</f>
        <v>-3</v>
      </c>
      <c r="Y4" s="8"/>
      <c r="Z4" s="41"/>
      <c r="AA4" s="32"/>
      <c r="AB4" s="32"/>
      <c r="AC4" s="32">
        <v>4</v>
      </c>
      <c r="AD4" s="36">
        <v>30</v>
      </c>
      <c r="AE4" s="47" t="s">
        <v>83</v>
      </c>
      <c r="AF4" s="48" t="s">
        <v>87</v>
      </c>
      <c r="AG4" s="48" t="s">
        <v>80</v>
      </c>
      <c r="AH4" s="48" t="s">
        <v>80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157</v>
      </c>
      <c r="F5" s="8" t="s">
        <v>142</v>
      </c>
      <c r="G5" s="9">
        <v>2000</v>
      </c>
      <c r="H5" s="9"/>
      <c r="I5" s="55"/>
      <c r="J5" s="21">
        <f t="shared" ref="J5:J30" si="6">IF(COUNTA($F5,$K5,$P5)&gt;0,J4+SUM(G5:I5),"")</f>
        <v>45000</v>
      </c>
      <c r="K5" s="8" t="s">
        <v>141</v>
      </c>
      <c r="L5" s="9">
        <v>-14000</v>
      </c>
      <c r="M5" s="9"/>
      <c r="N5" s="55">
        <v>0</v>
      </c>
      <c r="O5" s="21">
        <f t="shared" ref="O5:O30" si="7">IF(COUNTA($F5,$K5,$P5)&gt;0,O4+SUM(L5:N5),"")</f>
        <v>16000</v>
      </c>
      <c r="P5" s="8" t="s">
        <v>142</v>
      </c>
      <c r="Q5" s="9">
        <v>12000</v>
      </c>
      <c r="R5" s="9"/>
      <c r="S5" s="55">
        <v>0</v>
      </c>
      <c r="T5" s="21">
        <f t="shared" ref="T5:T30" si="8">IF(COUNTA($F5,$K5,$P5)&gt;0,T4+SUM(Q5:S5),"")</f>
        <v>44000</v>
      </c>
      <c r="U5" s="66">
        <f t="shared" si="0"/>
        <v>10</v>
      </c>
      <c r="V5" s="67">
        <f t="shared" si="1"/>
        <v>-19</v>
      </c>
      <c r="W5" s="68">
        <f t="shared" si="2"/>
        <v>9</v>
      </c>
      <c r="Y5" s="8"/>
      <c r="Z5" s="41"/>
      <c r="AA5" s="32">
        <v>1</v>
      </c>
      <c r="AB5" s="32"/>
      <c r="AC5" s="32">
        <v>2</v>
      </c>
      <c r="AD5" s="36">
        <v>30</v>
      </c>
      <c r="AE5" s="47" t="s">
        <v>87</v>
      </c>
      <c r="AF5" s="48" t="s">
        <v>87</v>
      </c>
      <c r="AG5" s="48" t="s">
        <v>82</v>
      </c>
      <c r="AH5" s="48" t="s">
        <v>82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4</v>
      </c>
      <c r="BT5" s="36">
        <v>30</v>
      </c>
      <c r="BU5" s="47" t="s">
        <v>87</v>
      </c>
      <c r="BV5" s="48" t="s">
        <v>87</v>
      </c>
      <c r="BW5" s="48" t="s">
        <v>82</v>
      </c>
      <c r="BX5" s="48" t="s">
        <v>82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157</v>
      </c>
      <c r="F6" s="8" t="s">
        <v>156</v>
      </c>
      <c r="G6" s="9">
        <v>8000</v>
      </c>
      <c r="H6" s="9"/>
      <c r="I6" s="55">
        <v>1000</v>
      </c>
      <c r="J6" s="21">
        <f t="shared" si="6"/>
        <v>54000</v>
      </c>
      <c r="K6" s="8" t="s">
        <v>155</v>
      </c>
      <c r="L6" s="9">
        <v>-3000</v>
      </c>
      <c r="M6" s="9"/>
      <c r="N6" s="55">
        <v>-500</v>
      </c>
      <c r="O6" s="21">
        <f t="shared" si="7"/>
        <v>12500</v>
      </c>
      <c r="P6" s="8" t="s">
        <v>155</v>
      </c>
      <c r="Q6" s="9">
        <v>-5000</v>
      </c>
      <c r="R6" s="9"/>
      <c r="S6" s="55">
        <v>-500</v>
      </c>
      <c r="T6" s="21">
        <f t="shared" si="8"/>
        <v>38500</v>
      </c>
      <c r="U6" s="66">
        <f t="shared" si="0"/>
        <v>19</v>
      </c>
      <c r="V6" s="67">
        <f t="shared" si="1"/>
        <v>-22.5</v>
      </c>
      <c r="W6" s="68">
        <f t="shared" si="2"/>
        <v>3.5</v>
      </c>
      <c r="Y6" s="8"/>
      <c r="Z6" s="41"/>
      <c r="AA6" s="32"/>
      <c r="AB6" s="32">
        <v>1</v>
      </c>
      <c r="AC6" s="32">
        <v>5</v>
      </c>
      <c r="AD6" s="36" t="s">
        <v>145</v>
      </c>
      <c r="AE6" s="47" t="s">
        <v>82</v>
      </c>
      <c r="AF6" s="48" t="s">
        <v>87</v>
      </c>
      <c r="AG6" s="48" t="s">
        <v>87</v>
      </c>
      <c r="AH6" s="48" t="s">
        <v>105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161</v>
      </c>
      <c r="F7" s="8" t="s">
        <v>155</v>
      </c>
      <c r="G7" s="9">
        <v>-5000</v>
      </c>
      <c r="H7" s="9"/>
      <c r="I7" s="55">
        <v>0</v>
      </c>
      <c r="J7" s="21">
        <f t="shared" si="6"/>
        <v>49000</v>
      </c>
      <c r="K7" s="8" t="s">
        <v>156</v>
      </c>
      <c r="L7" s="9">
        <v>8000</v>
      </c>
      <c r="M7" s="9"/>
      <c r="N7" s="55">
        <v>0</v>
      </c>
      <c r="O7" s="21">
        <f t="shared" si="7"/>
        <v>20500</v>
      </c>
      <c r="P7" s="8" t="s">
        <v>155</v>
      </c>
      <c r="Q7" s="9">
        <v>-3000</v>
      </c>
      <c r="R7" s="9"/>
      <c r="S7" s="55">
        <v>0</v>
      </c>
      <c r="T7" s="21">
        <f t="shared" si="8"/>
        <v>35500</v>
      </c>
      <c r="U7" s="66">
        <f t="shared" si="0"/>
        <v>14</v>
      </c>
      <c r="V7" s="67">
        <f t="shared" si="1"/>
        <v>-14.5</v>
      </c>
      <c r="W7" s="68">
        <f t="shared" si="2"/>
        <v>0.5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5</v>
      </c>
      <c r="AY7" s="36" t="s">
        <v>145</v>
      </c>
      <c r="AZ7" s="47" t="s">
        <v>143</v>
      </c>
      <c r="BA7" s="48" t="s">
        <v>83</v>
      </c>
      <c r="BB7" s="48" t="s">
        <v>97</v>
      </c>
      <c r="BC7" s="48" t="s">
        <v>87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159</v>
      </c>
      <c r="F8" s="8"/>
      <c r="G8" s="9"/>
      <c r="H8" s="9"/>
      <c r="I8" s="55"/>
      <c r="J8" s="21">
        <f t="shared" si="6"/>
        <v>49000</v>
      </c>
      <c r="K8" s="8" t="s">
        <v>142</v>
      </c>
      <c r="L8" s="9">
        <v>12000</v>
      </c>
      <c r="M8" s="9"/>
      <c r="N8" s="55">
        <v>0</v>
      </c>
      <c r="O8" s="21">
        <f t="shared" si="7"/>
        <v>32500</v>
      </c>
      <c r="P8" s="8" t="s">
        <v>141</v>
      </c>
      <c r="Q8" s="9">
        <v>-12000</v>
      </c>
      <c r="R8" s="9"/>
      <c r="S8" s="55">
        <v>0</v>
      </c>
      <c r="T8" s="21">
        <f t="shared" si="8"/>
        <v>23500</v>
      </c>
      <c r="U8" s="66">
        <f t="shared" si="0"/>
        <v>14</v>
      </c>
      <c r="V8" s="67">
        <f t="shared" si="1"/>
        <v>-2.5</v>
      </c>
      <c r="W8" s="68">
        <f t="shared" si="2"/>
        <v>-11.5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4</v>
      </c>
      <c r="AY8" s="36">
        <v>40</v>
      </c>
      <c r="AZ8" s="47" t="s">
        <v>143</v>
      </c>
      <c r="BA8" s="48" t="s">
        <v>144</v>
      </c>
      <c r="BB8" s="48" t="s">
        <v>87</v>
      </c>
      <c r="BC8" s="48" t="s">
        <v>86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159</v>
      </c>
      <c r="F9" s="8" t="s">
        <v>142</v>
      </c>
      <c r="G9" s="9">
        <v>5200</v>
      </c>
      <c r="H9" s="9"/>
      <c r="I9" s="55">
        <v>1000</v>
      </c>
      <c r="J9" s="21">
        <f t="shared" si="6"/>
        <v>55200</v>
      </c>
      <c r="K9" s="8"/>
      <c r="L9" s="9"/>
      <c r="M9" s="9"/>
      <c r="N9" s="55"/>
      <c r="O9" s="21">
        <f t="shared" si="7"/>
        <v>32500</v>
      </c>
      <c r="P9" s="8" t="s">
        <v>141</v>
      </c>
      <c r="Q9" s="9">
        <v>-5200</v>
      </c>
      <c r="R9" s="9"/>
      <c r="S9" s="55">
        <v>-1000</v>
      </c>
      <c r="T9" s="21">
        <f t="shared" si="8"/>
        <v>17300</v>
      </c>
      <c r="U9" s="66">
        <f t="shared" si="0"/>
        <v>20.2</v>
      </c>
      <c r="V9" s="67">
        <f t="shared" si="1"/>
        <v>-2.5</v>
      </c>
      <c r="W9" s="68">
        <f t="shared" si="2"/>
        <v>-17.7</v>
      </c>
      <c r="Y9" s="8"/>
      <c r="Z9" s="41"/>
      <c r="AA9" s="32">
        <v>1</v>
      </c>
      <c r="AB9" s="32"/>
      <c r="AC9" s="32">
        <v>3</v>
      </c>
      <c r="AD9" s="36">
        <v>40</v>
      </c>
      <c r="AE9" s="47" t="s">
        <v>143</v>
      </c>
      <c r="AF9" s="48" t="s">
        <v>144</v>
      </c>
      <c r="AG9" s="48" t="s">
        <v>81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157</v>
      </c>
      <c r="F10" s="8" t="s">
        <v>155</v>
      </c>
      <c r="G10" s="9">
        <v>-9000</v>
      </c>
      <c r="H10" s="9"/>
      <c r="I10" s="55">
        <v>0</v>
      </c>
      <c r="J10" s="21">
        <f t="shared" si="6"/>
        <v>46200</v>
      </c>
      <c r="K10" s="8" t="s">
        <v>155</v>
      </c>
      <c r="L10" s="9">
        <v>-9000</v>
      </c>
      <c r="M10" s="9">
        <v>-1000</v>
      </c>
      <c r="N10" s="55">
        <v>0</v>
      </c>
      <c r="O10" s="21">
        <f t="shared" si="7"/>
        <v>22500</v>
      </c>
      <c r="P10" s="8" t="s">
        <v>156</v>
      </c>
      <c r="Q10" s="9">
        <v>18000</v>
      </c>
      <c r="R10" s="9">
        <v>1000</v>
      </c>
      <c r="S10" s="55">
        <v>0</v>
      </c>
      <c r="T10" s="21">
        <f t="shared" si="8"/>
        <v>36300</v>
      </c>
      <c r="U10" s="66">
        <f t="shared" si="0"/>
        <v>11.2</v>
      </c>
      <c r="V10" s="67">
        <f t="shared" si="1"/>
        <v>-12.5</v>
      </c>
      <c r="W10" s="68">
        <f t="shared" si="2"/>
        <v>1.3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145</v>
      </c>
      <c r="BU10" s="47" t="s">
        <v>143</v>
      </c>
      <c r="BV10" s="48" t="s">
        <v>102</v>
      </c>
      <c r="BW10" s="48" t="s">
        <v>82</v>
      </c>
      <c r="BX10" s="48" t="s">
        <v>82</v>
      </c>
      <c r="BY10" s="48" t="s">
        <v>81</v>
      </c>
      <c r="BZ10" s="48" t="s">
        <v>81</v>
      </c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1</v>
      </c>
      <c r="D11" s="18">
        <f t="shared" si="5"/>
        <v>0</v>
      </c>
      <c r="E11" s="4" t="s">
        <v>157</v>
      </c>
      <c r="F11" s="8"/>
      <c r="G11" s="9"/>
      <c r="H11" s="9"/>
      <c r="I11" s="55"/>
      <c r="J11" s="21">
        <f t="shared" si="6"/>
        <v>46200</v>
      </c>
      <c r="K11" s="8" t="s">
        <v>141</v>
      </c>
      <c r="L11" s="9">
        <v>-12000</v>
      </c>
      <c r="M11" s="9"/>
      <c r="N11" s="55">
        <v>-1000</v>
      </c>
      <c r="O11" s="21">
        <f t="shared" si="7"/>
        <v>9500</v>
      </c>
      <c r="P11" s="8" t="s">
        <v>142</v>
      </c>
      <c r="Q11" s="9">
        <v>12000</v>
      </c>
      <c r="R11" s="9"/>
      <c r="S11" s="55">
        <v>1000</v>
      </c>
      <c r="T11" s="21">
        <f t="shared" si="8"/>
        <v>49300</v>
      </c>
      <c r="U11" s="66">
        <f t="shared" si="0"/>
        <v>11.2</v>
      </c>
      <c r="V11" s="67">
        <f t="shared" si="1"/>
        <v>-25.5</v>
      </c>
      <c r="W11" s="68">
        <f t="shared" si="2"/>
        <v>14.3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4</v>
      </c>
      <c r="BT11" s="36">
        <v>30</v>
      </c>
      <c r="BU11" s="47" t="s">
        <v>143</v>
      </c>
      <c r="BV11" s="48" t="s">
        <v>86</v>
      </c>
      <c r="BW11" s="48" t="s">
        <v>84</v>
      </c>
      <c r="BX11" s="48" t="s">
        <v>144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2</v>
      </c>
      <c r="D12" s="18">
        <f t="shared" si="5"/>
        <v>0</v>
      </c>
      <c r="E12" s="4" t="s">
        <v>157</v>
      </c>
      <c r="F12" s="8"/>
      <c r="G12" s="9"/>
      <c r="H12" s="9">
        <v>-1000</v>
      </c>
      <c r="I12" s="55"/>
      <c r="J12" s="21">
        <f t="shared" si="6"/>
        <v>45200</v>
      </c>
      <c r="K12" s="8" t="s">
        <v>142</v>
      </c>
      <c r="L12" s="9">
        <v>1000</v>
      </c>
      <c r="M12" s="9">
        <v>1000</v>
      </c>
      <c r="N12" s="55">
        <v>2000</v>
      </c>
      <c r="O12" s="21">
        <f t="shared" si="7"/>
        <v>13500</v>
      </c>
      <c r="P12" s="8" t="s">
        <v>141</v>
      </c>
      <c r="Q12" s="9">
        <v>-1000</v>
      </c>
      <c r="R12" s="9"/>
      <c r="S12" s="55">
        <v>-2000</v>
      </c>
      <c r="T12" s="21">
        <f t="shared" si="8"/>
        <v>46300</v>
      </c>
      <c r="U12" s="66">
        <f t="shared" si="0"/>
        <v>10.199999999999999</v>
      </c>
      <c r="V12" s="67">
        <f t="shared" si="1"/>
        <v>-21.5</v>
      </c>
      <c r="W12" s="68">
        <f t="shared" si="2"/>
        <v>11.3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1</v>
      </c>
      <c r="AY12" s="36">
        <v>30</v>
      </c>
      <c r="AZ12" s="47" t="s">
        <v>87</v>
      </c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161</v>
      </c>
      <c r="F13" s="8" t="s">
        <v>154</v>
      </c>
      <c r="G13" s="9">
        <v>-3000</v>
      </c>
      <c r="H13" s="9"/>
      <c r="I13" s="55"/>
      <c r="J13" s="21">
        <f t="shared" si="6"/>
        <v>42200</v>
      </c>
      <c r="K13" s="8" t="s">
        <v>154</v>
      </c>
      <c r="L13" s="9">
        <v>1500</v>
      </c>
      <c r="M13" s="9"/>
      <c r="N13" s="55"/>
      <c r="O13" s="21">
        <f t="shared" si="7"/>
        <v>15000</v>
      </c>
      <c r="P13" s="8" t="s">
        <v>154</v>
      </c>
      <c r="Q13" s="9">
        <v>1500</v>
      </c>
      <c r="R13" s="9">
        <v>-1000</v>
      </c>
      <c r="S13" s="55"/>
      <c r="T13" s="21">
        <f t="shared" si="8"/>
        <v>46800</v>
      </c>
      <c r="U13" s="66">
        <f t="shared" si="0"/>
        <v>7.2</v>
      </c>
      <c r="V13" s="67">
        <f t="shared" si="1"/>
        <v>-20</v>
      </c>
      <c r="W13" s="68">
        <f t="shared" si="2"/>
        <v>11.8</v>
      </c>
      <c r="Y13" s="8" t="s">
        <v>153</v>
      </c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 t="s">
        <v>152</v>
      </c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 t="s">
        <v>152</v>
      </c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DA95335A-9EEF-49E2-BC9A-9E944822831B}">
      <formula1>"ロン,ツモ,放銃,ツモ支払,流局,チョンボ"</formula1>
    </dataValidation>
    <dataValidation type="list" allowBlank="1" showInputMessage="1" showErrorMessage="1" sqref="E4:E30" xr:uid="{3322AA84-08A0-474B-AEA6-9B33E665D35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0DFF-88EE-4D2B-B014-4AA65E9F3CE6}">
  <sheetPr codeName="Sheet16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162</v>
      </c>
      <c r="G1" s="92"/>
      <c r="H1" s="92"/>
      <c r="I1" s="101"/>
      <c r="J1" s="93"/>
      <c r="K1" s="90" t="s">
        <v>160</v>
      </c>
      <c r="L1" s="92"/>
      <c r="M1" s="92"/>
      <c r="N1" s="101"/>
      <c r="O1" s="93"/>
      <c r="P1" s="90" t="s">
        <v>158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あさひ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ただ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りくと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8" t="str">
        <f>$F$1</f>
        <v>あさひ</v>
      </c>
      <c r="V2" s="89" t="str">
        <f>$K$1</f>
        <v>ただ</v>
      </c>
      <c r="W2" s="16" t="str">
        <f>$P$1</f>
        <v>りくと</v>
      </c>
      <c r="Y2" s="84" t="s">
        <v>24</v>
      </c>
      <c r="Z2" s="85" t="s">
        <v>27</v>
      </c>
      <c r="AA2" s="86" t="s">
        <v>25</v>
      </c>
      <c r="AB2" s="86" t="s">
        <v>128</v>
      </c>
      <c r="AC2" s="86" t="s">
        <v>19</v>
      </c>
      <c r="AD2" s="87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84" t="s">
        <v>24</v>
      </c>
      <c r="AU2" s="85" t="s">
        <v>27</v>
      </c>
      <c r="AV2" s="86" t="s">
        <v>25</v>
      </c>
      <c r="AW2" s="86" t="s">
        <v>129</v>
      </c>
      <c r="AX2" s="86" t="s">
        <v>19</v>
      </c>
      <c r="AY2" s="87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84" t="s">
        <v>24</v>
      </c>
      <c r="BP2" s="85" t="s">
        <v>27</v>
      </c>
      <c r="BQ2" s="86" t="s">
        <v>25</v>
      </c>
      <c r="BR2" s="86" t="s">
        <v>129</v>
      </c>
      <c r="BS2" s="86" t="s">
        <v>19</v>
      </c>
      <c r="BT2" s="87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159</v>
      </c>
      <c r="F4" s="8" t="s">
        <v>141</v>
      </c>
      <c r="G4" s="9">
        <v>-2900</v>
      </c>
      <c r="H4" s="9">
        <v>-1000</v>
      </c>
      <c r="I4" s="55">
        <v>0</v>
      </c>
      <c r="J4" s="21">
        <f>IF(COUNTA($F4,$K4,$P4)&gt;0,J3+SUM(G4:I4),"")</f>
        <v>31100</v>
      </c>
      <c r="K4" s="8" t="s">
        <v>142</v>
      </c>
      <c r="L4" s="9">
        <v>2900</v>
      </c>
      <c r="M4" s="9">
        <v>1000</v>
      </c>
      <c r="N4" s="55">
        <v>0</v>
      </c>
      <c r="O4" s="21">
        <f>IF(COUNTA($F4,$K4,$P4)&gt;0,O3+SUM(L4:N4),"")</f>
        <v>38900</v>
      </c>
      <c r="P4" s="8"/>
      <c r="Q4" s="9"/>
      <c r="R4" s="9"/>
      <c r="S4" s="55"/>
      <c r="T4" s="21">
        <f>IF(COUNTA($F4,$K4,$P4)&gt;0,T3+SUM(Q4:S4),"")</f>
        <v>35000</v>
      </c>
      <c r="U4" s="66">
        <f t="shared" ref="U4:U30" si="0">IF($J4="","",ROUND(($J4-$J$3)/1000,1))</f>
        <v>-3.9</v>
      </c>
      <c r="V4" s="67">
        <f t="shared" ref="V4:V30" si="1">IF($O4="","",ROUND(($O4-$O$3)/1000,1))</f>
        <v>3.9</v>
      </c>
      <c r="W4" s="68">
        <f t="shared" ref="W4:W30" si="2">IF($T4="","",ROUND(($T4-$T$3)/1000,1))</f>
        <v>0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2</v>
      </c>
      <c r="AY4" s="36">
        <v>30</v>
      </c>
      <c r="AZ4" s="47" t="s">
        <v>87</v>
      </c>
      <c r="BA4" s="48" t="s">
        <v>82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159</v>
      </c>
      <c r="F5" s="8" t="s">
        <v>155</v>
      </c>
      <c r="G5" s="9">
        <v>-3000</v>
      </c>
      <c r="H5" s="9">
        <v>-1000</v>
      </c>
      <c r="I5" s="55">
        <v>-500</v>
      </c>
      <c r="J5" s="21">
        <f t="shared" ref="J5:J30" si="6">IF(COUNTA($F5,$K5,$P5)&gt;0,J4+SUM(G5:I5),"")</f>
        <v>26600</v>
      </c>
      <c r="K5" s="8" t="s">
        <v>155</v>
      </c>
      <c r="L5" s="9">
        <v>-5000</v>
      </c>
      <c r="M5" s="9"/>
      <c r="N5" s="55">
        <v>-500</v>
      </c>
      <c r="O5" s="21">
        <f t="shared" ref="O5:O30" si="7">IF(COUNTA($F5,$K5,$P5)&gt;0,O4+SUM(L5:N5),"")</f>
        <v>33400</v>
      </c>
      <c r="P5" s="8" t="s">
        <v>156</v>
      </c>
      <c r="Q5" s="9">
        <v>8000</v>
      </c>
      <c r="R5" s="9">
        <v>1000</v>
      </c>
      <c r="S5" s="55">
        <v>1000</v>
      </c>
      <c r="T5" s="21">
        <f t="shared" ref="T5:T30" si="8">IF(COUNTA($F5,$K5,$P5)&gt;0,T4+SUM(Q5:S5),"")</f>
        <v>45000</v>
      </c>
      <c r="U5" s="66">
        <f t="shared" si="0"/>
        <v>-8.4</v>
      </c>
      <c r="V5" s="67">
        <f t="shared" si="1"/>
        <v>-1.6</v>
      </c>
      <c r="W5" s="68">
        <f t="shared" si="2"/>
        <v>10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145</v>
      </c>
      <c r="BU5" s="47" t="s">
        <v>143</v>
      </c>
      <c r="BV5" s="48" t="s">
        <v>83</v>
      </c>
      <c r="BW5" s="48" t="s">
        <v>80</v>
      </c>
      <c r="BX5" s="48" t="s">
        <v>81</v>
      </c>
      <c r="BY5" s="48" t="s">
        <v>84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157</v>
      </c>
      <c r="F6" s="8"/>
      <c r="G6" s="9"/>
      <c r="H6" s="9"/>
      <c r="I6" s="55"/>
      <c r="J6" s="21">
        <f t="shared" si="6"/>
        <v>26600</v>
      </c>
      <c r="K6" s="8" t="s">
        <v>142</v>
      </c>
      <c r="L6" s="9">
        <v>5200</v>
      </c>
      <c r="M6" s="9"/>
      <c r="N6" s="55">
        <v>0</v>
      </c>
      <c r="O6" s="21">
        <f t="shared" si="7"/>
        <v>38600</v>
      </c>
      <c r="P6" s="8" t="s">
        <v>141</v>
      </c>
      <c r="Q6" s="9">
        <v>-5200</v>
      </c>
      <c r="R6" s="9"/>
      <c r="S6" s="55">
        <v>0</v>
      </c>
      <c r="T6" s="21">
        <f t="shared" si="8"/>
        <v>39800</v>
      </c>
      <c r="U6" s="66">
        <f t="shared" si="0"/>
        <v>-8.4</v>
      </c>
      <c r="V6" s="67">
        <f t="shared" si="1"/>
        <v>3.6</v>
      </c>
      <c r="W6" s="68">
        <f t="shared" si="2"/>
        <v>4.8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3</v>
      </c>
      <c r="AY6" s="36">
        <v>40</v>
      </c>
      <c r="AZ6" s="47" t="s">
        <v>143</v>
      </c>
      <c r="BA6" s="48" t="s">
        <v>82</v>
      </c>
      <c r="BB6" s="48" t="s">
        <v>82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161</v>
      </c>
      <c r="F7" s="8"/>
      <c r="G7" s="9"/>
      <c r="H7" s="9"/>
      <c r="I7" s="55"/>
      <c r="J7" s="21">
        <f t="shared" si="6"/>
        <v>26600</v>
      </c>
      <c r="K7" s="8" t="s">
        <v>142</v>
      </c>
      <c r="L7" s="9">
        <v>16000</v>
      </c>
      <c r="M7" s="9"/>
      <c r="N7" s="55">
        <v>0</v>
      </c>
      <c r="O7" s="21">
        <f t="shared" si="7"/>
        <v>54600</v>
      </c>
      <c r="P7" s="8" t="s">
        <v>141</v>
      </c>
      <c r="Q7" s="9">
        <v>-16000</v>
      </c>
      <c r="R7" s="9"/>
      <c r="S7" s="55">
        <v>0</v>
      </c>
      <c r="T7" s="21">
        <f t="shared" si="8"/>
        <v>23800</v>
      </c>
      <c r="U7" s="66">
        <f t="shared" si="0"/>
        <v>-8.4</v>
      </c>
      <c r="V7" s="67">
        <f t="shared" si="1"/>
        <v>19.600000000000001</v>
      </c>
      <c r="W7" s="68">
        <f t="shared" si="2"/>
        <v>-11.2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8</v>
      </c>
      <c r="AY7" s="36" t="s">
        <v>145</v>
      </c>
      <c r="AZ7" s="47" t="s">
        <v>82</v>
      </c>
      <c r="BA7" s="48" t="s">
        <v>82</v>
      </c>
      <c r="BB7" s="48" t="s">
        <v>87</v>
      </c>
      <c r="BC7" s="48" t="s">
        <v>87</v>
      </c>
      <c r="BD7" s="48" t="s">
        <v>105</v>
      </c>
      <c r="BE7" s="48" t="s">
        <v>100</v>
      </c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159</v>
      </c>
      <c r="F8" s="8" t="s">
        <v>156</v>
      </c>
      <c r="G8" s="9">
        <v>16000</v>
      </c>
      <c r="H8" s="9">
        <v>1000</v>
      </c>
      <c r="I8" s="55">
        <v>0</v>
      </c>
      <c r="J8" s="21">
        <f t="shared" si="6"/>
        <v>43600</v>
      </c>
      <c r="K8" s="8" t="s">
        <v>155</v>
      </c>
      <c r="L8" s="9">
        <v>-10000</v>
      </c>
      <c r="M8" s="9"/>
      <c r="N8" s="55">
        <v>0</v>
      </c>
      <c r="O8" s="21">
        <f t="shared" si="7"/>
        <v>44600</v>
      </c>
      <c r="P8" s="8" t="s">
        <v>155</v>
      </c>
      <c r="Q8" s="9">
        <v>-6000</v>
      </c>
      <c r="R8" s="9">
        <v>-1000</v>
      </c>
      <c r="S8" s="55">
        <v>0</v>
      </c>
      <c r="T8" s="21">
        <f t="shared" si="8"/>
        <v>16800</v>
      </c>
      <c r="U8" s="66">
        <f t="shared" si="0"/>
        <v>8.6</v>
      </c>
      <c r="V8" s="67">
        <f t="shared" si="1"/>
        <v>9.6</v>
      </c>
      <c r="W8" s="68">
        <f t="shared" si="2"/>
        <v>-18.2</v>
      </c>
      <c r="Y8" s="8"/>
      <c r="Z8" s="41"/>
      <c r="AA8" s="32"/>
      <c r="AB8" s="32"/>
      <c r="AC8" s="32">
        <v>8</v>
      </c>
      <c r="AD8" s="36" t="s">
        <v>145</v>
      </c>
      <c r="AE8" s="47" t="s">
        <v>83</v>
      </c>
      <c r="AF8" s="48" t="s">
        <v>80</v>
      </c>
      <c r="AG8" s="48" t="s">
        <v>80</v>
      </c>
      <c r="AH8" s="48" t="s">
        <v>80</v>
      </c>
      <c r="AI8" s="48" t="s">
        <v>80</v>
      </c>
      <c r="AJ8" s="48" t="s">
        <v>82</v>
      </c>
      <c r="AK8" s="48" t="s">
        <v>102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157</v>
      </c>
      <c r="F9" s="8" t="s">
        <v>154</v>
      </c>
      <c r="G9" s="9">
        <v>-3000</v>
      </c>
      <c r="H9" s="9"/>
      <c r="I9" s="55"/>
      <c r="J9" s="21">
        <f t="shared" si="6"/>
        <v>40600</v>
      </c>
      <c r="K9" s="8" t="s">
        <v>154</v>
      </c>
      <c r="L9" s="9">
        <v>1500</v>
      </c>
      <c r="M9" s="9">
        <v>-1000</v>
      </c>
      <c r="N9" s="55"/>
      <c r="O9" s="21">
        <f t="shared" si="7"/>
        <v>45100</v>
      </c>
      <c r="P9" s="8" t="s">
        <v>154</v>
      </c>
      <c r="Q9" s="9">
        <v>1500</v>
      </c>
      <c r="R9" s="9"/>
      <c r="S9" s="55"/>
      <c r="T9" s="21">
        <f t="shared" si="8"/>
        <v>18300</v>
      </c>
      <c r="U9" s="66">
        <f t="shared" si="0"/>
        <v>5.6</v>
      </c>
      <c r="V9" s="67">
        <f t="shared" si="1"/>
        <v>10.1</v>
      </c>
      <c r="W9" s="68">
        <f t="shared" si="2"/>
        <v>-16.7</v>
      </c>
      <c r="Y9" s="8" t="s">
        <v>153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152</v>
      </c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152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1</v>
      </c>
      <c r="D10" s="18">
        <f t="shared" si="5"/>
        <v>1</v>
      </c>
      <c r="E10" s="4" t="s">
        <v>157</v>
      </c>
      <c r="F10" s="8" t="s">
        <v>154</v>
      </c>
      <c r="G10" s="9">
        <v>0</v>
      </c>
      <c r="H10" s="9">
        <v>-1000</v>
      </c>
      <c r="I10" s="55"/>
      <c r="J10" s="21">
        <f t="shared" si="6"/>
        <v>39600</v>
      </c>
      <c r="K10" s="8" t="s">
        <v>154</v>
      </c>
      <c r="L10" s="9">
        <v>0</v>
      </c>
      <c r="M10" s="9">
        <v>-1000</v>
      </c>
      <c r="N10" s="55"/>
      <c r="O10" s="21">
        <f t="shared" si="7"/>
        <v>44100</v>
      </c>
      <c r="P10" s="8" t="s">
        <v>154</v>
      </c>
      <c r="Q10" s="9">
        <v>0</v>
      </c>
      <c r="R10" s="9"/>
      <c r="S10" s="55"/>
      <c r="T10" s="21">
        <f t="shared" si="8"/>
        <v>18300</v>
      </c>
      <c r="U10" s="66">
        <f t="shared" si="0"/>
        <v>4.5999999999999996</v>
      </c>
      <c r="V10" s="67">
        <f t="shared" si="1"/>
        <v>9.1</v>
      </c>
      <c r="W10" s="68">
        <f t="shared" si="2"/>
        <v>-16.7</v>
      </c>
      <c r="Y10" s="8" t="s">
        <v>152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152</v>
      </c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152</v>
      </c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2</v>
      </c>
      <c r="D11" s="18">
        <f t="shared" si="5"/>
        <v>3</v>
      </c>
      <c r="E11" s="4" t="s">
        <v>157</v>
      </c>
      <c r="F11" s="8" t="s">
        <v>142</v>
      </c>
      <c r="G11" s="9">
        <v>12000</v>
      </c>
      <c r="H11" s="9">
        <v>3000</v>
      </c>
      <c r="I11" s="55">
        <v>2000</v>
      </c>
      <c r="J11" s="21">
        <f t="shared" si="6"/>
        <v>56600</v>
      </c>
      <c r="K11" s="8" t="s">
        <v>141</v>
      </c>
      <c r="L11" s="9">
        <v>-12000</v>
      </c>
      <c r="M11" s="9"/>
      <c r="N11" s="55">
        <v>-2000</v>
      </c>
      <c r="O11" s="21">
        <f t="shared" si="7"/>
        <v>30100</v>
      </c>
      <c r="P11" s="8"/>
      <c r="Q11" s="9"/>
      <c r="R11" s="9"/>
      <c r="S11" s="55"/>
      <c r="T11" s="21">
        <f t="shared" si="8"/>
        <v>18300</v>
      </c>
      <c r="U11" s="66">
        <f t="shared" si="0"/>
        <v>21.6</v>
      </c>
      <c r="V11" s="67">
        <f t="shared" si="1"/>
        <v>-4.9000000000000004</v>
      </c>
      <c r="W11" s="68">
        <f t="shared" si="2"/>
        <v>-16.7</v>
      </c>
      <c r="Y11" s="8"/>
      <c r="Z11" s="41"/>
      <c r="AA11" s="32">
        <v>1</v>
      </c>
      <c r="AB11" s="32"/>
      <c r="AC11" s="32">
        <v>6</v>
      </c>
      <c r="AD11" s="36" t="s">
        <v>145</v>
      </c>
      <c r="AE11" s="47" t="s">
        <v>143</v>
      </c>
      <c r="AF11" s="48" t="s">
        <v>84</v>
      </c>
      <c r="AG11" s="48" t="s">
        <v>85</v>
      </c>
      <c r="AH11" s="48" t="s">
        <v>82</v>
      </c>
      <c r="AI11" s="48" t="s">
        <v>82</v>
      </c>
      <c r="AJ11" s="48" t="s">
        <v>80</v>
      </c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161</v>
      </c>
      <c r="F12" s="8" t="s">
        <v>142</v>
      </c>
      <c r="G12" s="9">
        <v>2900</v>
      </c>
      <c r="H12" s="9"/>
      <c r="I12" s="55">
        <v>0</v>
      </c>
      <c r="J12" s="21">
        <f t="shared" si="6"/>
        <v>59500</v>
      </c>
      <c r="K12" s="8"/>
      <c r="L12" s="9"/>
      <c r="M12" s="9"/>
      <c r="N12" s="55"/>
      <c r="O12" s="21">
        <f t="shared" si="7"/>
        <v>30100</v>
      </c>
      <c r="P12" s="8" t="s">
        <v>141</v>
      </c>
      <c r="Q12" s="9">
        <v>-2900</v>
      </c>
      <c r="R12" s="9"/>
      <c r="S12" s="55">
        <v>0</v>
      </c>
      <c r="T12" s="21">
        <f t="shared" si="8"/>
        <v>15400</v>
      </c>
      <c r="U12" s="66">
        <f t="shared" si="0"/>
        <v>24.5</v>
      </c>
      <c r="V12" s="67">
        <f t="shared" si="1"/>
        <v>-4.9000000000000004</v>
      </c>
      <c r="W12" s="68">
        <f t="shared" si="2"/>
        <v>-19.600000000000001</v>
      </c>
      <c r="Y12" s="8"/>
      <c r="Z12" s="41"/>
      <c r="AA12" s="32"/>
      <c r="AB12" s="32">
        <v>1</v>
      </c>
      <c r="AC12" s="32">
        <v>2</v>
      </c>
      <c r="AD12" s="36">
        <v>30</v>
      </c>
      <c r="AE12" s="47" t="s">
        <v>87</v>
      </c>
      <c r="AF12" s="48" t="s">
        <v>87</v>
      </c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FB856AC2-3DDB-4BB6-8F0C-1807DC254216}">
      <formula1>$U$2:$W$2</formula1>
    </dataValidation>
    <dataValidation type="list" showInputMessage="1" showErrorMessage="1" sqref="K4:K30 P4:P30 F4:F30" xr:uid="{7B584C7C-8423-415D-98FC-2EBA50EA97F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2019-01-14T16:10:26Z</dcterms:modified>
</cp:coreProperties>
</file>