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FF93A70B-A17A-4D21-BF0C-9405952702B7}" xr6:coauthVersionLast="31" xr6:coauthVersionMax="31" xr10:uidLastSave="{00000000-0000-0000-0000-000000000000}"/>
  <bookViews>
    <workbookView xWindow="0" yWindow="0" windowWidth="28800" windowHeight="12720" activeTab="1" xr2:uid="{4CDB34E1-560F-4998-ABAB-D6F7F2862621}"/>
  </bookViews>
  <sheets>
    <sheet name="Sheet1" sheetId="1" r:id="rId1"/>
    <sheet name="Sheet2" sheetId="16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0" i="16" l="1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W12" i="16" s="1"/>
  <c r="O12" i="16"/>
  <c r="V12" i="16" s="1"/>
  <c r="J12" i="16"/>
  <c r="U12" i="16" s="1"/>
  <c r="D12" i="16"/>
  <c r="D11" i="16"/>
  <c r="D10" i="16"/>
  <c r="D9" i="16"/>
  <c r="D8" i="16"/>
  <c r="C8" i="16"/>
  <c r="C9" i="16" s="1"/>
  <c r="C10" i="16" s="1"/>
  <c r="C11" i="16" s="1"/>
  <c r="C12" i="16" s="1"/>
  <c r="D7" i="16"/>
  <c r="C7" i="16"/>
  <c r="D6" i="16"/>
  <c r="C6" i="16"/>
  <c r="O5" i="16"/>
  <c r="O6" i="16" s="1"/>
  <c r="J5" i="16"/>
  <c r="U5" i="16" s="1"/>
  <c r="D5" i="16"/>
  <c r="C5" i="16"/>
  <c r="B5" i="16"/>
  <c r="B6" i="16" s="1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A5" i="16" l="1"/>
  <c r="V5" i="16"/>
  <c r="B7" i="16"/>
  <c r="V6" i="16"/>
  <c r="O7" i="16"/>
  <c r="J6" i="16"/>
  <c r="T5" i="16"/>
  <c r="A6" i="16"/>
  <c r="W3" i="1"/>
  <c r="V3" i="1"/>
  <c r="U3" i="1"/>
  <c r="B8" i="16" l="1"/>
  <c r="A8" i="16" s="1"/>
  <c r="J7" i="16"/>
  <c r="U6" i="16"/>
  <c r="O8" i="16"/>
  <c r="V7" i="16"/>
  <c r="W5" i="16"/>
  <c r="T6" i="16"/>
  <c r="A7" i="16"/>
  <c r="B5" i="1"/>
  <c r="A5" i="1" s="1"/>
  <c r="D6" i="1"/>
  <c r="C6" i="1"/>
  <c r="B6" i="1"/>
  <c r="A6" i="1" s="1"/>
  <c r="D5" i="1"/>
  <c r="C5" i="1"/>
  <c r="U7" i="16" l="1"/>
  <c r="J8" i="16"/>
  <c r="W6" i="16"/>
  <c r="T7" i="16"/>
  <c r="V8" i="16"/>
  <c r="O9" i="16"/>
  <c r="B9" i="16"/>
  <c r="A9" i="16" s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B10" i="16" l="1"/>
  <c r="A10" i="16" s="1"/>
  <c r="O10" i="16"/>
  <c r="V9" i="16"/>
  <c r="U8" i="16"/>
  <c r="J9" i="16"/>
  <c r="T8" i="16"/>
  <c r="W7" i="16"/>
  <c r="Y1" i="1"/>
  <c r="V10" i="16" l="1"/>
  <c r="O11" i="16"/>
  <c r="V11" i="16" s="1"/>
  <c r="W8" i="16"/>
  <c r="T9" i="16"/>
  <c r="U9" i="16"/>
  <c r="J10" i="16"/>
  <c r="B11" i="16"/>
  <c r="A11" i="16" s="1"/>
  <c r="BO1" i="1"/>
  <c r="AT1" i="1"/>
  <c r="W9" i="16" l="1"/>
  <c r="T10" i="16"/>
  <c r="B12" i="16"/>
  <c r="A12" i="16"/>
  <c r="J11" i="16"/>
  <c r="U11" i="16" s="1"/>
  <c r="U10" i="16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W10" i="16" l="1"/>
  <c r="T11" i="16"/>
  <c r="W11" i="16" s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4" i="1" l="1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W4" i="1"/>
  <c r="V4" i="1"/>
  <c r="J6" i="1"/>
  <c r="T5" i="1"/>
  <c r="O6" i="1"/>
  <c r="B10" i="1"/>
  <c r="W5" i="1" l="1"/>
  <c r="J7" i="1"/>
  <c r="U6" i="1"/>
  <c r="O7" i="1"/>
  <c r="V6" i="1"/>
  <c r="J8" i="1"/>
  <c r="U8" i="1" s="1"/>
  <c r="B11" i="1"/>
  <c r="A11" i="1" s="1"/>
  <c r="A10" i="1"/>
  <c r="O8" i="1"/>
  <c r="V8" i="1" s="1"/>
  <c r="T6" i="1"/>
  <c r="B12" i="1"/>
  <c r="A12" i="1" s="1"/>
  <c r="U7" i="1" l="1"/>
  <c r="V7" i="1"/>
  <c r="T7" i="1"/>
  <c r="W6" i="1"/>
  <c r="J9" i="1"/>
  <c r="T8" i="1"/>
  <c r="W8" i="1" s="1"/>
  <c r="O9" i="1"/>
  <c r="B13" i="1"/>
  <c r="A13" i="1" s="1"/>
  <c r="U9" i="1" l="1"/>
  <c r="V9" i="1"/>
  <c r="W7" i="1"/>
  <c r="J10" i="1"/>
  <c r="J11" i="1"/>
  <c r="U11" i="1" s="1"/>
  <c r="O10" i="1"/>
  <c r="T9" i="1"/>
  <c r="B14" i="1"/>
  <c r="A14" i="1" s="1"/>
  <c r="V10" i="1" l="1"/>
  <c r="U10" i="1"/>
  <c r="W9" i="1"/>
  <c r="O11" i="1"/>
  <c r="J12" i="1"/>
  <c r="T10" i="1"/>
  <c r="U12" i="1" l="1"/>
  <c r="V11" i="1"/>
  <c r="W10" i="1"/>
  <c r="J13" i="1"/>
  <c r="U13" i="1" s="1"/>
  <c r="O12" i="1"/>
  <c r="T11" i="1"/>
  <c r="V12" i="1" l="1"/>
  <c r="W11" i="1"/>
  <c r="J14" i="1"/>
  <c r="U14" i="1" s="1"/>
  <c r="O13" i="1"/>
  <c r="V13" i="1" s="1"/>
  <c r="T12" i="1"/>
  <c r="W12" i="1" l="1"/>
  <c r="O14" i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<sst xmlns="http://schemas.openxmlformats.org/spreadsheetml/2006/main" count="648" uniqueCount="151">
  <si>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</si>
  <si>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</si>
  <si>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</si>
  <si>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</si>
  <si>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</si>
  <si>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</si>
  <si>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</si>
  <si>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</si>
  <si>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</si>
  <si>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</si>
  <si>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</si>
  <si>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</si>
  <si>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</si>
  <si>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</si>
  <si>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</si>
  <si>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</si>
  <si>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</si>
  <si>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</si>
  <si>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</si>
  <si>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</si>
  <si>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</si>
  <si>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</si>
  <si>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</si>
  <si>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</si>
  <si>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</si>
  <si>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</si>
  <si>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</si>
  <si>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</si>
  <si>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</si>
  <si>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</si>
  <si>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</si>
  <si>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</si>
  <si>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</si>
  <si>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</si>
  <si>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</si>
  <si>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</si>
  <si>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</si>
  <si>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</si>
  <si>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</si>
  <si>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</si>
  <si>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</si>
  <si>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</si>
  <si>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</si>
  <si>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</si>
  <si>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</si>
  <si>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</si>
  <si>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</si>
  <si>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</si>
  <si>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</si>
  <si>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</si>
  <si>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</si>
  <si>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</si>
  <si>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</si>
  <si>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</si>
  <si>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</si>
  <si>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</si>
  <si>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</si>
  <si>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</si>
  <si>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</si>
  <si>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</si>
  <si>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</si>
  <si>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</si>
  <si>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</si>
  <si>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</si>
  <si>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</si>
  <si>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</si>
  <si>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</si>
  <si>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</si>
  <si>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</si>
  <si>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</si>
  <si>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</si>
  <si>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</si>
  <si>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</si>
  <si>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</si>
  <si>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</si>
  <si>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</si>
  <si>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</si>
  <si>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</si>
  <si>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</si>
  <si>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</si>
  <si>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</si>
  <si>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</si>
  <si>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</si>
  <si>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</si>
  <si>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</si>
  <si>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</si>
  <si>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</si>
  <si>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</si>
  <si>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</si>
  <si>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</si>
  <si>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</si>
  <si>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</si>
  <si>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</si>
  <si>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</si>
  <si>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</si>
  <si>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</si>
  <si>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</si>
  <si>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</si>
  <si>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</si>
  <si>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</si>
  <si>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</si>
  <si>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</si>
  <si>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</si>
  <si>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</si>
  <si>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</si>
  <si>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</si>
  <si>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</si>
  <si>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</si>
  <si>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</si>
  <si>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</si>
  <si>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</si>
  <si>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</si>
  <si>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</si>
  <si>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</si>
  <si>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</si>
  <si>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</si>
  <si>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</si>
  <si>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</si>
  <si>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</si>
  <si>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</si>
  <si>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</si>
  <si>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</si>
  <si>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</si>
  <si>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</si>
  <si>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</si>
  <si>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</si>
  <si>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</si>
  <si>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</si>
  <si>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</si>
  <si>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</si>
  <si>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</si>
  <si>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</si>
  <si>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</si>
  <si>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</si>
  <si>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</si>
  <si>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</si>
  <si>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</si>
  <si>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たかの</t>
  </si>
  <si>
    <t>たかの</t>
    <phoneticPr fontId="1"/>
  </si>
  <si>
    <t>りくと</t>
  </si>
  <si>
    <t>りくと</t>
    <phoneticPr fontId="1"/>
  </si>
  <si>
    <t>ツモ</t>
  </si>
  <si>
    <t>ツモ支払</t>
  </si>
  <si>
    <t>01</t>
  </si>
  <si>
    <t>ロン</t>
  </si>
  <si>
    <t>放銃</t>
  </si>
  <si>
    <t>*</t>
  </si>
  <si>
    <t>02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</si>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</sst>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りくと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たかの</v>
      </c>
      <c r="W2" s="16" t="str">
        <f>$P$1</f>
        <v>りくと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63">
        <f>IF($J3="","",ROUND(($J3-$J$3)/1000,1))</f>
        <v>0</v>
      </c>
      <c r="V3" s="64">
        <f>IF($O3="","",ROUND(($O3-$O$3)/1000,1))</f>
        <v>0</v>
      </c>
      <c r="W3" s="65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 t="s">
        <v>141</v>
      </c>
      <c r="G4" s="9">
        <v>7800</v>
      </c>
      <c r="H4" s="9"/>
      <c r="I4" s="55">
        <v>0</v>
      </c>
      <c r="J4" s="21">
        <f>IF(COUNTA($F4,$K4,$P4)&gt;0,J3+SUM(G4:I4),"")</f>
        <v>42800</v>
      </c>
      <c r="K4" s="8" t="s">
        <v>142</v>
      </c>
      <c r="L4" s="9">
        <v>-3900</v>
      </c>
      <c r="M4" s="9"/>
      <c r="N4" s="55">
        <v>0</v>
      </c>
      <c r="O4" s="21">
        <f>IF(COUNTA($F4,$K4,$P4)&gt;0,O3+SUM(L4:N4),"")</f>
        <v>31100</v>
      </c>
      <c r="P4" s="8" t="s">
        <v>142</v>
      </c>
      <c r="Q4" s="9">
        <v>-3900</v>
      </c>
      <c r="R4" s="9"/>
      <c r="S4" s="55">
        <v>0</v>
      </c>
      <c r="T4" s="21">
        <f>IF(COUNTA($F4,$K4,$P4)&gt;0,T3+SUM(Q4:S4),"")</f>
        <v>31100</v>
      </c>
      <c r="U4" s="66">
        <f t="shared" ref="U4:U30" si="0">IF($J4="","",ROUND(($J4-$J$3)/1000,1))</f>
        <v>7.8</v>
      </c>
      <c r="V4" s="67">
        <f t="shared" ref="V4:V30" si="1">IF($O4="","",ROUND(($O4-$O$3)/1000,1))</f>
        <v>-3.9</v>
      </c>
      <c r="W4" s="68">
        <f t="shared" ref="W4:W30" si="2">IF($T4="","",ROUND(($T4-$T$3)/1000,1))</f>
        <v>-3.9</v>
      </c>
      <c r="Y4" s="8"/>
      <c r="Z4" s="41"/>
      <c r="AA4" s="32">
        <v>1</v>
      </c>
      <c r="AB4" s="32"/>
      <c r="AC4" s="32">
        <v>4</v>
      </c>
      <c r="AD4" s="36">
        <v>20</v>
      </c>
      <c r="AE4" s="47" t="s">
        <v>143</v>
      </c>
      <c r="AF4" s="48" t="s">
        <v>83</v>
      </c>
      <c r="AG4" s="48" t="s">
        <v>84</v>
      </c>
      <c r="AH4" s="48" t="s">
        <v>81</v>
      </c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6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135</v>
      </c>
      <c r="F5" s="8" t="s">
        <v>144</v>
      </c>
      <c r="G5" s="9">
        <v>3900</v>
      </c>
      <c r="H5" s="9">
        <v>1000</v>
      </c>
      <c r="I5" s="55">
        <v>1000</v>
      </c>
      <c r="J5" s="21">
        <f t="shared" ref="J5:J30" si="6">IF(COUNTA($F5,$K5,$P5)&gt;0,J4+SUM(G5:I5),"")</f>
        <v>48700</v>
      </c>
      <c r="K5" s="8"/>
      <c r="L5" s="9"/>
      <c r="M5" s="9"/>
      <c r="N5" s="55"/>
      <c r="O5" s="21">
        <f t="shared" ref="O5:O30" si="7">IF(COUNTA($F5,$K5,$P5)&gt;0,O4+SUM(L5:N5),"")</f>
        <v>31100</v>
      </c>
      <c r="P5" s="8" t="s">
        <v>145</v>
      </c>
      <c r="Q5" s="9">
        <v>-3900</v>
      </c>
      <c r="R5" s="9">
        <v>-1000</v>
      </c>
      <c r="S5" s="55">
        <v>-1000</v>
      </c>
      <c r="T5" s="21">
        <f t="shared" ref="T5:T30" si="8">IF(COUNTA($F5,$K5,$P5)&gt;0,T4+SUM(Q5:S5),"")</f>
        <v>25200</v>
      </c>
      <c r="U5" s="66">
        <f t="shared" si="0"/>
        <v>13.7</v>
      </c>
      <c r="V5" s="67">
        <f t="shared" si="1"/>
        <v>-3.9</v>
      </c>
      <c r="W5" s="68">
        <f t="shared" si="2"/>
        <v>-9.8000000000000007</v>
      </c>
      <c r="Y5" s="8"/>
      <c r="Z5" s="41"/>
      <c r="AA5" s="32"/>
      <c r="AB5" s="32"/>
      <c r="AC5" s="32">
        <v>2</v>
      </c>
      <c r="AD5" s="36">
        <v>40</v>
      </c>
      <c r="AE5" s="47" t="s">
        <v>85</v>
      </c>
      <c r="AF5" s="48" t="s">
        <v>82</v>
      </c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1</v>
      </c>
      <c r="C6" s="18">
        <f t="shared" si="4"/>
        <v>2</v>
      </c>
      <c r="D6" s="18">
        <f t="shared" si="5"/>
        <v>0</v>
      </c>
      <c r="E6" s="4" t="s">
        <v>135</v>
      </c>
      <c r="F6" s="8"/>
      <c r="G6" s="9"/>
      <c r="H6" s="9"/>
      <c r="I6" s="55"/>
      <c r="J6" s="21">
        <f t="shared" si="6"/>
        <v>48700</v>
      </c>
      <c r="K6" s="8" t="s">
        <v>144</v>
      </c>
      <c r="L6" s="9">
        <v>8000</v>
      </c>
      <c r="M6" s="9"/>
      <c r="N6" s="55">
        <v>2000</v>
      </c>
      <c r="O6" s="21">
        <f t="shared" si="7"/>
        <v>41100</v>
      </c>
      <c r="P6" s="8" t="s">
        <v>145</v>
      </c>
      <c r="Q6" s="9">
        <v>-8000</v>
      </c>
      <c r="R6" s="9"/>
      <c r="S6" s="55">
        <v>-2000</v>
      </c>
      <c r="T6" s="21">
        <f t="shared" si="8"/>
        <v>15200</v>
      </c>
      <c r="U6" s="66">
        <f t="shared" si="0"/>
        <v>13.7</v>
      </c>
      <c r="V6" s="67">
        <f t="shared" si="1"/>
        <v>6.1</v>
      </c>
      <c r="W6" s="68">
        <f t="shared" si="2"/>
        <v>-19.8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>
        <v>4</v>
      </c>
      <c r="AY6" s="36">
        <v>40</v>
      </c>
      <c r="AZ6" s="47" t="s">
        <v>97</v>
      </c>
      <c r="BA6" s="48" t="s">
        <v>82</v>
      </c>
      <c r="BB6" s="48" t="s">
        <v>82</v>
      </c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9"/>
        <v>2</v>
      </c>
      <c r="C7" s="18">
        <f t="shared" ref="C7:C30" si="11">IF($E7="","",IF(F6="チョンボ",C6,IF($E6=$E7,C6+1,0)))</f>
        <v>0</v>
      </c>
      <c r="D7" s="18">
        <f t="shared" si="5"/>
        <v>0</v>
      </c>
      <c r="E7" s="4" t="s">
        <v>137</v>
      </c>
      <c r="F7" s="8" t="s">
        <v>142</v>
      </c>
      <c r="G7" s="9">
        <v>-3000</v>
      </c>
      <c r="H7" s="9"/>
      <c r="I7" s="55">
        <v>0</v>
      </c>
      <c r="J7" s="21">
        <f t="shared" si="6"/>
        <v>45700</v>
      </c>
      <c r="K7" s="8" t="s">
        <v>142</v>
      </c>
      <c r="L7" s="9">
        <v>-5000</v>
      </c>
      <c r="M7" s="9"/>
      <c r="N7" s="55">
        <v>0</v>
      </c>
      <c r="O7" s="21">
        <f t="shared" si="7"/>
        <v>36100</v>
      </c>
      <c r="P7" s="8" t="s">
        <v>141</v>
      </c>
      <c r="Q7" s="9">
        <v>8000</v>
      </c>
      <c r="R7" s="9"/>
      <c r="S7" s="55">
        <v>0</v>
      </c>
      <c r="T7" s="21">
        <f t="shared" si="8"/>
        <v>23200</v>
      </c>
      <c r="U7" s="66">
        <f t="shared" si="0"/>
        <v>10.7</v>
      </c>
      <c r="V7" s="67">
        <f t="shared" si="1"/>
        <v>1.1000000000000001</v>
      </c>
      <c r="W7" s="68">
        <f t="shared" si="2"/>
        <v>-11.8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5</v>
      </c>
      <c r="BT7" s="36" t="s">
        <v>146</v>
      </c>
      <c r="BU7" s="47" t="s">
        <v>143</v>
      </c>
      <c r="BV7" s="48" t="s">
        <v>83</v>
      </c>
      <c r="BW7" s="48" t="s">
        <v>84</v>
      </c>
      <c r="BX7" s="48" t="s">
        <v>80</v>
      </c>
      <c r="BY7" s="48" t="s">
        <v>80</v>
      </c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東</v>
      </c>
      <c r="B8" s="18">
        <f t="shared" si="9"/>
        <v>3</v>
      </c>
      <c r="C8" s="18">
        <f t="shared" si="11"/>
        <v>0</v>
      </c>
      <c r="D8" s="18">
        <f t="shared" si="5"/>
        <v>0</v>
      </c>
      <c r="E8" s="4" t="s">
        <v>139</v>
      </c>
      <c r="F8" s="8" t="s">
        <v>142</v>
      </c>
      <c r="G8" s="9">
        <v>-6000</v>
      </c>
      <c r="H8" s="9">
        <v>-1000</v>
      </c>
      <c r="I8" s="55">
        <v>0</v>
      </c>
      <c r="J8" s="21">
        <f t="shared" si="6"/>
        <v>38700</v>
      </c>
      <c r="K8" s="8" t="s">
        <v>142</v>
      </c>
      <c r="L8" s="9">
        <v>-6000</v>
      </c>
      <c r="M8" s="9">
        <v>-1000</v>
      </c>
      <c r="N8" s="55">
        <v>0</v>
      </c>
      <c r="O8" s="21">
        <f t="shared" si="7"/>
        <v>29100</v>
      </c>
      <c r="P8" s="8" t="s">
        <v>141</v>
      </c>
      <c r="Q8" s="9">
        <v>12000</v>
      </c>
      <c r="R8" s="9">
        <v>2000</v>
      </c>
      <c r="S8" s="55">
        <v>0</v>
      </c>
      <c r="T8" s="21">
        <f t="shared" si="8"/>
        <v>37200</v>
      </c>
      <c r="U8" s="66">
        <f t="shared" si="0"/>
        <v>3.7</v>
      </c>
      <c r="V8" s="67">
        <f t="shared" si="1"/>
        <v>-5.9</v>
      </c>
      <c r="W8" s="68">
        <f t="shared" si="2"/>
        <v>2.2000000000000002</v>
      </c>
      <c r="Y8" s="8"/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>
        <v>4</v>
      </c>
      <c r="BT8" s="36">
        <v>30</v>
      </c>
      <c r="BU8" s="47" t="s">
        <v>87</v>
      </c>
      <c r="BV8" s="48" t="s">
        <v>87</v>
      </c>
      <c r="BW8" s="48" t="s">
        <v>99</v>
      </c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東</v>
      </c>
      <c r="B9" s="18">
        <f t="shared" si="9"/>
        <v>3</v>
      </c>
      <c r="C9" s="18">
        <f t="shared" si="11"/>
        <v>1</v>
      </c>
      <c r="D9" s="18">
        <f t="shared" si="5"/>
        <v>0</v>
      </c>
      <c r="E9" s="4" t="s">
        <v>139</v>
      </c>
      <c r="F9" s="8"/>
      <c r="G9" s="9"/>
      <c r="H9" s="9"/>
      <c r="I9" s="55"/>
      <c r="J9" s="21">
        <f t="shared" si="6"/>
        <v>38700</v>
      </c>
      <c r="K9" s="8" t="s">
        <v>145</v>
      </c>
      <c r="L9" s="9">
        <v>-18000</v>
      </c>
      <c r="M9" s="9"/>
      <c r="N9" s="55">
        <v>-1000</v>
      </c>
      <c r="O9" s="21">
        <f t="shared" si="7"/>
        <v>10100</v>
      </c>
      <c r="P9" s="8" t="s">
        <v>144</v>
      </c>
      <c r="Q9" s="9">
        <v>18000</v>
      </c>
      <c r="R9" s="9"/>
      <c r="S9" s="55">
        <v>1000</v>
      </c>
      <c r="T9" s="21">
        <f t="shared" si="8"/>
        <v>56200</v>
      </c>
      <c r="U9" s="66">
        <f t="shared" si="0"/>
        <v>3.7</v>
      </c>
      <c r="V9" s="67">
        <f t="shared" si="1"/>
        <v>-24.9</v>
      </c>
      <c r="W9" s="68">
        <f t="shared" si="2"/>
        <v>21.2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6</v>
      </c>
      <c r="BT9" s="36" t="s">
        <v>146</v>
      </c>
      <c r="BU9" s="47" t="s">
        <v>143</v>
      </c>
      <c r="BV9" s="48" t="s">
        <v>147</v>
      </c>
      <c r="BW9" s="48" t="s">
        <v>102</v>
      </c>
      <c r="BX9" s="48" t="s">
        <v>82</v>
      </c>
      <c r="BY9" s="48" t="s">
        <v>82</v>
      </c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東</v>
      </c>
      <c r="B10" s="18">
        <f t="shared" si="9"/>
        <v>3</v>
      </c>
      <c r="C10" s="18">
        <f t="shared" si="11"/>
        <v>2</v>
      </c>
      <c r="D10" s="18">
        <f t="shared" si="5"/>
        <v>0</v>
      </c>
      <c r="E10" s="4" t="s">
        <v>139</v>
      </c>
      <c r="F10" s="8" t="s">
        <v>145</v>
      </c>
      <c r="G10" s="9">
        <v>-7700</v>
      </c>
      <c r="H10" s="9"/>
      <c r="I10" s="55">
        <v>-2000</v>
      </c>
      <c r="J10" s="21">
        <f t="shared" si="6"/>
        <v>29000</v>
      </c>
      <c r="K10" s="8"/>
      <c r="L10" s="9"/>
      <c r="M10" s="9"/>
      <c r="N10" s="55"/>
      <c r="O10" s="21">
        <f t="shared" si="7"/>
        <v>10100</v>
      </c>
      <c r="P10" s="8" t="s">
        <v>144</v>
      </c>
      <c r="Q10" s="9">
        <v>7700</v>
      </c>
      <c r="R10" s="9"/>
      <c r="S10" s="55">
        <v>2000</v>
      </c>
      <c r="T10" s="21">
        <f t="shared" si="8"/>
        <v>65900</v>
      </c>
      <c r="U10" s="66">
        <f t="shared" si="0"/>
        <v>-6</v>
      </c>
      <c r="V10" s="67">
        <f t="shared" si="1"/>
        <v>-24.9</v>
      </c>
      <c r="W10" s="68">
        <f t="shared" si="2"/>
        <v>30.9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3</v>
      </c>
      <c r="BT10" s="36">
        <v>40</v>
      </c>
      <c r="BU10" s="47" t="s">
        <v>143</v>
      </c>
      <c r="BV10" s="48" t="s">
        <v>80</v>
      </c>
      <c r="BW10" s="48" t="s">
        <v>81</v>
      </c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東</v>
      </c>
      <c r="B11" s="18">
        <f t="shared" si="9"/>
        <v>3</v>
      </c>
      <c r="C11" s="18">
        <f t="shared" si="11"/>
        <v>3</v>
      </c>
      <c r="D11" s="18">
        <f t="shared" si="5"/>
        <v>0</v>
      </c>
      <c r="E11" s="4" t="s">
        <v>139</v>
      </c>
      <c r="F11" s="8"/>
      <c r="G11" s="9"/>
      <c r="H11" s="9"/>
      <c r="I11" s="55"/>
      <c r="J11" s="21">
        <f t="shared" si="6"/>
        <v>29000</v>
      </c>
      <c r="K11" s="8" t="s">
        <v>145</v>
      </c>
      <c r="L11" s="9">
        <v>-24000</v>
      </c>
      <c r="M11" s="9"/>
      <c r="N11" s="55">
        <v>-3000</v>
      </c>
      <c r="O11" s="21">
        <f t="shared" si="7"/>
        <v>-16900</v>
      </c>
      <c r="P11" s="8" t="s">
        <v>144</v>
      </c>
      <c r="Q11" s="9">
        <v>24000</v>
      </c>
      <c r="R11" s="9"/>
      <c r="S11" s="55">
        <v>3000</v>
      </c>
      <c r="T11" s="21">
        <f t="shared" si="8"/>
        <v>92900</v>
      </c>
      <c r="U11" s="66">
        <f t="shared" si="0"/>
        <v>-6</v>
      </c>
      <c r="V11" s="67">
        <f t="shared" si="1"/>
        <v>-51.9</v>
      </c>
      <c r="W11" s="68">
        <f t="shared" si="2"/>
        <v>57.9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>
        <v>10</v>
      </c>
      <c r="BT11" s="36" t="s">
        <v>146</v>
      </c>
      <c r="BU11" s="47" t="s">
        <v>87</v>
      </c>
      <c r="BV11" s="48" t="s">
        <v>87</v>
      </c>
      <c r="BW11" s="48" t="s">
        <v>82</v>
      </c>
      <c r="BX11" s="48" t="s">
        <v>82</v>
      </c>
      <c r="BY11" s="48" t="s">
        <v>105</v>
      </c>
      <c r="BZ11" s="48" t="s">
        <v>94</v>
      </c>
      <c r="CA11" s="48" t="s">
        <v>100</v>
      </c>
      <c r="CB11" s="48" t="s">
        <v>80</v>
      </c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9"/>
        <v/>
      </c>
      <c r="C12" s="18" t="str">
        <f t="shared" si="11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6" t="str">
        <f t="shared" si="0"/>
        <v/>
      </c>
      <c r="V12" s="67" t="str">
        <f t="shared" si="1"/>
        <v/>
      </c>
      <c r="W12" s="68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9"/>
        <v/>
      </c>
      <c r="C13" s="18" t="str">
        <f t="shared" si="11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6" t="str">
        <f t="shared" si="0"/>
        <v/>
      </c>
      <c r="V13" s="67" t="str">
        <f t="shared" si="1"/>
        <v/>
      </c>
      <c r="W13" s="68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9"/>
        <v/>
      </c>
      <c r="C14" s="18" t="str">
        <f t="shared" si="11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6" t="str">
        <f t="shared" si="0"/>
        <v/>
      </c>
      <c r="V14" s="67" t="str">
        <f t="shared" si="1"/>
        <v/>
      </c>
      <c r="W14" s="68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9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6" t="str">
        <f t="shared" si="0"/>
        <v/>
      </c>
      <c r="V15" s="67" t="str">
        <f t="shared" si="1"/>
        <v/>
      </c>
      <c r="W15" s="68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9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6" t="str">
        <f t="shared" si="0"/>
        <v/>
      </c>
      <c r="V16" s="67" t="str">
        <f t="shared" si="1"/>
        <v/>
      </c>
      <c r="W16" s="68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9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6" t="str">
        <f t="shared" si="0"/>
        <v/>
      </c>
      <c r="V17" s="67" t="str">
        <f t="shared" si="1"/>
        <v/>
      </c>
      <c r="W17" s="68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9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6" t="str">
        <f t="shared" si="0"/>
        <v/>
      </c>
      <c r="V18" s="67" t="str">
        <f t="shared" si="1"/>
        <v/>
      </c>
      <c r="W18" s="68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9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6" t="str">
        <f t="shared" si="0"/>
        <v/>
      </c>
      <c r="V19" s="67" t="str">
        <f t="shared" si="1"/>
        <v/>
      </c>
      <c r="W19" s="68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9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6" t="str">
        <f t="shared" si="0"/>
        <v/>
      </c>
      <c r="V20" s="67" t="str">
        <f t="shared" si="1"/>
        <v/>
      </c>
      <c r="W20" s="68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9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6" t="str">
        <f t="shared" si="0"/>
        <v/>
      </c>
      <c r="V21" s="67" t="str">
        <f t="shared" si="1"/>
        <v/>
      </c>
      <c r="W21" s="68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9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6" t="str">
        <f t="shared" si="0"/>
        <v/>
      </c>
      <c r="V22" s="67" t="str">
        <f t="shared" si="1"/>
        <v/>
      </c>
      <c r="W22" s="68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9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6" t="str">
        <f t="shared" si="0"/>
        <v/>
      </c>
      <c r="V23" s="67" t="str">
        <f t="shared" si="1"/>
        <v/>
      </c>
      <c r="W23" s="68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9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6" t="str">
        <f t="shared" si="0"/>
        <v/>
      </c>
      <c r="V24" s="67" t="str">
        <f t="shared" si="1"/>
        <v/>
      </c>
      <c r="W24" s="68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9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6" t="str">
        <f t="shared" si="0"/>
        <v/>
      </c>
      <c r="V25" s="67" t="str">
        <f t="shared" si="1"/>
        <v/>
      </c>
      <c r="W25" s="68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9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6" t="str">
        <f t="shared" si="0"/>
        <v/>
      </c>
      <c r="V26" s="67" t="str">
        <f t="shared" si="1"/>
        <v/>
      </c>
      <c r="W26" s="68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9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6" t="str">
        <f t="shared" si="0"/>
        <v/>
      </c>
      <c r="V27" s="67" t="str">
        <f t="shared" si="1"/>
        <v/>
      </c>
      <c r="W27" s="68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9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6" t="str">
        <f t="shared" si="0"/>
        <v/>
      </c>
      <c r="V28" s="67" t="str">
        <f t="shared" si="1"/>
        <v/>
      </c>
      <c r="W28" s="68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9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6" t="str">
        <f t="shared" si="0"/>
        <v/>
      </c>
      <c r="V29" s="67" t="str">
        <f t="shared" si="1"/>
        <v/>
      </c>
      <c r="W29" s="68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9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9" t="str">
        <f t="shared" si="0"/>
        <v/>
      </c>
      <c r="V30" s="70" t="str">
        <f t="shared" si="1"/>
        <v/>
      </c>
      <c r="W30" s="71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B88FE-238E-4A65-9A7F-2DD2C3EFB110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りくと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61" t="str">
        <f>$F$1</f>
        <v>だいち</v>
      </c>
      <c r="V2" s="62" t="str">
        <f>$K$1</f>
        <v>たかの</v>
      </c>
      <c r="W2" s="16" t="str">
        <f>$P$1</f>
        <v>りくと</v>
      </c>
      <c r="Y2" s="57" t="s">
        <v>24</v>
      </c>
      <c r="Z2" s="58" t="s">
        <v>27</v>
      </c>
      <c r="AA2" s="59" t="s">
        <v>25</v>
      </c>
      <c r="AB2" s="59" t="s">
        <v>128</v>
      </c>
      <c r="AC2" s="59" t="s">
        <v>19</v>
      </c>
      <c r="AD2" s="60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57" t="s">
        <v>24</v>
      </c>
      <c r="AU2" s="58" t="s">
        <v>27</v>
      </c>
      <c r="AV2" s="59" t="s">
        <v>25</v>
      </c>
      <c r="AW2" s="59" t="s">
        <v>129</v>
      </c>
      <c r="AX2" s="59" t="s">
        <v>19</v>
      </c>
      <c r="AY2" s="60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57" t="s">
        <v>24</v>
      </c>
      <c r="BP2" s="58" t="s">
        <v>27</v>
      </c>
      <c r="BQ2" s="59" t="s">
        <v>25</v>
      </c>
      <c r="BR2" s="59" t="s">
        <v>129</v>
      </c>
      <c r="BS2" s="59" t="s">
        <v>19</v>
      </c>
      <c r="BT2" s="60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63">
        <f>IF($J3="","",ROUND(($J3-$J$3)/1000,1))</f>
        <v>0</v>
      </c>
      <c r="V3" s="64">
        <f>IF($O3="","",ROUND(($O3-$O$3)/1000,1))</f>
        <v>0</v>
      </c>
      <c r="W3" s="65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142</v>
      </c>
      <c r="G4" s="9">
        <v>-6000</v>
      </c>
      <c r="H4" s="9"/>
      <c r="I4" s="55">
        <v>0</v>
      </c>
      <c r="J4" s="21">
        <f>IF(COUNTA($F4,$K4,$P4)&gt;0,J3+SUM(G4:I4),"")</f>
        <v>29000</v>
      </c>
      <c r="K4" s="8" t="s">
        <v>142</v>
      </c>
      <c r="L4" s="9">
        <v>-6000</v>
      </c>
      <c r="M4" s="9"/>
      <c r="N4" s="55">
        <v>0</v>
      </c>
      <c r="O4" s="21">
        <f>IF(COUNTA($F4,$K4,$P4)&gt;0,O3+SUM(L4:N4),"")</f>
        <v>29000</v>
      </c>
      <c r="P4" s="8" t="s">
        <v>141</v>
      </c>
      <c r="Q4" s="9">
        <v>12000</v>
      </c>
      <c r="R4" s="9"/>
      <c r="S4" s="55">
        <v>0</v>
      </c>
      <c r="T4" s="21">
        <f>IF(COUNTA($F4,$K4,$P4)&gt;0,T3+SUM(Q4:S4),"")</f>
        <v>47000</v>
      </c>
      <c r="U4" s="66">
        <f t="shared" ref="U4:U30" si="0">IF($J4="","",ROUND(($J4-$J$3)/1000,1))</f>
        <v>-6</v>
      </c>
      <c r="V4" s="67">
        <f t="shared" ref="V4:V30" si="1">IF($O4="","",ROUND(($O4-$O$3)/1000,1))</f>
        <v>-6</v>
      </c>
      <c r="W4" s="68">
        <f t="shared" ref="W4:W30" si="2">IF($T4="","",ROUND(($T4-$T$3)/1000,1))</f>
        <v>12</v>
      </c>
      <c r="Y4" s="8"/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5</v>
      </c>
      <c r="BT4" s="36" t="s">
        <v>146</v>
      </c>
      <c r="BU4" s="47" t="s">
        <v>143</v>
      </c>
      <c r="BV4" s="48" t="s">
        <v>83</v>
      </c>
      <c r="BW4" s="48" t="s">
        <v>87</v>
      </c>
      <c r="BX4" s="48" t="s">
        <v>82</v>
      </c>
      <c r="BY4" s="48" t="s">
        <v>85</v>
      </c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139</v>
      </c>
      <c r="F5" s="8" t="s">
        <v>142</v>
      </c>
      <c r="G5" s="9">
        <v>-9000</v>
      </c>
      <c r="H5" s="9">
        <v>-1000</v>
      </c>
      <c r="I5" s="55">
        <v>-500</v>
      </c>
      <c r="J5" s="21">
        <f t="shared" ref="J5:J30" si="6">IF(COUNTA($F5,$K5,$P5)&gt;0,J4+SUM(G5:I5),"")</f>
        <v>18500</v>
      </c>
      <c r="K5" s="8" t="s">
        <v>142</v>
      </c>
      <c r="L5" s="9">
        <v>-9000</v>
      </c>
      <c r="M5" s="9"/>
      <c r="N5" s="55">
        <v>-500</v>
      </c>
      <c r="O5" s="21">
        <f t="shared" ref="O5:O30" si="7">IF(COUNTA($F5,$K5,$P5)&gt;0,O4+SUM(L5:N5),"")</f>
        <v>19500</v>
      </c>
      <c r="P5" s="8" t="s">
        <v>141</v>
      </c>
      <c r="Q5" s="9">
        <v>18000</v>
      </c>
      <c r="R5" s="9">
        <v>1000</v>
      </c>
      <c r="S5" s="55">
        <v>1000</v>
      </c>
      <c r="T5" s="21">
        <f t="shared" ref="T5:T30" si="8">IF(COUNTA($F5,$K5,$P5)&gt;0,T4+SUM(Q5:S5),"")</f>
        <v>67000</v>
      </c>
      <c r="U5" s="66">
        <f t="shared" si="0"/>
        <v>-16.5</v>
      </c>
      <c r="V5" s="67">
        <f t="shared" si="1"/>
        <v>-15.5</v>
      </c>
      <c r="W5" s="68">
        <f t="shared" si="2"/>
        <v>32</v>
      </c>
      <c r="Y5" s="8"/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6</v>
      </c>
      <c r="BT5" s="36" t="s">
        <v>146</v>
      </c>
      <c r="BU5" s="47" t="s">
        <v>87</v>
      </c>
      <c r="BV5" s="48" t="s">
        <v>87</v>
      </c>
      <c r="BW5" s="48" t="s">
        <v>87</v>
      </c>
      <c r="BX5" s="48" t="s">
        <v>82</v>
      </c>
      <c r="BY5" s="48" t="s">
        <v>82</v>
      </c>
      <c r="BZ5" s="48" t="s">
        <v>82</v>
      </c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1</v>
      </c>
      <c r="C6" s="18">
        <f t="shared" si="4"/>
        <v>2</v>
      </c>
      <c r="D6" s="18">
        <f t="shared" si="5"/>
        <v>0</v>
      </c>
      <c r="E6" s="4" t="s">
        <v>139</v>
      </c>
      <c r="F6" s="8" t="s">
        <v>145</v>
      </c>
      <c r="G6" s="9">
        <v>-8000</v>
      </c>
      <c r="H6" s="9"/>
      <c r="I6" s="55">
        <v>-2000</v>
      </c>
      <c r="J6" s="21">
        <f t="shared" si="6"/>
        <v>8500</v>
      </c>
      <c r="K6" s="8" t="s">
        <v>144</v>
      </c>
      <c r="L6" s="9">
        <v>8000</v>
      </c>
      <c r="M6" s="9"/>
      <c r="N6" s="55">
        <v>2000</v>
      </c>
      <c r="O6" s="21">
        <f t="shared" si="7"/>
        <v>29500</v>
      </c>
      <c r="P6" s="8"/>
      <c r="Q6" s="9"/>
      <c r="R6" s="9"/>
      <c r="S6" s="55"/>
      <c r="T6" s="21">
        <f t="shared" si="8"/>
        <v>67000</v>
      </c>
      <c r="U6" s="66">
        <f t="shared" si="0"/>
        <v>-26.5</v>
      </c>
      <c r="V6" s="67">
        <f t="shared" si="1"/>
        <v>-5.5</v>
      </c>
      <c r="W6" s="68">
        <f t="shared" si="2"/>
        <v>32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>
        <v>5</v>
      </c>
      <c r="AY6" s="36" t="s">
        <v>146</v>
      </c>
      <c r="AZ6" s="47" t="s">
        <v>82</v>
      </c>
      <c r="BA6" s="48" t="s">
        <v>82</v>
      </c>
      <c r="BB6" s="48" t="s">
        <v>87</v>
      </c>
      <c r="BC6" s="48" t="s">
        <v>80</v>
      </c>
      <c r="BD6" s="48" t="s">
        <v>80</v>
      </c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2</v>
      </c>
      <c r="C7" s="18">
        <f t="shared" si="4"/>
        <v>0</v>
      </c>
      <c r="D7" s="18">
        <f t="shared" si="5"/>
        <v>0</v>
      </c>
      <c r="E7" s="4" t="s">
        <v>135</v>
      </c>
      <c r="F7" s="8" t="s">
        <v>150</v>
      </c>
      <c r="G7" s="9">
        <v>-3000</v>
      </c>
      <c r="H7" s="9"/>
      <c r="I7" s="55"/>
      <c r="J7" s="21">
        <f t="shared" si="6"/>
        <v>5500</v>
      </c>
      <c r="K7" s="8" t="s">
        <v>150</v>
      </c>
      <c r="L7" s="9">
        <v>1500</v>
      </c>
      <c r="M7" s="9"/>
      <c r="N7" s="55"/>
      <c r="O7" s="21">
        <f t="shared" si="7"/>
        <v>31000</v>
      </c>
      <c r="P7" s="8" t="s">
        <v>150</v>
      </c>
      <c r="Q7" s="9">
        <v>1500</v>
      </c>
      <c r="R7" s="9">
        <v>-1000</v>
      </c>
      <c r="S7" s="55"/>
      <c r="T7" s="21">
        <f t="shared" si="8"/>
        <v>67500</v>
      </c>
      <c r="U7" s="66">
        <f t="shared" si="0"/>
        <v>-29.5</v>
      </c>
      <c r="V7" s="67">
        <f t="shared" si="1"/>
        <v>-4</v>
      </c>
      <c r="W7" s="68">
        <f t="shared" si="2"/>
        <v>32.5</v>
      </c>
      <c r="Y7" s="8" t="s">
        <v>148</v>
      </c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149</v>
      </c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149</v>
      </c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3</v>
      </c>
      <c r="C8" s="18">
        <f t="shared" si="4"/>
        <v>0</v>
      </c>
      <c r="D8" s="18">
        <f t="shared" si="5"/>
        <v>1</v>
      </c>
      <c r="E8" s="4" t="s">
        <v>137</v>
      </c>
      <c r="F8" s="8"/>
      <c r="G8" s="9"/>
      <c r="H8" s="9"/>
      <c r="I8" s="55"/>
      <c r="J8" s="21">
        <f t="shared" si="6"/>
        <v>5500</v>
      </c>
      <c r="K8" s="8" t="s">
        <v>145</v>
      </c>
      <c r="L8" s="9">
        <v>-16000</v>
      </c>
      <c r="M8" s="9"/>
      <c r="N8" s="55">
        <v>0</v>
      </c>
      <c r="O8" s="21">
        <f t="shared" si="7"/>
        <v>15000</v>
      </c>
      <c r="P8" s="8" t="s">
        <v>144</v>
      </c>
      <c r="Q8" s="9">
        <v>16000</v>
      </c>
      <c r="R8" s="9">
        <v>1000</v>
      </c>
      <c r="S8" s="55">
        <v>0</v>
      </c>
      <c r="T8" s="21">
        <f t="shared" si="8"/>
        <v>84500</v>
      </c>
      <c r="U8" s="66">
        <f t="shared" si="0"/>
        <v>-29.5</v>
      </c>
      <c r="V8" s="67">
        <f t="shared" si="1"/>
        <v>-20</v>
      </c>
      <c r="W8" s="68">
        <f t="shared" si="2"/>
        <v>49.5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>
        <v>8</v>
      </c>
      <c r="BT8" s="36" t="s">
        <v>146</v>
      </c>
      <c r="BU8" s="47" t="s">
        <v>87</v>
      </c>
      <c r="BV8" s="48" t="s">
        <v>82</v>
      </c>
      <c r="BW8" s="48" t="s">
        <v>82</v>
      </c>
      <c r="BX8" s="48" t="s">
        <v>105</v>
      </c>
      <c r="BY8" s="48" t="s">
        <v>80</v>
      </c>
      <c r="BZ8" s="48" t="s">
        <v>80</v>
      </c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0</v>
      </c>
      <c r="D9" s="18">
        <f t="shared" si="5"/>
        <v>0</v>
      </c>
      <c r="E9" s="4" t="s">
        <v>139</v>
      </c>
      <c r="F9" s="8" t="s">
        <v>145</v>
      </c>
      <c r="G9" s="9">
        <v>-8000</v>
      </c>
      <c r="H9" s="9"/>
      <c r="I9" s="55">
        <v>0</v>
      </c>
      <c r="J9" s="21">
        <f t="shared" si="6"/>
        <v>-2500</v>
      </c>
      <c r="K9" s="8" t="s">
        <v>144</v>
      </c>
      <c r="L9" s="9">
        <v>8000</v>
      </c>
      <c r="M9" s="9"/>
      <c r="N9" s="55">
        <v>0</v>
      </c>
      <c r="O9" s="21">
        <f t="shared" si="7"/>
        <v>23000</v>
      </c>
      <c r="P9" s="8"/>
      <c r="Q9" s="9"/>
      <c r="R9" s="9"/>
      <c r="S9" s="55"/>
      <c r="T9" s="21">
        <f t="shared" si="8"/>
        <v>84500</v>
      </c>
      <c r="U9" s="66">
        <f t="shared" si="0"/>
        <v>-37.5</v>
      </c>
      <c r="V9" s="67">
        <f t="shared" si="1"/>
        <v>-12</v>
      </c>
      <c r="W9" s="68">
        <f t="shared" si="2"/>
        <v>49.5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4</v>
      </c>
      <c r="AY9" s="36">
        <v>40</v>
      </c>
      <c r="AZ9" s="47" t="s">
        <v>143</v>
      </c>
      <c r="BA9" s="48" t="s">
        <v>82</v>
      </c>
      <c r="BB9" s="48" t="s">
        <v>80</v>
      </c>
      <c r="BC9" s="48" t="s">
        <v>80</v>
      </c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9"/>
        <v/>
      </c>
      <c r="C10" s="18" t="str">
        <f t="shared" si="4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6" t="str">
        <f t="shared" si="0"/>
        <v/>
      </c>
      <c r="V10" s="67" t="str">
        <f t="shared" si="1"/>
        <v/>
      </c>
      <c r="W10" s="68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6" t="str">
        <f t="shared" si="0"/>
        <v/>
      </c>
      <c r="V11" s="67" t="str">
        <f t="shared" si="1"/>
        <v/>
      </c>
      <c r="W11" s="68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6" t="str">
        <f t="shared" si="0"/>
        <v/>
      </c>
      <c r="V12" s="67" t="str">
        <f t="shared" si="1"/>
        <v/>
      </c>
      <c r="W12" s="68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6" t="str">
        <f t="shared" si="0"/>
        <v/>
      </c>
      <c r="V13" s="67" t="str">
        <f t="shared" si="1"/>
        <v/>
      </c>
      <c r="W13" s="68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6" t="str">
        <f t="shared" si="0"/>
        <v/>
      </c>
      <c r="V14" s="67" t="str">
        <f t="shared" si="1"/>
        <v/>
      </c>
      <c r="W14" s="68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6" t="str">
        <f t="shared" si="0"/>
        <v/>
      </c>
      <c r="V15" s="67" t="str">
        <f t="shared" si="1"/>
        <v/>
      </c>
      <c r="W15" s="68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6" t="str">
        <f t="shared" si="0"/>
        <v/>
      </c>
      <c r="V16" s="67" t="str">
        <f t="shared" si="1"/>
        <v/>
      </c>
      <c r="W16" s="68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6" t="str">
        <f t="shared" si="0"/>
        <v/>
      </c>
      <c r="V17" s="67" t="str">
        <f t="shared" si="1"/>
        <v/>
      </c>
      <c r="W17" s="68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6" t="str">
        <f t="shared" si="0"/>
        <v/>
      </c>
      <c r="V18" s="67" t="str">
        <f t="shared" si="1"/>
        <v/>
      </c>
      <c r="W18" s="68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6" t="str">
        <f t="shared" si="0"/>
        <v/>
      </c>
      <c r="V19" s="67" t="str">
        <f t="shared" si="1"/>
        <v/>
      </c>
      <c r="W19" s="68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6" t="str">
        <f t="shared" si="0"/>
        <v/>
      </c>
      <c r="V20" s="67" t="str">
        <f t="shared" si="1"/>
        <v/>
      </c>
      <c r="W20" s="68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6" t="str">
        <f t="shared" si="0"/>
        <v/>
      </c>
      <c r="V21" s="67" t="str">
        <f t="shared" si="1"/>
        <v/>
      </c>
      <c r="W21" s="68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6" t="str">
        <f t="shared" si="0"/>
        <v/>
      </c>
      <c r="V22" s="67" t="str">
        <f t="shared" si="1"/>
        <v/>
      </c>
      <c r="W22" s="68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6" t="str">
        <f t="shared" si="0"/>
        <v/>
      </c>
      <c r="V23" s="67" t="str">
        <f t="shared" si="1"/>
        <v/>
      </c>
      <c r="W23" s="68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6" t="str">
        <f t="shared" si="0"/>
        <v/>
      </c>
      <c r="V24" s="67" t="str">
        <f t="shared" si="1"/>
        <v/>
      </c>
      <c r="W24" s="68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6" t="str">
        <f t="shared" si="0"/>
        <v/>
      </c>
      <c r="V25" s="67" t="str">
        <f t="shared" si="1"/>
        <v/>
      </c>
      <c r="W25" s="68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6" t="str">
        <f t="shared" si="0"/>
        <v/>
      </c>
      <c r="V26" s="67" t="str">
        <f t="shared" si="1"/>
        <v/>
      </c>
      <c r="W26" s="68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6" t="str">
        <f t="shared" si="0"/>
        <v/>
      </c>
      <c r="V27" s="67" t="str">
        <f t="shared" si="1"/>
        <v/>
      </c>
      <c r="W27" s="68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6" t="str">
        <f t="shared" si="0"/>
        <v/>
      </c>
      <c r="V28" s="67" t="str">
        <f t="shared" si="1"/>
        <v/>
      </c>
      <c r="W28" s="68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6" t="str">
        <f t="shared" si="0"/>
        <v/>
      </c>
      <c r="V29" s="67" t="str">
        <f t="shared" si="1"/>
        <v/>
      </c>
      <c r="W29" s="68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9" t="str">
        <f t="shared" si="0"/>
        <v/>
      </c>
      <c r="V30" s="70" t="str">
        <f t="shared" si="1"/>
        <v/>
      </c>
      <c r="W30" s="71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DA3EA3AA-38AF-414E-8F9C-F0F3FF78FF8F}">
      <formula1>$U$2:$W$2</formula1>
    </dataValidation>
    <dataValidation type="list" showInputMessage="1" showErrorMessage="1" sqref="K4:K30 P4:P30 F4:F30" xr:uid="{676B50EA-4109-4E02-905A-2E993F3DE894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2018-12-20T09:39:04Z</dcterms:modified>
</cp:coreProperties>
</file>