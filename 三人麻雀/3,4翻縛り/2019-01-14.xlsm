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番外編\"/>
    </mc:Choice>
  </mc:AlternateContent>
  <xr:revisionPtr revIDLastSave="0" documentId="10_ncr:100000_{31CC3732-F0B8-4A71-BB2F-90B78EB6E6BF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O12" i="1"/>
  <c r="T11" i="1"/>
  <c r="U13" i="1" l="1"/>
  <c r="V12" i="1"/>
  <c r="W11" i="1"/>
  <c r="J14" i="1"/>
  <c r="U14" i="1" s="1"/>
  <c r="O13" i="1"/>
  <c r="T12" i="1"/>
  <c r="V13" i="1" l="1"/>
  <c r="W12" i="1"/>
  <c r="O14" i="1"/>
  <c r="V14" i="1" s="1"/>
  <c r="J15" i="1"/>
  <c r="U15" i="1" s="1"/>
  <c r="T13" i="1"/>
  <c r="W13" i="1" l="1"/>
  <c r="T14" i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<sst xmlns="http://schemas.openxmlformats.org/spreadsheetml/2006/main" count="533" uniqueCount="150">
  <si>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</si>
  <si>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</si>
  <si>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</si>
  <si>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</si>
  <si>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</si>
  <si>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</si>
  <si>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</si>
  <si>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</si>
  <si>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</si>
  <si>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</si>
  <si>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</si>
  <si>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</si>
  <si>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</si>
  <si>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</si>
  <si>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</si>
  <si>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</si>
  <si>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</si>
  <si>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</si>
  <si>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</si>
  <si>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</si>
  <si>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</si>
  <si>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</si>
  <si>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</si>
  <si>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</si>
  <si>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</si>
  <si>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</si>
  <si>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</si>
  <si>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</si>
  <si>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</si>
  <si>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</si>
  <si>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</si>
  <si>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</si>
  <si>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</si>
  <si>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</si>
  <si>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</si>
  <si>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</si>
  <si>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</si>
  <si>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</si>
  <si>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</si>
  <si>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</si>
  <si>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</si>
  <si>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</si>
  <si>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</si>
  <si>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</si>
  <si>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</si>
  <si>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</si>
  <si>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</si>
  <si>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</si>
  <si>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</si>
  <si>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</si>
  <si>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</si>
  <si>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</si>
  <si>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</si>
  <si>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</si>
  <si>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</si>
  <si>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</si>
  <si>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</si>
  <si>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</si>
  <si>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</si>
  <si>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</si>
  <si>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</si>
  <si>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</si>
  <si>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</si>
  <si>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</si>
  <si>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</si>
  <si>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</si>
  <si>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</si>
  <si>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</si>
  <si>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</si>
  <si>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</si>
  <si>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</si>
  <si>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</si>
  <si>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</si>
  <si>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</si>
  <si>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</si>
  <si>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</si>
  <si>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</si>
  <si>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</si>
  <si>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</si>
  <si>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</si>
  <si>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</si>
  <si>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</si>
  <si>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</si>
  <si>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</si>
  <si>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</si>
  <si>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</si>
  <si>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</si>
  <si>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</si>
  <si>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</si>
  <si>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</si>
  <si>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</si>
  <si>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</si>
  <si>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</si>
  <si>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</si>
  <si>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</si>
  <si>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</si>
  <si>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</si>
  <si>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</si>
  <si>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</si>
  <si>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</si>
  <si>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</si>
  <si>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</si>
  <si>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</si>
  <si>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</si>
  <si>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</si>
  <si>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</si>
  <si>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</si>
  <si>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</si>
  <si>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</si>
  <si>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</si>
  <si>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</si>
  <si>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</si>
  <si>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</si>
  <si>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</si>
  <si>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</si>
  <si>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</si>
  <si>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</si>
  <si>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</si>
  <si>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</si>
  <si>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</si>
  <si>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</si>
  <si>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</si>
  <si>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</si>
  <si>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</si>
  <si>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</si>
  <si>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</si>
  <si>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</si>
  <si>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</si>
  <si>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</si>
  <si>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</si>
  <si>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</si>
  <si>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</si>
  <si>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</si>
  <si>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</si>
  <si>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</si>
  <si>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</si>
  <si>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</si>
  <si>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いっしー</t>
  </si>
  <si>
    <t>いっしー</t>
    <phoneticPr fontId="1"/>
  </si>
  <si>
    <t>放銃</t>
  </si>
  <si>
    <t>ロン</t>
  </si>
  <si>
    <t>01</t>
  </si>
  <si>
    <t>02</t>
  </si>
  <si>
    <t>T</t>
  </si>
  <si>
    <t>N</t>
  </si>
  <si>
    <t>ツモ支払</t>
  </si>
  <si>
    <t>ツモ</t>
  </si>
  <si>
    <t>りくと</t>
  </si>
  <si>
    <t>りくと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</si>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</sst>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136</v>
      </c>
      <c r="G1" s="68"/>
      <c r="H1" s="68"/>
      <c r="I1" s="77"/>
      <c r="J1" s="69"/>
      <c r="K1" s="66" t="s">
        <v>148</v>
      </c>
      <c r="L1" s="68"/>
      <c r="M1" s="68"/>
      <c r="N1" s="77"/>
      <c r="O1" s="69"/>
      <c r="P1" s="66" t="s">
        <v>138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だいち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りくと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いっしー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りくと</v>
      </c>
      <c r="W2" s="16" t="str">
        <f>$P$1</f>
        <v>いっしー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147</v>
      </c>
      <c r="F4" s="8" t="s">
        <v>149</v>
      </c>
      <c r="G4" s="9">
        <v>1500</v>
      </c>
      <c r="H4" s="9">
        <v>-1000</v>
      </c>
      <c r="I4" s="55"/>
      <c r="J4" s="21">
        <f>IF(COUNTA($F4,$K4,$P4)&gt;0,J3+SUM(G4:I4),"")</f>
        <v>35500</v>
      </c>
      <c r="K4" s="8" t="s">
        <v>149</v>
      </c>
      <c r="L4" s="9">
        <v>-3000</v>
      </c>
      <c r="M4" s="9"/>
      <c r="N4" s="55"/>
      <c r="O4" s="21">
        <f>IF(COUNTA($F4,$K4,$P4)&gt;0,O3+SUM(L4:N4),"")</f>
        <v>32000</v>
      </c>
      <c r="P4" s="8" t="s">
        <v>149</v>
      </c>
      <c r="Q4" s="9">
        <v>1500</v>
      </c>
      <c r="R4" s="9">
        <v>-1000</v>
      </c>
      <c r="S4" s="55"/>
      <c r="T4" s="21">
        <f>IF(COUNTA($F4,$K4,$P4)&gt;0,T3+SUM(Q4:S4),"")</f>
        <v>35500</v>
      </c>
      <c r="U4" s="60">
        <f t="shared" ref="U4:U30" si="0">IF($J4="","",ROUND(($J4-$J$3)/1000,1))</f>
        <v>0.5</v>
      </c>
      <c r="V4" s="61">
        <f t="shared" ref="V4:V30" si="1">IF($O4="","",ROUND(($O4-$O$3)/1000,1))</f>
        <v>-3</v>
      </c>
      <c r="W4" s="62">
        <f t="shared" ref="W4:W30" si="2">IF($T4="","",ROUND(($T4-$T$3)/1000,1))</f>
        <v>0.5</v>
      </c>
      <c r="Y4" s="8" t="s">
        <v>143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144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143</v>
      </c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2</v>
      </c>
      <c r="E5" s="4" t="s">
        <v>137</v>
      </c>
      <c r="F5" s="8"/>
      <c r="G5" s="9"/>
      <c r="H5" s="9"/>
      <c r="I5" s="55"/>
      <c r="J5" s="21">
        <f t="shared" ref="J5:J30" si="6">IF(COUNTA($F5,$K5,$P5)&gt;0,J4+SUM(G5:I5),"")</f>
        <v>35500</v>
      </c>
      <c r="K5" s="8" t="s">
        <v>139</v>
      </c>
      <c r="L5" s="9">
        <v>-5800</v>
      </c>
      <c r="M5" s="9"/>
      <c r="N5" s="55">
        <v>0</v>
      </c>
      <c r="O5" s="21">
        <f t="shared" ref="O5:O30" si="7">IF(COUNTA($F5,$K5,$P5)&gt;0,O4+SUM(L5:N5),"")</f>
        <v>26200</v>
      </c>
      <c r="P5" s="8" t="s">
        <v>140</v>
      </c>
      <c r="Q5" s="9">
        <v>5800</v>
      </c>
      <c r="R5" s="9">
        <v>2000</v>
      </c>
      <c r="S5" s="55">
        <v>0</v>
      </c>
      <c r="T5" s="21">
        <f t="shared" ref="T5:T30" si="8">IF(COUNTA($F5,$K5,$P5)&gt;0,T4+SUM(Q5:S5),"")</f>
        <v>43300</v>
      </c>
      <c r="U5" s="60">
        <f t="shared" si="0"/>
        <v>0.5</v>
      </c>
      <c r="V5" s="61">
        <f t="shared" si="1"/>
        <v>-8.8000000000000007</v>
      </c>
      <c r="W5" s="62">
        <f t="shared" si="2"/>
        <v>8.3000000000000007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3</v>
      </c>
      <c r="BT5" s="36">
        <v>30</v>
      </c>
      <c r="BU5" s="47" t="s">
        <v>87</v>
      </c>
      <c r="BV5" s="48" t="s">
        <v>82</v>
      </c>
      <c r="BW5" s="48" t="s">
        <v>82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137</v>
      </c>
      <c r="F6" s="8" t="s">
        <v>149</v>
      </c>
      <c r="G6" s="9">
        <v>-3000</v>
      </c>
      <c r="H6" s="9"/>
      <c r="I6" s="55"/>
      <c r="J6" s="21">
        <f t="shared" si="6"/>
        <v>32500</v>
      </c>
      <c r="K6" s="8" t="s">
        <v>149</v>
      </c>
      <c r="L6" s="9">
        <v>1500</v>
      </c>
      <c r="M6" s="9">
        <v>-1000</v>
      </c>
      <c r="N6" s="55"/>
      <c r="O6" s="21">
        <f t="shared" si="7"/>
        <v>26700</v>
      </c>
      <c r="P6" s="8" t="s">
        <v>149</v>
      </c>
      <c r="Q6" s="9">
        <v>1500</v>
      </c>
      <c r="R6" s="9">
        <v>-1000</v>
      </c>
      <c r="S6" s="55"/>
      <c r="T6" s="21">
        <f t="shared" si="8"/>
        <v>43800</v>
      </c>
      <c r="U6" s="60">
        <f t="shared" si="0"/>
        <v>-2.5</v>
      </c>
      <c r="V6" s="61">
        <f t="shared" si="1"/>
        <v>-8.3000000000000007</v>
      </c>
      <c r="W6" s="62">
        <f t="shared" si="2"/>
        <v>8.8000000000000007</v>
      </c>
      <c r="Y6" s="8" t="s">
        <v>144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143</v>
      </c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143</v>
      </c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2</v>
      </c>
      <c r="D7" s="18">
        <f t="shared" si="5"/>
        <v>2</v>
      </c>
      <c r="E7" s="4" t="s">
        <v>137</v>
      </c>
      <c r="F7" s="8"/>
      <c r="G7" s="9"/>
      <c r="H7" s="9"/>
      <c r="I7" s="55"/>
      <c r="J7" s="21">
        <f t="shared" si="6"/>
        <v>32500</v>
      </c>
      <c r="K7" s="8" t="s">
        <v>140</v>
      </c>
      <c r="L7" s="9">
        <v>0</v>
      </c>
      <c r="M7" s="9">
        <v>2000</v>
      </c>
      <c r="N7" s="55">
        <v>2000</v>
      </c>
      <c r="O7" s="21">
        <f t="shared" si="7"/>
        <v>30700</v>
      </c>
      <c r="P7" s="8" t="s">
        <v>139</v>
      </c>
      <c r="Q7" s="9">
        <v>0</v>
      </c>
      <c r="R7" s="9"/>
      <c r="S7" s="55">
        <v>-2000</v>
      </c>
      <c r="T7" s="21">
        <f t="shared" si="8"/>
        <v>41800</v>
      </c>
      <c r="U7" s="60">
        <f t="shared" si="0"/>
        <v>-2.5</v>
      </c>
      <c r="V7" s="61">
        <f t="shared" si="1"/>
        <v>-4.3</v>
      </c>
      <c r="W7" s="62">
        <f t="shared" si="2"/>
        <v>6.8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0</v>
      </c>
      <c r="D8" s="18">
        <f t="shared" si="5"/>
        <v>0</v>
      </c>
      <c r="E8" s="4" t="s">
        <v>135</v>
      </c>
      <c r="F8" s="8" t="s">
        <v>139</v>
      </c>
      <c r="G8" s="9">
        <v>-8000</v>
      </c>
      <c r="H8" s="9"/>
      <c r="I8" s="55">
        <v>0</v>
      </c>
      <c r="J8" s="21">
        <f t="shared" si="6"/>
        <v>24500</v>
      </c>
      <c r="K8" s="8"/>
      <c r="L8" s="9"/>
      <c r="M8" s="9"/>
      <c r="N8" s="55"/>
      <c r="O8" s="21">
        <f t="shared" si="7"/>
        <v>30700</v>
      </c>
      <c r="P8" s="8" t="s">
        <v>140</v>
      </c>
      <c r="Q8" s="9">
        <v>8000</v>
      </c>
      <c r="R8" s="9"/>
      <c r="S8" s="55">
        <v>0</v>
      </c>
      <c r="T8" s="21">
        <f t="shared" si="8"/>
        <v>49800</v>
      </c>
      <c r="U8" s="60">
        <f t="shared" si="0"/>
        <v>-10.5</v>
      </c>
      <c r="V8" s="61">
        <f t="shared" si="1"/>
        <v>-4.3</v>
      </c>
      <c r="W8" s="62">
        <f t="shared" si="2"/>
        <v>14.8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4</v>
      </c>
      <c r="BT8" s="36">
        <v>30</v>
      </c>
      <c r="BU8" s="47" t="s">
        <v>105</v>
      </c>
      <c r="BV8" s="48" t="s">
        <v>82</v>
      </c>
      <c r="BW8" s="48" t="s">
        <v>87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1</v>
      </c>
      <c r="C9" s="18">
        <f t="shared" si="11"/>
        <v>0</v>
      </c>
      <c r="D9" s="18">
        <f t="shared" si="5"/>
        <v>0</v>
      </c>
      <c r="E9" s="4" t="s">
        <v>147</v>
      </c>
      <c r="F9" s="8" t="s">
        <v>146</v>
      </c>
      <c r="G9" s="9">
        <v>4000</v>
      </c>
      <c r="H9" s="9"/>
      <c r="I9" s="55">
        <v>0</v>
      </c>
      <c r="J9" s="21">
        <f t="shared" si="6"/>
        <v>28500</v>
      </c>
      <c r="K9" s="8" t="s">
        <v>145</v>
      </c>
      <c r="L9" s="9">
        <v>-2500</v>
      </c>
      <c r="M9" s="9"/>
      <c r="N9" s="55">
        <v>0</v>
      </c>
      <c r="O9" s="21">
        <f t="shared" si="7"/>
        <v>28200</v>
      </c>
      <c r="P9" s="8" t="s">
        <v>145</v>
      </c>
      <c r="Q9" s="9">
        <v>-1500</v>
      </c>
      <c r="R9" s="9"/>
      <c r="S9" s="55">
        <v>0</v>
      </c>
      <c r="T9" s="21">
        <f t="shared" si="8"/>
        <v>48300</v>
      </c>
      <c r="U9" s="60">
        <f t="shared" si="0"/>
        <v>-6.5</v>
      </c>
      <c r="V9" s="61">
        <f t="shared" si="1"/>
        <v>-6.8</v>
      </c>
      <c r="W9" s="62">
        <f t="shared" si="2"/>
        <v>13.3</v>
      </c>
      <c r="Y9" s="8"/>
      <c r="Z9" s="41"/>
      <c r="AA9" s="32"/>
      <c r="AB9" s="32">
        <v>1</v>
      </c>
      <c r="AC9" s="32">
        <v>3</v>
      </c>
      <c r="AD9" s="36">
        <v>30</v>
      </c>
      <c r="AE9" s="47" t="s">
        <v>87</v>
      </c>
      <c r="AF9" s="48" t="s">
        <v>80</v>
      </c>
      <c r="AG9" s="48" t="s">
        <v>82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2</v>
      </c>
      <c r="C10" s="18">
        <f t="shared" si="11"/>
        <v>0</v>
      </c>
      <c r="D10" s="18">
        <f t="shared" si="5"/>
        <v>0</v>
      </c>
      <c r="E10" s="4" t="s">
        <v>137</v>
      </c>
      <c r="F10" s="8" t="s">
        <v>140</v>
      </c>
      <c r="G10" s="9">
        <v>3200</v>
      </c>
      <c r="H10" s="9"/>
      <c r="I10" s="55">
        <v>0</v>
      </c>
      <c r="J10" s="21">
        <f t="shared" si="6"/>
        <v>31700</v>
      </c>
      <c r="K10" s="8" t="s">
        <v>139</v>
      </c>
      <c r="L10" s="9">
        <v>-3200</v>
      </c>
      <c r="M10" s="9"/>
      <c r="N10" s="55">
        <v>0</v>
      </c>
      <c r="O10" s="21">
        <f t="shared" si="7"/>
        <v>25000</v>
      </c>
      <c r="P10" s="8"/>
      <c r="Q10" s="9"/>
      <c r="R10" s="9"/>
      <c r="S10" s="55"/>
      <c r="T10" s="21">
        <f t="shared" si="8"/>
        <v>48300</v>
      </c>
      <c r="U10" s="60">
        <f t="shared" si="0"/>
        <v>-3.3</v>
      </c>
      <c r="V10" s="61">
        <f t="shared" si="1"/>
        <v>-10</v>
      </c>
      <c r="W10" s="62">
        <f t="shared" si="2"/>
        <v>13.3</v>
      </c>
      <c r="Y10" s="8"/>
      <c r="Z10" s="41"/>
      <c r="AA10" s="32"/>
      <c r="AB10" s="32"/>
      <c r="AC10" s="32">
        <v>3</v>
      </c>
      <c r="AD10" s="36">
        <v>25</v>
      </c>
      <c r="AE10" s="47" t="s">
        <v>102</v>
      </c>
      <c r="AF10" s="48" t="s">
        <v>82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3</v>
      </c>
      <c r="C11" s="18">
        <f t="shared" si="11"/>
        <v>0</v>
      </c>
      <c r="D11" s="18">
        <f t="shared" si="5"/>
        <v>0</v>
      </c>
      <c r="E11" s="4" t="s">
        <v>135</v>
      </c>
      <c r="F11" s="8" t="s">
        <v>146</v>
      </c>
      <c r="G11" s="9">
        <v>0</v>
      </c>
      <c r="H11" s="9"/>
      <c r="I11" s="55">
        <v>0</v>
      </c>
      <c r="J11" s="21">
        <f t="shared" si="6"/>
        <v>31700</v>
      </c>
      <c r="K11" s="8" t="s">
        <v>145</v>
      </c>
      <c r="L11" s="9">
        <v>0</v>
      </c>
      <c r="M11" s="9"/>
      <c r="N11" s="55">
        <v>0</v>
      </c>
      <c r="O11" s="21">
        <f t="shared" si="7"/>
        <v>25000</v>
      </c>
      <c r="P11" s="8" t="s">
        <v>145</v>
      </c>
      <c r="Q11" s="9">
        <v>0</v>
      </c>
      <c r="R11" s="9"/>
      <c r="S11" s="55">
        <v>0</v>
      </c>
      <c r="T11" s="21">
        <f t="shared" si="8"/>
        <v>48300</v>
      </c>
      <c r="U11" s="60">
        <f t="shared" si="0"/>
        <v>-3.3</v>
      </c>
      <c r="V11" s="61">
        <f t="shared" si="1"/>
        <v>-10</v>
      </c>
      <c r="W11" s="62">
        <f t="shared" si="2"/>
        <v>13.3</v>
      </c>
      <c r="Y11" s="8"/>
      <c r="Z11" s="41"/>
      <c r="AA11" s="32"/>
      <c r="AB11" s="32"/>
      <c r="AC11" s="32">
        <v>2</v>
      </c>
      <c r="AD11" s="36">
        <v>30</v>
      </c>
      <c r="AE11" s="47" t="s">
        <v>87</v>
      </c>
      <c r="AF11" s="48" t="s">
        <v>80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9"/>
        <v>3</v>
      </c>
      <c r="C12" s="18">
        <f t="shared" si="11"/>
        <v>1</v>
      </c>
      <c r="D12" s="18">
        <f t="shared" si="5"/>
        <v>0</v>
      </c>
      <c r="E12" s="4" t="s">
        <v>135</v>
      </c>
      <c r="F12" s="8" t="s">
        <v>140</v>
      </c>
      <c r="G12" s="9">
        <v>12000</v>
      </c>
      <c r="H12" s="9"/>
      <c r="I12" s="55">
        <v>1000</v>
      </c>
      <c r="J12" s="21">
        <f t="shared" si="6"/>
        <v>44700</v>
      </c>
      <c r="K12" s="8"/>
      <c r="L12" s="9"/>
      <c r="M12" s="9"/>
      <c r="N12" s="55"/>
      <c r="O12" s="21">
        <f t="shared" si="7"/>
        <v>25000</v>
      </c>
      <c r="P12" s="8" t="s">
        <v>139</v>
      </c>
      <c r="Q12" s="9">
        <v>-12000</v>
      </c>
      <c r="R12" s="9"/>
      <c r="S12" s="55">
        <v>-1000</v>
      </c>
      <c r="T12" s="21">
        <f t="shared" si="8"/>
        <v>35300</v>
      </c>
      <c r="U12" s="60">
        <f t="shared" si="0"/>
        <v>9.6999999999999993</v>
      </c>
      <c r="V12" s="61">
        <f t="shared" si="1"/>
        <v>-10</v>
      </c>
      <c r="W12" s="62">
        <f t="shared" si="2"/>
        <v>0.3</v>
      </c>
      <c r="Y12" s="8"/>
      <c r="Z12" s="41"/>
      <c r="AA12" s="32">
        <v>1</v>
      </c>
      <c r="AB12" s="32"/>
      <c r="AC12" s="32">
        <v>4</v>
      </c>
      <c r="AD12" s="36">
        <v>40</v>
      </c>
      <c r="AE12" s="47" t="s">
        <v>141</v>
      </c>
      <c r="AF12" s="48" t="s">
        <v>142</v>
      </c>
      <c r="AG12" s="48" t="s">
        <v>82</v>
      </c>
      <c r="AH12" s="48" t="s">
        <v>87</v>
      </c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2019-01-14T10:41:03Z</dcterms:modified>
</cp:coreProperties>
</file>