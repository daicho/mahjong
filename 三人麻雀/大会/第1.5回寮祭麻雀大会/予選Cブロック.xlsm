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"/>
    </mc:Choice>
  </mc:AlternateContent>
  <xr:revisionPtr revIDLastSave="0" documentId="13_ncr:1_{BADA6EFE-465E-4637-AA09-D82A4B70DAC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3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1" i="23" l="1"/>
  <c r="W30" i="23"/>
  <c r="U30" i="23"/>
  <c r="W29" i="23"/>
  <c r="U29" i="23"/>
  <c r="W28" i="23"/>
  <c r="U28" i="23"/>
  <c r="W27" i="23"/>
  <c r="U27" i="23"/>
  <c r="W26" i="23"/>
  <c r="U26" i="23"/>
  <c r="W25" i="23"/>
  <c r="U25" i="23"/>
  <c r="W24" i="23"/>
  <c r="U24" i="23"/>
  <c r="W23" i="23"/>
  <c r="U23" i="23"/>
  <c r="W22" i="23"/>
  <c r="U22" i="23"/>
  <c r="W21" i="23"/>
  <c r="U21" i="23"/>
  <c r="W20" i="23"/>
  <c r="U20" i="23"/>
  <c r="W19" i="23"/>
  <c r="U19" i="23"/>
  <c r="W18" i="23"/>
  <c r="U18" i="23"/>
  <c r="W17" i="23"/>
  <c r="U17" i="23"/>
  <c r="W16" i="23"/>
  <c r="U16" i="23"/>
  <c r="W15" i="23"/>
  <c r="U15" i="23"/>
  <c r="W14" i="23"/>
  <c r="U14" i="23"/>
  <c r="W13" i="23"/>
  <c r="U13" i="23"/>
  <c r="W12" i="23"/>
  <c r="U12" i="23"/>
  <c r="W11" i="23"/>
  <c r="V11" i="23"/>
  <c r="U11" i="23"/>
  <c r="W10" i="23"/>
  <c r="V10" i="23"/>
  <c r="U10" i="23"/>
  <c r="W9" i="23"/>
  <c r="V9" i="23"/>
  <c r="U9" i="23"/>
  <c r="W8" i="23"/>
  <c r="V8" i="23"/>
  <c r="U8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T11" i="23" l="1"/>
  <c r="T4" i="23"/>
  <c r="T5" i="23" s="1"/>
  <c r="O5" i="23"/>
  <c r="O4" i="23"/>
  <c r="J11" i="23"/>
  <c r="J4" i="23"/>
  <c r="J5" i="23" s="1"/>
  <c r="J6" i="23" s="1"/>
  <c r="J7" i="23" s="1"/>
  <c r="J8" i="23" s="1"/>
  <c r="J9" i="23" s="1"/>
  <c r="J10" i="23" s="1"/>
  <c r="J12" i="23"/>
  <c r="D10" i="23"/>
  <c r="C10" i="23"/>
  <c r="D9" i="23"/>
  <c r="C9" i="23"/>
  <c r="D8" i="23"/>
  <c r="C8" i="23"/>
  <c r="D7" i="23"/>
  <c r="C7" i="23"/>
  <c r="D6" i="23"/>
  <c r="D5" i="23"/>
  <c r="C5" i="23"/>
  <c r="C6" i="23" s="1"/>
  <c r="B5" i="23"/>
  <c r="B6" i="23" s="1"/>
  <c r="A5" i="23" l="1"/>
  <c r="T6" i="23"/>
  <c r="O6" i="23"/>
  <c r="B7" i="23"/>
  <c r="A7" i="23" s="1"/>
  <c r="A6" i="23"/>
  <c r="D11" i="23"/>
  <c r="C11" i="23"/>
  <c r="B11" i="23"/>
  <c r="A11" i="23" s="1"/>
  <c r="T30" i="23"/>
  <c r="O30" i="23"/>
  <c r="V30" i="23" s="1"/>
  <c r="J30" i="23"/>
  <c r="D30" i="23"/>
  <c r="C30" i="23"/>
  <c r="B30" i="23"/>
  <c r="A30" i="23"/>
  <c r="T29" i="23"/>
  <c r="O29" i="23"/>
  <c r="V29" i="23" s="1"/>
  <c r="J29" i="23"/>
  <c r="D29" i="23"/>
  <c r="C29" i="23"/>
  <c r="B29" i="23"/>
  <c r="A29" i="23"/>
  <c r="T28" i="23"/>
  <c r="O28" i="23"/>
  <c r="V28" i="23" s="1"/>
  <c r="J28" i="23"/>
  <c r="D28" i="23"/>
  <c r="C28" i="23"/>
  <c r="B28" i="23"/>
  <c r="A28" i="23"/>
  <c r="T27" i="23"/>
  <c r="O27" i="23"/>
  <c r="V27" i="23" s="1"/>
  <c r="J27" i="23"/>
  <c r="D27" i="23"/>
  <c r="C27" i="23"/>
  <c r="B27" i="23"/>
  <c r="A27" i="23"/>
  <c r="T26" i="23"/>
  <c r="O26" i="23"/>
  <c r="V26" i="23" s="1"/>
  <c r="J26" i="23"/>
  <c r="D26" i="23"/>
  <c r="C26" i="23"/>
  <c r="B26" i="23"/>
  <c r="A26" i="23"/>
  <c r="T25" i="23"/>
  <c r="O25" i="23"/>
  <c r="V25" i="23" s="1"/>
  <c r="J25" i="23"/>
  <c r="D25" i="23"/>
  <c r="C25" i="23"/>
  <c r="B25" i="23"/>
  <c r="A25" i="23"/>
  <c r="T24" i="23"/>
  <c r="O24" i="23"/>
  <c r="V24" i="23" s="1"/>
  <c r="J24" i="23"/>
  <c r="D24" i="23"/>
  <c r="C24" i="23"/>
  <c r="B24" i="23"/>
  <c r="A24" i="23"/>
  <c r="T23" i="23"/>
  <c r="O23" i="23"/>
  <c r="V23" i="23" s="1"/>
  <c r="J23" i="23"/>
  <c r="D23" i="23"/>
  <c r="C23" i="23"/>
  <c r="B23" i="23"/>
  <c r="A23" i="23"/>
  <c r="T22" i="23"/>
  <c r="O22" i="23"/>
  <c r="V22" i="23" s="1"/>
  <c r="J22" i="23"/>
  <c r="D22" i="23"/>
  <c r="C22" i="23"/>
  <c r="B22" i="23"/>
  <c r="A22" i="23"/>
  <c r="T21" i="23"/>
  <c r="O21" i="23"/>
  <c r="V21" i="23" s="1"/>
  <c r="J21" i="23"/>
  <c r="D21" i="23"/>
  <c r="C21" i="23"/>
  <c r="B21" i="23"/>
  <c r="A21" i="23"/>
  <c r="T20" i="23"/>
  <c r="O20" i="23"/>
  <c r="V20" i="23" s="1"/>
  <c r="J20" i="23"/>
  <c r="D20" i="23"/>
  <c r="C20" i="23"/>
  <c r="B20" i="23"/>
  <c r="A20" i="23"/>
  <c r="T19" i="23"/>
  <c r="O19" i="23"/>
  <c r="V19" i="23" s="1"/>
  <c r="J19" i="23"/>
  <c r="D19" i="23"/>
  <c r="C19" i="23"/>
  <c r="B19" i="23"/>
  <c r="A19" i="23"/>
  <c r="T18" i="23"/>
  <c r="O18" i="23"/>
  <c r="V18" i="23" s="1"/>
  <c r="J18" i="23"/>
  <c r="D18" i="23"/>
  <c r="C18" i="23"/>
  <c r="B18" i="23"/>
  <c r="A18" i="23"/>
  <c r="T17" i="23"/>
  <c r="O17" i="23"/>
  <c r="V17" i="23" s="1"/>
  <c r="J17" i="23"/>
  <c r="D17" i="23"/>
  <c r="C17" i="23"/>
  <c r="B17" i="23"/>
  <c r="A17" i="23"/>
  <c r="T16" i="23"/>
  <c r="O16" i="23"/>
  <c r="V16" i="23" s="1"/>
  <c r="J16" i="23"/>
  <c r="D16" i="23"/>
  <c r="C16" i="23"/>
  <c r="B16" i="23"/>
  <c r="A16" i="23"/>
  <c r="T15" i="23"/>
  <c r="O15" i="23"/>
  <c r="V15" i="23" s="1"/>
  <c r="J15" i="23"/>
  <c r="D15" i="23"/>
  <c r="C15" i="23"/>
  <c r="B15" i="23"/>
  <c r="A15" i="23"/>
  <c r="T14" i="23"/>
  <c r="O14" i="23"/>
  <c r="V14" i="23" s="1"/>
  <c r="J14" i="23"/>
  <c r="D14" i="23"/>
  <c r="C14" i="23"/>
  <c r="B14" i="23"/>
  <c r="A14" i="23"/>
  <c r="T13" i="23"/>
  <c r="O13" i="23"/>
  <c r="V13" i="23" s="1"/>
  <c r="J13" i="23"/>
  <c r="D13" i="23"/>
  <c r="C13" i="23"/>
  <c r="B13" i="23"/>
  <c r="A13" i="23"/>
  <c r="T12" i="23"/>
  <c r="O12" i="23"/>
  <c r="V12" i="23" s="1"/>
  <c r="D12" i="23"/>
  <c r="C12" i="23"/>
  <c r="B12" i="23"/>
  <c r="A12" i="23"/>
  <c r="W2" i="23"/>
  <c r="V2" i="23"/>
  <c r="U2" i="23"/>
  <c r="BO1" i="23"/>
  <c r="AT1" i="23"/>
  <c r="Y1" i="23"/>
  <c r="T7" i="23" l="1"/>
  <c r="O7" i="23"/>
  <c r="B8" i="23"/>
  <c r="A8" i="23" s="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D16" i="20"/>
  <c r="D15" i="20"/>
  <c r="C15" i="20"/>
  <c r="C16" i="20" s="1"/>
  <c r="D14" i="20"/>
  <c r="C14" i="20"/>
  <c r="D13" i="20"/>
  <c r="C13" i="20"/>
  <c r="D12" i="20"/>
  <c r="C12" i="20"/>
  <c r="D11" i="20"/>
  <c r="C11" i="20"/>
  <c r="D10" i="20"/>
  <c r="C10" i="20"/>
  <c r="D9" i="20"/>
  <c r="D8" i="20"/>
  <c r="D7" i="20"/>
  <c r="C7" i="20"/>
  <c r="C8" i="20" s="1"/>
  <c r="C9" i="20" s="1"/>
  <c r="D6" i="20"/>
  <c r="C6" i="20"/>
  <c r="D5" i="20"/>
  <c r="C5" i="20"/>
  <c r="B5" i="20"/>
  <c r="A5" i="20" s="1"/>
  <c r="T4" i="20"/>
  <c r="O4" i="20"/>
  <c r="O5" i="20" s="1"/>
  <c r="J4" i="20"/>
  <c r="W2" i="20"/>
  <c r="V2" i="20"/>
  <c r="U2" i="20"/>
  <c r="BO1" i="20"/>
  <c r="AT1" i="20"/>
  <c r="Y1" i="20"/>
  <c r="B6" i="20" l="1"/>
  <c r="B7" i="20" s="1"/>
  <c r="T5" i="20"/>
  <c r="T8" i="23"/>
  <c r="O8" i="23"/>
  <c r="B9" i="23"/>
  <c r="A9" i="23" s="1"/>
  <c r="A6" i="20"/>
  <c r="O6" i="20"/>
  <c r="B8" i="20"/>
  <c r="J5" i="20"/>
  <c r="T6" i="20"/>
  <c r="A7" i="20"/>
  <c r="A8" i="20" l="1"/>
  <c r="T9" i="23"/>
  <c r="O9" i="23"/>
  <c r="B10" i="23"/>
  <c r="A10" i="23"/>
  <c r="B9" i="20"/>
  <c r="T7" i="20"/>
  <c r="J6" i="20"/>
  <c r="O7" i="20"/>
  <c r="A9" i="20" l="1"/>
  <c r="T10" i="23"/>
  <c r="O10" i="23"/>
  <c r="O8" i="20"/>
  <c r="T8" i="20"/>
  <c r="J7" i="20"/>
  <c r="B10" i="20"/>
  <c r="A10" i="20" s="1"/>
  <c r="T9" i="20" l="1"/>
  <c r="B11" i="20"/>
  <c r="A11" i="20" s="1"/>
  <c r="J8" i="20"/>
  <c r="O9" i="20"/>
  <c r="B12" i="20" l="1"/>
  <c r="J9" i="20"/>
  <c r="T10" i="20"/>
  <c r="O10" i="20"/>
  <c r="B13" i="20" l="1"/>
  <c r="J10" i="20"/>
  <c r="O11" i="20"/>
  <c r="T11" i="20"/>
  <c r="A12" i="20"/>
  <c r="A13" i="20" s="1"/>
  <c r="T12" i="20" l="1"/>
  <c r="J11" i="20"/>
  <c r="O12" i="20"/>
  <c r="B14" i="20"/>
  <c r="A14" i="20" s="1"/>
  <c r="J12" i="20" l="1"/>
  <c r="B15" i="20"/>
  <c r="A15" i="20"/>
  <c r="T13" i="20"/>
  <c r="O13" i="20"/>
  <c r="B16" i="20" l="1"/>
  <c r="A16" i="20"/>
  <c r="T14" i="20"/>
  <c r="J13" i="20"/>
  <c r="O14" i="20"/>
  <c r="T15" i="20" l="1"/>
  <c r="O15" i="20"/>
  <c r="J14" i="20"/>
  <c r="O16" i="20" l="1"/>
  <c r="J15" i="20"/>
  <c r="T16" i="20"/>
  <c r="J16" i="20" l="1"/>
</calcChain>
</file>

<file path=xl/sharedStrings.xml><?xml version="1.0" encoding="utf-8"?>
<sst xmlns="http://schemas.openxmlformats.org/spreadsheetml/2006/main" count="642" uniqueCount="147">
  <si>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</si>
  <si>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</si>
  <si>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</si>
  <si>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</si>
  <si>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</si>
  <si>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</si>
  <si>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</si>
  <si>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</si>
  <si>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</si>
  <si>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</si>
  <si>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</si>
  <si>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</si>
  <si>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</si>
  <si>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</si>
  <si>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</si>
  <si>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</si>
  <si>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</si>
  <si>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</si>
  <si>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</si>
  <si>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</si>
  <si>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</si>
  <si>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</si>
  <si>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</si>
  <si>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</si>
  <si>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</si>
  <si>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</si>
  <si>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</si>
  <si>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</si>
  <si>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</si>
  <si>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</si>
  <si>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</si>
  <si>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</si>
  <si>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</si>
  <si>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</si>
  <si>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</si>
  <si>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</si>
  <si>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</si>
  <si>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</si>
  <si>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</si>
  <si>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</si>
  <si>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</si>
  <si>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</si>
  <si>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</si>
  <si>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</si>
  <si>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</si>
  <si>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</si>
  <si>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</si>
  <si>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</si>
  <si>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</si>
  <si>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</si>
  <si>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</si>
  <si>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</si>
  <si>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</si>
  <si>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</si>
  <si>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</si>
  <si>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</si>
  <si>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</si>
  <si>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</si>
  <si>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</si>
  <si>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</si>
  <si>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</si>
  <si>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</si>
  <si>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</si>
  <si>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</si>
  <si>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</si>
  <si>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</si>
  <si>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</si>
  <si>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</si>
  <si>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</si>
  <si>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</si>
  <si>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</si>
  <si>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</si>
  <si>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</si>
  <si>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</si>
  <si>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</si>
  <si>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</si>
  <si>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</si>
  <si>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</si>
  <si>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</si>
  <si>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</si>
  <si>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</si>
  <si>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</si>
  <si>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</si>
  <si>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</si>
  <si>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</si>
  <si>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</si>
  <si>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</si>
  <si>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</si>
  <si>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</si>
  <si>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</si>
  <si>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</si>
  <si>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</si>
  <si>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</si>
  <si>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</si>
  <si>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</si>
  <si>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</si>
  <si>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</si>
  <si>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</si>
  <si>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</si>
  <si>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</si>
  <si>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</si>
  <si>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</si>
  <si>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</si>
  <si>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</si>
  <si>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</si>
  <si>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</si>
  <si>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</si>
  <si>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</si>
  <si>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</si>
  <si>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</si>
  <si>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</si>
  <si>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</si>
  <si>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</si>
  <si>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</si>
  <si>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</si>
  <si>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</si>
  <si>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</si>
  <si>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</si>
  <si>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</si>
  <si>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</si>
  <si>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</si>
  <si>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</si>
  <si>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</si>
  <si>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</si>
  <si>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</si>
  <si>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</si>
  <si>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</si>
  <si>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</si>
  <si>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</si>
  <si>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</si>
  <si>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</si>
  <si>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</si>
  <si>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</si>
  <si>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</si>
  <si>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ツモ</t>
  </si>
  <si>
    <t>ツモ支払</t>
  </si>
  <si>
    <t>*</t>
  </si>
  <si>
    <t>01</t>
  </si>
  <si>
    <t>ロン</t>
  </si>
  <si>
    <t>放銃</t>
  </si>
  <si>
    <t>02</t>
  </si>
  <si>
    <t>ただ</t>
    <phoneticPr fontId="1"/>
  </si>
  <si>
    <t>たかの</t>
    <phoneticPr fontId="1"/>
  </si>
  <si>
    <t>まっつん</t>
    <phoneticPr fontId="1"/>
  </si>
  <si>
    <t>まっつん</t>
  </si>
  <si>
    <t>ただ</t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</si>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</sst>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85972-4EE9-43D2-AC3D-FA87CEED759E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141</v>
      </c>
      <c r="G1" s="73"/>
      <c r="H1" s="73"/>
      <c r="I1" s="82"/>
      <c r="J1" s="74"/>
      <c r="K1" s="71" t="s">
        <v>142</v>
      </c>
      <c r="L1" s="73"/>
      <c r="M1" s="73"/>
      <c r="N1" s="82"/>
      <c r="O1" s="74"/>
      <c r="P1" s="71" t="s">
        <v>143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ただ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たかの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まっつん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 t="s">
        <v>10</v>
      </c>
      <c r="CE3" s="38" t="s">
        <v>10</v>
      </c>
      <c r="CF3" s="38" t="s">
        <v>10</v>
      </c>
      <c r="CG3" s="38" t="s">
        <v>10</v>
      </c>
      <c r="CH3" s="38" t="s">
        <v>10</v>
      </c>
      <c r="CI3" s="39" t="s">
        <v>10</v>
      </c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144</v>
      </c>
      <c r="F4" s="8" t="s">
        <v>135</v>
      </c>
      <c r="G4" s="9">
        <v>-500</v>
      </c>
      <c r="H4" s="9">
        <v>-1000</v>
      </c>
      <c r="I4" s="48">
        <v>0</v>
      </c>
      <c r="J4" s="21">
        <f>IF(COUNTA($F4,$K4,$P4)&gt;0,J3+SUM(G4:I4),"")</f>
        <v>33500</v>
      </c>
      <c r="K4" s="8" t="s">
        <v>134</v>
      </c>
      <c r="L4" s="9">
        <v>1200</v>
      </c>
      <c r="M4" s="9">
        <v>1000</v>
      </c>
      <c r="N4" s="48">
        <v>0</v>
      </c>
      <c r="O4" s="21">
        <f>IF(COUNTA($F4,$K4,$P4)&gt;0,O3+SUM(L4:N4),"")</f>
        <v>37200</v>
      </c>
      <c r="P4" s="8" t="s">
        <v>135</v>
      </c>
      <c r="Q4" s="9">
        <v>-700</v>
      </c>
      <c r="R4" s="9"/>
      <c r="S4" s="48">
        <v>0</v>
      </c>
      <c r="T4" s="21">
        <f>IF(COUNTA($F4,$K4,$P4)&gt;0,T3+SUM(Q4:S4),"")</f>
        <v>34300</v>
      </c>
      <c r="U4" s="53">
        <f>IF($J4="","",ROUND(($J4-$J$3)/1000,1)+(_xlfn.RANK.AVG($J4,($J4,$O4,$T4),1)-2)*20)</f>
        <v>-21.5</v>
      </c>
      <c r="V4" s="54">
        <f>IF($O4="","",ROUND(($O4-$O$3)/1000,1)+(_xlfn.RANK.AVG($O4,($J4,$O4,$T4),1)-2)*20)</f>
        <v>22.2</v>
      </c>
      <c r="W4" s="55">
        <f>IF($T4="","",ROUND(($T4-$T$3)/1000,1)+(_xlfn.RANK.AVG($T4,($J4,$O4,$T4),1)-2)*20)</f>
        <v>-0.7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IF($E5="","",IF(F4="チョンボ",C4,IF($E4=$E5,C4+1,0)))</f>
        <v>0</v>
      </c>
      <c r="D5" s="18">
        <f t="shared" ref="D5:D30" si="0">IF($E5="","",IF(OR($F4="流局",$F4="チョンボ"),D4+($H4+$M4+$R4)/-1000,0))</f>
        <v>0</v>
      </c>
      <c r="E5" s="4" t="s">
        <v>145</v>
      </c>
      <c r="F5" s="8" t="s">
        <v>139</v>
      </c>
      <c r="G5" s="9">
        <v>-8000</v>
      </c>
      <c r="H5" s="9"/>
      <c r="I5" s="48">
        <v>0</v>
      </c>
      <c r="J5" s="21">
        <f t="shared" ref="J5:J30" si="1">IF(COUNTA($F5,$K5,$P5)&gt;0,J4+SUM(G5:I5),"")</f>
        <v>25500</v>
      </c>
      <c r="K5" s="8"/>
      <c r="L5" s="9"/>
      <c r="M5" s="9">
        <v>-1000</v>
      </c>
      <c r="N5" s="48"/>
      <c r="O5" s="21">
        <f t="shared" ref="O5:O30" si="2">IF(COUNTA($F5,$K5,$P5)&gt;0,O4+SUM(L5:N5),"")</f>
        <v>36200</v>
      </c>
      <c r="P5" s="8" t="s">
        <v>138</v>
      </c>
      <c r="Q5" s="9">
        <v>8000</v>
      </c>
      <c r="R5" s="9">
        <v>1000</v>
      </c>
      <c r="S5" s="48">
        <v>0</v>
      </c>
      <c r="T5" s="21">
        <f t="shared" ref="T5:T30" si="3">IF(COUNTA($F5,$K5,$P5)&gt;0,T4+SUM(Q5:S5),"")</f>
        <v>43300</v>
      </c>
      <c r="U5" s="53">
        <f>IF($J5="","",ROUND(($J5-$J$3)/1000,1)+(_xlfn.RANK.AVG($J5,($J5,$O5,$T5),1)-2)*20)</f>
        <v>-29.5</v>
      </c>
      <c r="V5" s="54">
        <f>IF($O5="","",ROUND(($O5-$O$3)/1000,1)+(_xlfn.RANK.AVG($O5,($J5,$O5,$T5),1)-2)*20)</f>
        <v>1.2</v>
      </c>
      <c r="W5" s="55">
        <f>IF($T5="","",ROUND(($T5-$T$3)/1000,1)+(_xlfn.RANK.AVG($T5,($J5,$O5,$T5),1)-2)*20)</f>
        <v>28.3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136</v>
      </c>
      <c r="BU5" s="40" t="s">
        <v>81</v>
      </c>
      <c r="BV5" s="41" t="s">
        <v>81</v>
      </c>
      <c r="BW5" s="41" t="s">
        <v>81</v>
      </c>
      <c r="BX5" s="41" t="s">
        <v>86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>IF($E6="","",IF(AND(B5=3,B6=1),_xlfn.SWITCH(A5,"東","南","南","西","西","北","北","東"),A5))</f>
        <v>東</v>
      </c>
      <c r="B6" s="18">
        <f t="shared" ref="B6:B30" si="4">IF($E6="","",IF($E5=$E6,B5,IF(B5=3,1,B5+1)))</f>
        <v>3</v>
      </c>
      <c r="C6" s="18">
        <f>IF($E6="","",IF(F5="チョンボ",C5,IF($E5=$E6,C5+1,0)))</f>
        <v>0</v>
      </c>
      <c r="D6" s="18">
        <f t="shared" si="0"/>
        <v>0</v>
      </c>
      <c r="E6" s="4" t="s">
        <v>146</v>
      </c>
      <c r="F6" s="8" t="s">
        <v>135</v>
      </c>
      <c r="G6" s="9">
        <v>-1500</v>
      </c>
      <c r="H6" s="9"/>
      <c r="I6" s="48">
        <v>0</v>
      </c>
      <c r="J6" s="21">
        <f t="shared" si="1"/>
        <v>24000</v>
      </c>
      <c r="K6" s="8" t="s">
        <v>134</v>
      </c>
      <c r="L6" s="9">
        <v>3000</v>
      </c>
      <c r="M6" s="9"/>
      <c r="N6" s="48">
        <v>0</v>
      </c>
      <c r="O6" s="21">
        <f t="shared" si="2"/>
        <v>39200</v>
      </c>
      <c r="P6" s="8" t="s">
        <v>135</v>
      </c>
      <c r="Q6" s="9">
        <v>-1500</v>
      </c>
      <c r="R6" s="9"/>
      <c r="S6" s="48">
        <v>0</v>
      </c>
      <c r="T6" s="21">
        <f t="shared" si="3"/>
        <v>41800</v>
      </c>
      <c r="U6" s="53">
        <f>IF($J6="","",ROUND(($J6-$J$3)/1000,1)+(_xlfn.RANK.AVG($J6,($J6,$O6,$T6),1)-2)*20)</f>
        <v>-31</v>
      </c>
      <c r="V6" s="54">
        <f>IF($O6="","",ROUND(($O6-$O$3)/1000,1)+(_xlfn.RANK.AVG($O6,($J6,$O6,$T6),1)-2)*20)</f>
        <v>4.2</v>
      </c>
      <c r="W6" s="55">
        <f>IF($T6="","",ROUND(($T6-$T$3)/1000,1)+(_xlfn.RANK.AVG($T6,($J6,$O6,$T6),1)-2)*20)</f>
        <v>26.8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81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ref="A7:A30" si="5">IF($E7="","",IF(AND(B6=3,B7=1),_xlfn.SWITCH(A6,"東","南","南","西","西","北","北","東"),A6))</f>
        <v>東</v>
      </c>
      <c r="B7" s="18">
        <f t="shared" si="4"/>
        <v>3</v>
      </c>
      <c r="C7" s="18">
        <f t="shared" ref="C7:C30" si="6">IF($E7="","",IF(F6="チョンボ",C6,IF($E6=$E7,C6+1,0)))</f>
        <v>1</v>
      </c>
      <c r="D7" s="18">
        <f t="shared" si="0"/>
        <v>0</v>
      </c>
      <c r="E7" s="4" t="s">
        <v>146</v>
      </c>
      <c r="F7" s="8" t="s">
        <v>135</v>
      </c>
      <c r="G7" s="9">
        <v>-9000</v>
      </c>
      <c r="H7" s="9"/>
      <c r="I7" s="48">
        <v>-500</v>
      </c>
      <c r="J7" s="21">
        <f t="shared" si="1"/>
        <v>14500</v>
      </c>
      <c r="K7" s="8" t="s">
        <v>134</v>
      </c>
      <c r="L7" s="9">
        <v>18000</v>
      </c>
      <c r="M7" s="9"/>
      <c r="N7" s="48">
        <v>1000</v>
      </c>
      <c r="O7" s="21">
        <f t="shared" si="2"/>
        <v>58200</v>
      </c>
      <c r="P7" s="8" t="s">
        <v>135</v>
      </c>
      <c r="Q7" s="9">
        <v>-9000</v>
      </c>
      <c r="R7" s="9"/>
      <c r="S7" s="48">
        <v>-500</v>
      </c>
      <c r="T7" s="21">
        <f t="shared" si="3"/>
        <v>32300</v>
      </c>
      <c r="U7" s="53">
        <f>IF($J7="","",ROUND(($J7-$J$3)/1000,1)+(_xlfn.RANK.AVG($J7,($J7,$O7,$T7),1)-2)*20)</f>
        <v>-40.5</v>
      </c>
      <c r="V7" s="54">
        <f>IF($O7="","",ROUND(($O7-$O$3)/1000,1)+(_xlfn.RANK.AVG($O7,($J7,$O7,$T7),1)-2)*20)</f>
        <v>43.2</v>
      </c>
      <c r="W7" s="55">
        <f>IF($T7="","",ROUND(($T7-$T$3)/1000,1)+(_xlfn.RANK.AVG($T7,($J7,$O7,$T7),1)-2)*20)</f>
        <v>-2.7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136</v>
      </c>
      <c r="AZ7" s="40" t="s">
        <v>137</v>
      </c>
      <c r="BA7" s="41" t="s">
        <v>82</v>
      </c>
      <c r="BB7" s="41" t="s">
        <v>81</v>
      </c>
      <c r="BC7" s="41" t="s">
        <v>80</v>
      </c>
      <c r="BD7" s="41" t="s">
        <v>81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5"/>
        <v>東</v>
      </c>
      <c r="B8" s="18">
        <f t="shared" si="4"/>
        <v>3</v>
      </c>
      <c r="C8" s="18">
        <f t="shared" si="6"/>
        <v>2</v>
      </c>
      <c r="D8" s="18">
        <f t="shared" si="0"/>
        <v>0</v>
      </c>
      <c r="E8" s="4" t="s">
        <v>146</v>
      </c>
      <c r="F8" s="8" t="s">
        <v>139</v>
      </c>
      <c r="G8" s="9">
        <v>-12000</v>
      </c>
      <c r="H8" s="9"/>
      <c r="I8" s="48">
        <v>-2000</v>
      </c>
      <c r="J8" s="21">
        <f t="shared" si="1"/>
        <v>500</v>
      </c>
      <c r="K8" s="8" t="s">
        <v>138</v>
      </c>
      <c r="L8" s="9">
        <v>12000</v>
      </c>
      <c r="M8" s="9"/>
      <c r="N8" s="48">
        <v>2000</v>
      </c>
      <c r="O8" s="21">
        <f t="shared" si="2"/>
        <v>72200</v>
      </c>
      <c r="P8" s="8"/>
      <c r="Q8" s="9"/>
      <c r="R8" s="9"/>
      <c r="S8" s="48"/>
      <c r="T8" s="21">
        <f t="shared" si="3"/>
        <v>32300</v>
      </c>
      <c r="U8" s="53">
        <f>IF($J8="","",ROUND(($J8-$J$3)/1000,1)+(_xlfn.RANK.AVG($J8,($J8,$O8,$T8),1)-2)*20)</f>
        <v>-54.5</v>
      </c>
      <c r="V8" s="54">
        <f>IF($O8="","",ROUND(($O8-$O$3)/1000,1)+(_xlfn.RANK.AVG($O8,($J8,$O8,$T8),1)-2)*20)</f>
        <v>57.2</v>
      </c>
      <c r="W8" s="55">
        <f>IF($T8="","",ROUND(($T8-$T$3)/1000,1)+(_xlfn.RANK.AVG($T8,($J8,$O8,$T8),1)-2)*20)</f>
        <v>-2.7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137</v>
      </c>
      <c r="BA8" s="41" t="s">
        <v>81</v>
      </c>
      <c r="BB8" s="41" t="s">
        <v>81</v>
      </c>
      <c r="BC8" s="41" t="s">
        <v>83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5"/>
        <v>東</v>
      </c>
      <c r="B9" s="18">
        <f t="shared" si="4"/>
        <v>3</v>
      </c>
      <c r="C9" s="18">
        <f t="shared" si="6"/>
        <v>3</v>
      </c>
      <c r="D9" s="18">
        <f t="shared" si="0"/>
        <v>0</v>
      </c>
      <c r="E9" s="4" t="s">
        <v>146</v>
      </c>
      <c r="F9" s="8" t="s">
        <v>134</v>
      </c>
      <c r="G9" s="9">
        <v>2100</v>
      </c>
      <c r="H9" s="9"/>
      <c r="I9" s="48">
        <v>3000</v>
      </c>
      <c r="J9" s="21">
        <f t="shared" si="1"/>
        <v>5600</v>
      </c>
      <c r="K9" s="8" t="s">
        <v>135</v>
      </c>
      <c r="L9" s="9">
        <v>-1300</v>
      </c>
      <c r="M9" s="9"/>
      <c r="N9" s="48">
        <v>-1500</v>
      </c>
      <c r="O9" s="21">
        <f t="shared" si="2"/>
        <v>69400</v>
      </c>
      <c r="P9" s="8" t="s">
        <v>135</v>
      </c>
      <c r="Q9" s="9">
        <v>-800</v>
      </c>
      <c r="R9" s="9"/>
      <c r="S9" s="48">
        <v>-1500</v>
      </c>
      <c r="T9" s="21">
        <f t="shared" si="3"/>
        <v>30000</v>
      </c>
      <c r="U9" s="53">
        <f>IF($J9="","",ROUND(($J9-$J$3)/1000,1)+(_xlfn.RANK.AVG($J9,($J9,$O9,$T9),1)-2)*20)</f>
        <v>-49.4</v>
      </c>
      <c r="V9" s="54">
        <f>IF($O9="","",ROUND(($O9-$O$3)/1000,1)+(_xlfn.RANK.AVG($O9,($J9,$O9,$T9),1)-2)*20)</f>
        <v>54.4</v>
      </c>
      <c r="W9" s="55">
        <f>IF($T9="","",ROUND(($T9-$T$3)/1000,1)+(_xlfn.RANK.AVG($T9,($J9,$O9,$T9),1)-2)*20)</f>
        <v>-5</v>
      </c>
      <c r="Y9" s="8"/>
      <c r="Z9" s="34"/>
      <c r="AA9" s="26"/>
      <c r="AB9" s="26"/>
      <c r="AC9" s="26">
        <v>2</v>
      </c>
      <c r="AD9" s="30">
        <v>30</v>
      </c>
      <c r="AE9" s="40" t="s">
        <v>82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5"/>
        <v>南</v>
      </c>
      <c r="B10" s="18">
        <f t="shared" si="4"/>
        <v>1</v>
      </c>
      <c r="C10" s="18">
        <f t="shared" si="6"/>
        <v>0</v>
      </c>
      <c r="D10" s="18">
        <f t="shared" si="0"/>
        <v>0</v>
      </c>
      <c r="E10" s="4" t="s">
        <v>144</v>
      </c>
      <c r="F10" s="8" t="s">
        <v>139</v>
      </c>
      <c r="G10" s="9">
        <v>-18000</v>
      </c>
      <c r="H10" s="9">
        <v>-1000</v>
      </c>
      <c r="I10" s="48">
        <v>0</v>
      </c>
      <c r="J10" s="21">
        <f t="shared" si="1"/>
        <v>-13400</v>
      </c>
      <c r="K10" s="8"/>
      <c r="L10" s="9"/>
      <c r="M10" s="9">
        <v>-1000</v>
      </c>
      <c r="N10" s="48"/>
      <c r="O10" s="21">
        <f t="shared" si="2"/>
        <v>68400</v>
      </c>
      <c r="P10" s="8" t="s">
        <v>138</v>
      </c>
      <c r="Q10" s="9">
        <v>18000</v>
      </c>
      <c r="R10" s="9">
        <v>2000</v>
      </c>
      <c r="S10" s="48">
        <v>0</v>
      </c>
      <c r="T10" s="21">
        <f t="shared" si="3"/>
        <v>50000</v>
      </c>
      <c r="U10" s="53">
        <f>IF($J10="","",ROUND(($J10-$J$3)/1000,1)+(_xlfn.RANK.AVG($J10,($J10,$O10,$T10),1)-2)*20)</f>
        <v>-68.400000000000006</v>
      </c>
      <c r="V10" s="54">
        <f>IF($O10="","",ROUND(($O10-$O$3)/1000,1)+(_xlfn.RANK.AVG($O10,($J10,$O10,$T10),1)-2)*20)</f>
        <v>53.4</v>
      </c>
      <c r="W10" s="55">
        <f>IF($T10="","",ROUND(($T10-$T$3)/1000,1)+(_xlfn.RANK.AVG($T10,($J10,$O10,$T10),1)-2)*20)</f>
        <v>15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7</v>
      </c>
      <c r="BT10" s="30" t="s">
        <v>136</v>
      </c>
      <c r="BU10" s="40" t="s">
        <v>81</v>
      </c>
      <c r="BV10" s="41" t="s">
        <v>81</v>
      </c>
      <c r="BW10" s="41" t="s">
        <v>81</v>
      </c>
      <c r="BX10" s="41" t="s">
        <v>86</v>
      </c>
      <c r="BY10" s="41" t="s">
        <v>86</v>
      </c>
      <c r="BZ10" s="41" t="s">
        <v>79</v>
      </c>
      <c r="CA10" s="41" t="s">
        <v>79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5"/>
        <v/>
      </c>
      <c r="B11" s="18" t="str">
        <f t="shared" si="4"/>
        <v/>
      </c>
      <c r="C11" s="18" t="str">
        <f t="shared" si="6"/>
        <v/>
      </c>
      <c r="D11" s="18" t="str">
        <f t="shared" si="0"/>
        <v/>
      </c>
      <c r="E11" s="4"/>
      <c r="F11" s="8"/>
      <c r="G11" s="9"/>
      <c r="H11" s="9"/>
      <c r="I11" s="48"/>
      <c r="J11" s="21" t="str">
        <f t="shared" si="1"/>
        <v/>
      </c>
      <c r="K11" s="8"/>
      <c r="L11" s="9"/>
      <c r="M11" s="9"/>
      <c r="N11" s="48"/>
      <c r="O11" s="21" t="str">
        <f t="shared" si="2"/>
        <v/>
      </c>
      <c r="P11" s="8"/>
      <c r="Q11" s="9"/>
      <c r="R11" s="9"/>
      <c r="S11" s="48"/>
      <c r="T11" s="21" t="str">
        <f t="shared" si="3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5"/>
        <v/>
      </c>
      <c r="B12" s="18" t="str">
        <f t="shared" si="4"/>
        <v/>
      </c>
      <c r="C12" s="18" t="str">
        <f t="shared" si="6"/>
        <v/>
      </c>
      <c r="D12" s="18" t="str">
        <f t="shared" si="0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5"/>
        <v/>
      </c>
      <c r="B13" s="18" t="str">
        <f t="shared" si="4"/>
        <v/>
      </c>
      <c r="C13" s="18" t="str">
        <f t="shared" si="6"/>
        <v/>
      </c>
      <c r="D13" s="18" t="str">
        <f t="shared" si="0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5"/>
        <v/>
      </c>
      <c r="B14" s="18" t="str">
        <f t="shared" si="4"/>
        <v/>
      </c>
      <c r="C14" s="18" t="str">
        <f t="shared" si="6"/>
        <v/>
      </c>
      <c r="D14" s="18" t="str">
        <f t="shared" si="0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5"/>
        <v/>
      </c>
      <c r="B15" s="18" t="str">
        <f t="shared" si="4"/>
        <v/>
      </c>
      <c r="C15" s="18" t="str">
        <f t="shared" si="6"/>
        <v/>
      </c>
      <c r="D15" s="18" t="str">
        <f t="shared" si="0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5"/>
        <v/>
      </c>
      <c r="B16" s="18" t="str">
        <f t="shared" si="4"/>
        <v/>
      </c>
      <c r="C16" s="18" t="str">
        <f t="shared" si="6"/>
        <v/>
      </c>
      <c r="D16" s="18" t="str">
        <f t="shared" si="0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5"/>
        <v/>
      </c>
      <c r="B17" s="18" t="str">
        <f t="shared" si="4"/>
        <v/>
      </c>
      <c r="C17" s="18" t="str">
        <f t="shared" si="6"/>
        <v/>
      </c>
      <c r="D17" s="18" t="str">
        <f t="shared" si="0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5"/>
        <v/>
      </c>
      <c r="B18" s="18" t="str">
        <f t="shared" si="4"/>
        <v/>
      </c>
      <c r="C18" s="18" t="str">
        <f t="shared" si="6"/>
        <v/>
      </c>
      <c r="D18" s="18" t="str">
        <f t="shared" si="0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5"/>
        <v/>
      </c>
      <c r="B19" s="18" t="str">
        <f t="shared" si="4"/>
        <v/>
      </c>
      <c r="C19" s="18" t="str">
        <f t="shared" si="6"/>
        <v/>
      </c>
      <c r="D19" s="18" t="str">
        <f t="shared" si="0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5"/>
        <v/>
      </c>
      <c r="B20" s="18" t="str">
        <f t="shared" si="4"/>
        <v/>
      </c>
      <c r="C20" s="18" t="str">
        <f t="shared" si="6"/>
        <v/>
      </c>
      <c r="D20" s="18" t="str">
        <f t="shared" si="0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5"/>
        <v/>
      </c>
      <c r="B21" s="18" t="str">
        <f t="shared" si="4"/>
        <v/>
      </c>
      <c r="C21" s="18" t="str">
        <f t="shared" si="6"/>
        <v/>
      </c>
      <c r="D21" s="18" t="str">
        <f t="shared" si="0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5"/>
        <v/>
      </c>
      <c r="B22" s="18" t="str">
        <f t="shared" si="4"/>
        <v/>
      </c>
      <c r="C22" s="18" t="str">
        <f t="shared" si="6"/>
        <v/>
      </c>
      <c r="D22" s="18" t="str">
        <f t="shared" si="0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5"/>
        <v/>
      </c>
      <c r="B23" s="18" t="str">
        <f t="shared" si="4"/>
        <v/>
      </c>
      <c r="C23" s="18" t="str">
        <f t="shared" si="6"/>
        <v/>
      </c>
      <c r="D23" s="18" t="str">
        <f t="shared" si="0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5"/>
        <v/>
      </c>
      <c r="B24" s="18" t="str">
        <f t="shared" si="4"/>
        <v/>
      </c>
      <c r="C24" s="18" t="str">
        <f t="shared" si="6"/>
        <v/>
      </c>
      <c r="D24" s="18" t="str">
        <f t="shared" si="0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5"/>
        <v/>
      </c>
      <c r="B25" s="18" t="str">
        <f t="shared" si="4"/>
        <v/>
      </c>
      <c r="C25" s="18" t="str">
        <f t="shared" si="6"/>
        <v/>
      </c>
      <c r="D25" s="18" t="str">
        <f t="shared" si="0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5"/>
        <v/>
      </c>
      <c r="B26" s="18" t="str">
        <f t="shared" si="4"/>
        <v/>
      </c>
      <c r="C26" s="18" t="str">
        <f t="shared" si="6"/>
        <v/>
      </c>
      <c r="D26" s="18" t="str">
        <f t="shared" si="0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5"/>
        <v/>
      </c>
      <c r="B27" s="18" t="str">
        <f t="shared" si="4"/>
        <v/>
      </c>
      <c r="C27" s="18" t="str">
        <f t="shared" si="6"/>
        <v/>
      </c>
      <c r="D27" s="18" t="str">
        <f t="shared" si="0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5"/>
        <v/>
      </c>
      <c r="B28" s="18" t="str">
        <f t="shared" si="4"/>
        <v/>
      </c>
      <c r="C28" s="18" t="str">
        <f t="shared" si="6"/>
        <v/>
      </c>
      <c r="D28" s="18" t="str">
        <f t="shared" si="0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5"/>
        <v/>
      </c>
      <c r="B29" s="18" t="str">
        <f t="shared" si="4"/>
        <v/>
      </c>
      <c r="C29" s="18" t="str">
        <f t="shared" si="6"/>
        <v/>
      </c>
      <c r="D29" s="18" t="str">
        <f t="shared" si="0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5"/>
        <v/>
      </c>
      <c r="B30" s="19" t="str">
        <f t="shared" si="4"/>
        <v/>
      </c>
      <c r="C30" s="19" t="str">
        <f t="shared" si="6"/>
        <v/>
      </c>
      <c r="D30" s="19" t="str">
        <f t="shared" si="0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EDF9A13B-25A2-41FA-9501-47C9E99BF7B4}">
      <formula1>$U$2:$W$2</formula1>
    </dataValidation>
    <dataValidation type="list" showInputMessage="1" showErrorMessage="1" sqref="K4:K30 P4:P30 F4:F30" xr:uid="{1B17DA6B-E3E0-481F-933F-815ACA0BE53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86BD4-0DBA-41C0-A854-FEE3C36DA29F}">
  <sheetPr codeName="Sheet15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141</v>
      </c>
      <c r="G1" s="73"/>
      <c r="H1" s="73"/>
      <c r="I1" s="82"/>
      <c r="J1" s="74"/>
      <c r="K1" s="71" t="s">
        <v>142</v>
      </c>
      <c r="L1" s="73"/>
      <c r="M1" s="73"/>
      <c r="N1" s="82"/>
      <c r="O1" s="74"/>
      <c r="P1" s="71" t="s">
        <v>143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ただ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たかの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まっつん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まっつん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 t="s">
        <v>10</v>
      </c>
      <c r="CE3" s="38" t="s">
        <v>10</v>
      </c>
      <c r="CF3" s="38" t="s">
        <v>10</v>
      </c>
      <c r="CG3" s="38" t="s">
        <v>10</v>
      </c>
      <c r="CH3" s="38" t="s">
        <v>10</v>
      </c>
      <c r="CI3" s="39" t="s">
        <v>10</v>
      </c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145</v>
      </c>
      <c r="F4" s="8" t="s">
        <v>134</v>
      </c>
      <c r="G4" s="9">
        <v>12000</v>
      </c>
      <c r="H4" s="9">
        <v>1000</v>
      </c>
      <c r="I4" s="48">
        <v>0</v>
      </c>
      <c r="J4" s="21">
        <f t="shared" ref="J4:J11" si="0">IF(COUNTA($F4,$K4,$P4)&gt;0,J3+SUM(G4:I4),"")</f>
        <v>48000</v>
      </c>
      <c r="K4" s="8" t="s">
        <v>135</v>
      </c>
      <c r="L4" s="9">
        <v>-6000</v>
      </c>
      <c r="M4" s="9">
        <v>-1000</v>
      </c>
      <c r="N4" s="48">
        <v>0</v>
      </c>
      <c r="O4" s="21">
        <f t="shared" ref="O4:O11" si="1">IF(COUNTA($F4,$K4,$P4)&gt;0,O3+SUM(L4:N4),"")</f>
        <v>28000</v>
      </c>
      <c r="P4" s="8" t="s">
        <v>135</v>
      </c>
      <c r="Q4" s="9">
        <v>-6000</v>
      </c>
      <c r="R4" s="9"/>
      <c r="S4" s="48">
        <v>0</v>
      </c>
      <c r="T4" s="21">
        <f t="shared" ref="T4:T11" si="2">IF(COUNTA($F4,$K4,$P4)&gt;0,T3+SUM(Q4:S4),"")</f>
        <v>29000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-27</v>
      </c>
      <c r="W4" s="55">
        <f>IF($T4="","",ROUND(($T4-$T$3)/1000,1)+(_xlfn.RANK.AVG($T4,($J4,$O4,$T4),1)-2)*20)</f>
        <v>-6</v>
      </c>
      <c r="Y4" s="8"/>
      <c r="Z4" s="34"/>
      <c r="AA4" s="26">
        <v>1</v>
      </c>
      <c r="AB4" s="26"/>
      <c r="AC4" s="26">
        <v>5</v>
      </c>
      <c r="AD4" s="30" t="s">
        <v>136</v>
      </c>
      <c r="AE4" s="40" t="s">
        <v>137</v>
      </c>
      <c r="AF4" s="41" t="s">
        <v>83</v>
      </c>
      <c r="AG4" s="41" t="s">
        <v>80</v>
      </c>
      <c r="AH4" s="41" t="s">
        <v>80</v>
      </c>
      <c r="AI4" s="41" t="s">
        <v>81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0" si="3">IF($E5="","",IF(AND(B4=3,B5=1),_xlfn.SWITCH(A4,"東","南","南","西","西","北","北","東"),A4))</f>
        <v>東</v>
      </c>
      <c r="B5" s="18">
        <f t="shared" ref="B5:B10" si="4">IF($E5="","",IF($E4=$E5,B4,IF(B4=3,1,B4+1)))</f>
        <v>1</v>
      </c>
      <c r="C5" s="18">
        <f t="shared" ref="C5:C10" si="5">IF($E5="","",IF(F4="チョンボ",C4,IF($E4=$E5,C4+1,0)))</f>
        <v>1</v>
      </c>
      <c r="D5" s="18">
        <f t="shared" ref="D5:D10" si="6">IF($E5="","",IF(OR($F4="流局",$F4="チョンボ"),D4+($H4+$M4+$R4)/-1000,0))</f>
        <v>0</v>
      </c>
      <c r="E5" s="4" t="s">
        <v>145</v>
      </c>
      <c r="F5" s="8" t="s">
        <v>134</v>
      </c>
      <c r="G5" s="9">
        <v>12000</v>
      </c>
      <c r="H5" s="9">
        <v>1000</v>
      </c>
      <c r="I5" s="48">
        <v>1000</v>
      </c>
      <c r="J5" s="21">
        <f t="shared" si="0"/>
        <v>62000</v>
      </c>
      <c r="K5" s="8" t="s">
        <v>135</v>
      </c>
      <c r="L5" s="9">
        <v>-6000</v>
      </c>
      <c r="M5" s="9">
        <v>-1000</v>
      </c>
      <c r="N5" s="48">
        <v>-500</v>
      </c>
      <c r="O5" s="21">
        <f t="shared" si="1"/>
        <v>20500</v>
      </c>
      <c r="P5" s="8" t="s">
        <v>135</v>
      </c>
      <c r="Q5" s="9">
        <v>-6000</v>
      </c>
      <c r="R5" s="9"/>
      <c r="S5" s="48">
        <v>-500</v>
      </c>
      <c r="T5" s="21">
        <f t="shared" si="2"/>
        <v>22500</v>
      </c>
      <c r="U5" s="53">
        <f>IF($J5="","",ROUND(($J5-$J$3)/1000,1)+(_xlfn.RANK.AVG($J5,($J5,$O5,$T5),1)-2)*20)</f>
        <v>47</v>
      </c>
      <c r="V5" s="54">
        <f>IF($O5="","",ROUND(($O5-$O$3)/1000,1)+(_xlfn.RANK.AVG($O5,($J5,$O5,$T5),1)-2)*20)</f>
        <v>-34.5</v>
      </c>
      <c r="W5" s="55">
        <f>IF($T5="","",ROUND(($T5-$T$3)/1000,1)+(_xlfn.RANK.AVG($T5,($J5,$O5,$T5),1)-2)*20)</f>
        <v>-12.5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137</v>
      </c>
      <c r="AF5" s="41" t="s">
        <v>140</v>
      </c>
      <c r="AG5" s="41" t="s">
        <v>86</v>
      </c>
      <c r="AH5" s="41" t="s">
        <v>82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1</v>
      </c>
      <c r="C6" s="18">
        <f t="shared" si="5"/>
        <v>2</v>
      </c>
      <c r="D6" s="18">
        <f t="shared" si="6"/>
        <v>0</v>
      </c>
      <c r="E6" s="4" t="s">
        <v>145</v>
      </c>
      <c r="F6" s="8"/>
      <c r="G6" s="9"/>
      <c r="H6" s="9"/>
      <c r="I6" s="48"/>
      <c r="J6" s="21">
        <f t="shared" si="0"/>
        <v>62000</v>
      </c>
      <c r="K6" s="8" t="s">
        <v>138</v>
      </c>
      <c r="L6" s="9">
        <v>1000</v>
      </c>
      <c r="M6" s="9"/>
      <c r="N6" s="48">
        <v>2000</v>
      </c>
      <c r="O6" s="21">
        <f t="shared" si="1"/>
        <v>23500</v>
      </c>
      <c r="P6" s="8" t="s">
        <v>139</v>
      </c>
      <c r="Q6" s="9">
        <v>-1000</v>
      </c>
      <c r="R6" s="9"/>
      <c r="S6" s="48">
        <v>-2000</v>
      </c>
      <c r="T6" s="21">
        <f t="shared" si="2"/>
        <v>19500</v>
      </c>
      <c r="U6" s="53">
        <f>IF($J6="","",ROUND(($J6-$J$3)/1000,1)+(_xlfn.RANK.AVG($J6,($J6,$O6,$T6),1)-2)*20)</f>
        <v>47</v>
      </c>
      <c r="V6" s="54">
        <f>IF($O6="","",ROUND(($O6-$O$3)/1000,1)+(_xlfn.RANK.AVG($O6,($J6,$O6,$T6),1)-2)*20)</f>
        <v>-11.5</v>
      </c>
      <c r="W6" s="55">
        <f>IF($T6="","",ROUND(($T6-$T$3)/1000,1)+(_xlfn.RANK.AVG($T6,($J6,$O6,$T6),1)-2)*20)</f>
        <v>-35.5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2</v>
      </c>
      <c r="C7" s="18">
        <f t="shared" si="5"/>
        <v>0</v>
      </c>
      <c r="D7" s="18">
        <f t="shared" si="6"/>
        <v>0</v>
      </c>
      <c r="E7" s="4" t="s">
        <v>146</v>
      </c>
      <c r="F7" s="8" t="s">
        <v>138</v>
      </c>
      <c r="G7" s="9">
        <v>5200</v>
      </c>
      <c r="H7" s="9"/>
      <c r="I7" s="48">
        <v>0</v>
      </c>
      <c r="J7" s="21">
        <f t="shared" si="0"/>
        <v>67200</v>
      </c>
      <c r="K7" s="8"/>
      <c r="L7" s="9"/>
      <c r="M7" s="9"/>
      <c r="N7" s="48"/>
      <c r="O7" s="21">
        <f t="shared" si="1"/>
        <v>23500</v>
      </c>
      <c r="P7" s="8" t="s">
        <v>139</v>
      </c>
      <c r="Q7" s="9">
        <v>-5200</v>
      </c>
      <c r="R7" s="9"/>
      <c r="S7" s="48">
        <v>0</v>
      </c>
      <c r="T7" s="21">
        <f t="shared" si="2"/>
        <v>14300</v>
      </c>
      <c r="U7" s="53">
        <f>IF($J7="","",ROUND(($J7-$J$3)/1000,1)+(_xlfn.RANK.AVG($J7,($J7,$O7,$T7),1)-2)*20)</f>
        <v>52.2</v>
      </c>
      <c r="V7" s="54">
        <f>IF($O7="","",ROUND(($O7-$O$3)/1000,1)+(_xlfn.RANK.AVG($O7,($J7,$O7,$T7),1)-2)*20)</f>
        <v>-11.5</v>
      </c>
      <c r="W7" s="55">
        <f>IF($T7="","",ROUND(($T7-$T$3)/1000,1)+(_xlfn.RANK.AVG($T7,($J7,$O7,$T7),1)-2)*20)</f>
        <v>-40.700000000000003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137</v>
      </c>
      <c r="AF7" s="41" t="s">
        <v>86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4"/>
        <v>3</v>
      </c>
      <c r="C8" s="18">
        <f t="shared" si="5"/>
        <v>0</v>
      </c>
      <c r="D8" s="18">
        <f t="shared" si="6"/>
        <v>0</v>
      </c>
      <c r="E8" s="4" t="s">
        <v>144</v>
      </c>
      <c r="F8" s="8" t="s">
        <v>138</v>
      </c>
      <c r="G8" s="9">
        <v>2000</v>
      </c>
      <c r="H8" s="9"/>
      <c r="I8" s="48">
        <v>0</v>
      </c>
      <c r="J8" s="21">
        <f t="shared" si="0"/>
        <v>69200</v>
      </c>
      <c r="K8" s="8" t="s">
        <v>139</v>
      </c>
      <c r="L8" s="9">
        <v>-2000</v>
      </c>
      <c r="M8" s="9"/>
      <c r="N8" s="48">
        <v>0</v>
      </c>
      <c r="O8" s="21">
        <f t="shared" si="1"/>
        <v>21500</v>
      </c>
      <c r="P8" s="8"/>
      <c r="Q8" s="9"/>
      <c r="R8" s="9"/>
      <c r="S8" s="48"/>
      <c r="T8" s="21">
        <f t="shared" si="2"/>
        <v>14300</v>
      </c>
      <c r="U8" s="53">
        <f>IF($J8="","",ROUND(($J8-$J$3)/1000,1)+(_xlfn.RANK.AVG($J8,($J8,$O8,$T8),1)-2)*20)</f>
        <v>54.2</v>
      </c>
      <c r="V8" s="54">
        <f>IF($O8="","",ROUND(($O8-$O$3)/1000,1)+(_xlfn.RANK.AVG($O8,($J8,$O8,$T8),1)-2)*20)</f>
        <v>-13.5</v>
      </c>
      <c r="W8" s="55">
        <f>IF($T8="","",ROUND(($T8-$T$3)/1000,1)+(_xlfn.RANK.AVG($T8,($J8,$O8,$T8),1)-2)*20)</f>
        <v>-40.700000000000003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81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0</v>
      </c>
      <c r="D9" s="18">
        <f t="shared" si="6"/>
        <v>0</v>
      </c>
      <c r="E9" s="4" t="s">
        <v>145</v>
      </c>
      <c r="F9" s="8" t="s">
        <v>135</v>
      </c>
      <c r="G9" s="9">
        <v>-1300</v>
      </c>
      <c r="H9" s="9"/>
      <c r="I9" s="48">
        <v>0</v>
      </c>
      <c r="J9" s="21">
        <f t="shared" si="0"/>
        <v>67900</v>
      </c>
      <c r="K9" s="8" t="s">
        <v>134</v>
      </c>
      <c r="L9" s="9">
        <v>2100</v>
      </c>
      <c r="M9" s="9"/>
      <c r="N9" s="48">
        <v>0</v>
      </c>
      <c r="O9" s="21">
        <f t="shared" si="1"/>
        <v>23600</v>
      </c>
      <c r="P9" s="8" t="s">
        <v>135</v>
      </c>
      <c r="Q9" s="9">
        <v>-800</v>
      </c>
      <c r="R9" s="9"/>
      <c r="S9" s="48">
        <v>0</v>
      </c>
      <c r="T9" s="21">
        <f t="shared" si="2"/>
        <v>13500</v>
      </c>
      <c r="U9" s="53">
        <f>IF($J9="","",ROUND(($J9-$J$3)/1000,1)+(_xlfn.RANK.AVG($J9,($J9,$O9,$T9),1)-2)*20)</f>
        <v>52.9</v>
      </c>
      <c r="V9" s="54">
        <f>IF($O9="","",ROUND(($O9-$O$3)/1000,1)+(_xlfn.RANK.AVG($O9,($J9,$O9,$T9),1)-2)*20)</f>
        <v>-11.4</v>
      </c>
      <c r="W9" s="55">
        <f>IF($T9="","",ROUND(($T9-$T$3)/1000,1)+(_xlfn.RANK.AVG($T9,($J9,$O9,$T9),1)-2)*20)</f>
        <v>-41.5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146</v>
      </c>
      <c r="F10" s="8" t="s">
        <v>138</v>
      </c>
      <c r="G10" s="9">
        <v>12000</v>
      </c>
      <c r="H10" s="9"/>
      <c r="I10" s="48">
        <v>0</v>
      </c>
      <c r="J10" s="21">
        <f t="shared" si="0"/>
        <v>79900</v>
      </c>
      <c r="K10" s="8" t="s">
        <v>138</v>
      </c>
      <c r="L10" s="9">
        <v>5800</v>
      </c>
      <c r="M10" s="9"/>
      <c r="N10" s="48"/>
      <c r="O10" s="21">
        <f t="shared" si="1"/>
        <v>29400</v>
      </c>
      <c r="P10" s="8" t="s">
        <v>139</v>
      </c>
      <c r="Q10" s="9">
        <v>-17800</v>
      </c>
      <c r="R10" s="9"/>
      <c r="S10" s="48">
        <v>0</v>
      </c>
      <c r="T10" s="21">
        <f t="shared" si="2"/>
        <v>-4300</v>
      </c>
      <c r="U10" s="53">
        <f>IF($J10="","",ROUND(($J10-$J$3)/1000,1)+(_xlfn.RANK.AVG($J10,($J10,$O10,$T10),1)-2)*20)</f>
        <v>64.900000000000006</v>
      </c>
      <c r="V10" s="54">
        <f>IF($O10="","",ROUND(($O10-$O$3)/1000,1)+(_xlfn.RANK.AVG($O10,($J10,$O10,$T10),1)-2)*20)</f>
        <v>-5.6</v>
      </c>
      <c r="W10" s="55">
        <f>IF($T10="","",ROUND(($T10-$T$3)/1000,1)+(_xlfn.RANK.AVG($T10,($J10,$O10,$T10),1)-2)*20)</f>
        <v>-59.3</v>
      </c>
      <c r="Y10" s="8"/>
      <c r="Z10" s="34"/>
      <c r="AA10" s="26">
        <v>1</v>
      </c>
      <c r="AB10" s="26"/>
      <c r="AC10" s="26">
        <v>7</v>
      </c>
      <c r="AD10" s="30" t="s">
        <v>136</v>
      </c>
      <c r="AE10" s="40" t="s">
        <v>137</v>
      </c>
      <c r="AF10" s="41" t="s">
        <v>140</v>
      </c>
      <c r="AG10" s="41" t="s">
        <v>79</v>
      </c>
      <c r="AH10" s="41" t="s">
        <v>80</v>
      </c>
      <c r="AI10" s="41" t="s">
        <v>92</v>
      </c>
      <c r="AJ10" s="41" t="s">
        <v>83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137</v>
      </c>
      <c r="BA10" s="41" t="s">
        <v>140</v>
      </c>
      <c r="BB10" s="41" t="s">
        <v>79</v>
      </c>
      <c r="BC10" s="41" t="s">
        <v>80</v>
      </c>
      <c r="BD10" s="41" t="s">
        <v>92</v>
      </c>
      <c r="BE10" s="41" t="s">
        <v>83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ref="A11" si="7">IF($E11="","",IF(AND(B10=3,B11=1),_xlfn.SWITCH(A10,"東","南","南","西","西","北","北","東"),A10))</f>
        <v/>
      </c>
      <c r="B11" s="18" t="str">
        <f t="shared" ref="B11:B30" si="8">IF($E11="","",IF($E10=$E11,B10,IF(B10=3,1,B10+1)))</f>
        <v/>
      </c>
      <c r="C11" s="18" t="str">
        <f t="shared" ref="C11" si="9">IF($E11="","",IF(F10="チョンボ",C10,IF($E10=$E11,C10+1,0)))</f>
        <v/>
      </c>
      <c r="D11" s="18" t="str">
        <f t="shared" ref="D11:D30" si="10">IF($E11="","",IF(OR($F10="流局",$F10="チョンボ"),D10+($H10+$M10+$R10)/-1000,0))</f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ref="A12:A30" si="11">IF($E12="","",IF(AND(B11=3,B12=1),_xlfn.SWITCH(A11,"東","南","南","西","西","北","北","東"),A11))</f>
        <v/>
      </c>
      <c r="B12" s="18" t="str">
        <f t="shared" si="8"/>
        <v/>
      </c>
      <c r="C12" s="18" t="str">
        <f t="shared" ref="C12:C30" si="12">IF($E12="","",IF(F11="チョンボ",C11,IF($E11=$E12,C11+1,0)))</f>
        <v/>
      </c>
      <c r="D12" s="18" t="str">
        <f t="shared" si="10"/>
        <v/>
      </c>
      <c r="E12" s="4"/>
      <c r="F12" s="8"/>
      <c r="G12" s="9"/>
      <c r="H12" s="9"/>
      <c r="I12" s="48"/>
      <c r="J12" s="21" t="str">
        <f t="shared" ref="J12:J30" si="13">IF(COUNTA($F12,$K12,$P12)&gt;0,J11+SUM(G12:I12),"")</f>
        <v/>
      </c>
      <c r="K12" s="8"/>
      <c r="L12" s="9"/>
      <c r="M12" s="9"/>
      <c r="N12" s="48"/>
      <c r="O12" s="21" t="str">
        <f t="shared" ref="O12:O30" si="14">IF(COUNTA($F12,$K12,$P12)&gt;0,O11+SUM(L12:N12),"")</f>
        <v/>
      </c>
      <c r="P12" s="8"/>
      <c r="Q12" s="9"/>
      <c r="R12" s="9"/>
      <c r="S12" s="48"/>
      <c r="T12" s="21" t="str">
        <f t="shared" ref="T12:T30" si="15">IF(COUNTA($F12,$K12,$P12)&gt;0,T11+SUM(Q12:S12),"")</f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11"/>
        <v/>
      </c>
      <c r="B13" s="18" t="str">
        <f t="shared" si="8"/>
        <v/>
      </c>
      <c r="C13" s="18" t="str">
        <f t="shared" si="12"/>
        <v/>
      </c>
      <c r="D13" s="18" t="str">
        <f t="shared" si="10"/>
        <v/>
      </c>
      <c r="E13" s="4"/>
      <c r="F13" s="8"/>
      <c r="G13" s="9"/>
      <c r="H13" s="9"/>
      <c r="I13" s="48"/>
      <c r="J13" s="21" t="str">
        <f t="shared" si="13"/>
        <v/>
      </c>
      <c r="K13" s="8"/>
      <c r="L13" s="9"/>
      <c r="M13" s="9"/>
      <c r="N13" s="48"/>
      <c r="O13" s="21" t="str">
        <f t="shared" si="14"/>
        <v/>
      </c>
      <c r="P13" s="8"/>
      <c r="Q13" s="9"/>
      <c r="R13" s="9"/>
      <c r="S13" s="48"/>
      <c r="T13" s="21" t="str">
        <f t="shared" si="15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11"/>
        <v/>
      </c>
      <c r="B14" s="18" t="str">
        <f t="shared" si="8"/>
        <v/>
      </c>
      <c r="C14" s="18" t="str">
        <f t="shared" si="12"/>
        <v/>
      </c>
      <c r="D14" s="18" t="str">
        <f t="shared" si="10"/>
        <v/>
      </c>
      <c r="E14" s="4"/>
      <c r="F14" s="8"/>
      <c r="G14" s="9"/>
      <c r="H14" s="9"/>
      <c r="I14" s="48"/>
      <c r="J14" s="21" t="str">
        <f t="shared" si="13"/>
        <v/>
      </c>
      <c r="K14" s="8"/>
      <c r="L14" s="9"/>
      <c r="M14" s="9"/>
      <c r="N14" s="48"/>
      <c r="O14" s="21" t="str">
        <f t="shared" si="14"/>
        <v/>
      </c>
      <c r="P14" s="8"/>
      <c r="Q14" s="9"/>
      <c r="R14" s="9"/>
      <c r="S14" s="48"/>
      <c r="T14" s="21" t="str">
        <f t="shared" si="15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11"/>
        <v/>
      </c>
      <c r="B15" s="18" t="str">
        <f t="shared" si="8"/>
        <v/>
      </c>
      <c r="C15" s="18" t="str">
        <f t="shared" si="12"/>
        <v/>
      </c>
      <c r="D15" s="18" t="str">
        <f t="shared" si="10"/>
        <v/>
      </c>
      <c r="E15" s="4"/>
      <c r="F15" s="8"/>
      <c r="G15" s="9"/>
      <c r="H15" s="9"/>
      <c r="I15" s="48"/>
      <c r="J15" s="21" t="str">
        <f t="shared" si="13"/>
        <v/>
      </c>
      <c r="K15" s="8"/>
      <c r="L15" s="9"/>
      <c r="M15" s="9"/>
      <c r="N15" s="48"/>
      <c r="O15" s="21" t="str">
        <f t="shared" si="14"/>
        <v/>
      </c>
      <c r="P15" s="8"/>
      <c r="Q15" s="9"/>
      <c r="R15" s="9"/>
      <c r="S15" s="48"/>
      <c r="T15" s="21" t="str">
        <f t="shared" si="15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11"/>
        <v/>
      </c>
      <c r="B16" s="18" t="str">
        <f t="shared" si="8"/>
        <v/>
      </c>
      <c r="C16" s="18" t="str">
        <f t="shared" si="12"/>
        <v/>
      </c>
      <c r="D16" s="18" t="str">
        <f t="shared" si="10"/>
        <v/>
      </c>
      <c r="E16" s="4"/>
      <c r="F16" s="8"/>
      <c r="G16" s="9"/>
      <c r="H16" s="9"/>
      <c r="I16" s="48"/>
      <c r="J16" s="21" t="str">
        <f t="shared" si="13"/>
        <v/>
      </c>
      <c r="K16" s="8"/>
      <c r="L16" s="9"/>
      <c r="M16" s="9"/>
      <c r="N16" s="48"/>
      <c r="O16" s="21" t="str">
        <f t="shared" si="14"/>
        <v/>
      </c>
      <c r="P16" s="8"/>
      <c r="Q16" s="9"/>
      <c r="R16" s="9"/>
      <c r="S16" s="48"/>
      <c r="T16" s="21" t="str">
        <f t="shared" si="15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11"/>
        <v/>
      </c>
      <c r="B17" s="18" t="str">
        <f t="shared" si="8"/>
        <v/>
      </c>
      <c r="C17" s="18" t="str">
        <f t="shared" si="12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3"/>
        <v/>
      </c>
      <c r="K17" s="8"/>
      <c r="L17" s="9"/>
      <c r="M17" s="9"/>
      <c r="N17" s="48"/>
      <c r="O17" s="21" t="str">
        <f t="shared" si="14"/>
        <v/>
      </c>
      <c r="P17" s="8"/>
      <c r="Q17" s="9"/>
      <c r="R17" s="9"/>
      <c r="S17" s="48"/>
      <c r="T17" s="21" t="str">
        <f t="shared" si="15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11"/>
        <v/>
      </c>
      <c r="B18" s="18" t="str">
        <f t="shared" si="8"/>
        <v/>
      </c>
      <c r="C18" s="18" t="str">
        <f t="shared" si="12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3"/>
        <v/>
      </c>
      <c r="K18" s="8"/>
      <c r="L18" s="9"/>
      <c r="M18" s="9"/>
      <c r="N18" s="48"/>
      <c r="O18" s="21" t="str">
        <f t="shared" si="14"/>
        <v/>
      </c>
      <c r="P18" s="8"/>
      <c r="Q18" s="9"/>
      <c r="R18" s="9"/>
      <c r="S18" s="48"/>
      <c r="T18" s="21" t="str">
        <f t="shared" si="15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11"/>
        <v/>
      </c>
      <c r="B19" s="18" t="str">
        <f t="shared" si="8"/>
        <v/>
      </c>
      <c r="C19" s="18" t="str">
        <f t="shared" si="12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3"/>
        <v/>
      </c>
      <c r="K19" s="8"/>
      <c r="L19" s="9"/>
      <c r="M19" s="9"/>
      <c r="N19" s="48"/>
      <c r="O19" s="21" t="str">
        <f t="shared" si="14"/>
        <v/>
      </c>
      <c r="P19" s="8"/>
      <c r="Q19" s="9"/>
      <c r="R19" s="9"/>
      <c r="S19" s="48"/>
      <c r="T19" s="21" t="str">
        <f t="shared" si="15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11"/>
        <v/>
      </c>
      <c r="B20" s="18" t="str">
        <f t="shared" si="8"/>
        <v/>
      </c>
      <c r="C20" s="18" t="str">
        <f t="shared" si="12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3"/>
        <v/>
      </c>
      <c r="K20" s="8"/>
      <c r="L20" s="9"/>
      <c r="M20" s="9"/>
      <c r="N20" s="48"/>
      <c r="O20" s="21" t="str">
        <f t="shared" si="14"/>
        <v/>
      </c>
      <c r="P20" s="8"/>
      <c r="Q20" s="9"/>
      <c r="R20" s="9"/>
      <c r="S20" s="48"/>
      <c r="T20" s="21" t="str">
        <f t="shared" si="15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11"/>
        <v/>
      </c>
      <c r="B21" s="18" t="str">
        <f t="shared" si="8"/>
        <v/>
      </c>
      <c r="C21" s="18" t="str">
        <f t="shared" si="12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3"/>
        <v/>
      </c>
      <c r="K21" s="8"/>
      <c r="L21" s="9"/>
      <c r="M21" s="9"/>
      <c r="N21" s="48"/>
      <c r="O21" s="21" t="str">
        <f t="shared" si="14"/>
        <v/>
      </c>
      <c r="P21" s="8"/>
      <c r="Q21" s="9"/>
      <c r="R21" s="9"/>
      <c r="S21" s="48"/>
      <c r="T21" s="21" t="str">
        <f t="shared" si="15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11"/>
        <v/>
      </c>
      <c r="B22" s="18" t="str">
        <f t="shared" si="8"/>
        <v/>
      </c>
      <c r="C22" s="18" t="str">
        <f t="shared" si="12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3"/>
        <v/>
      </c>
      <c r="K22" s="8"/>
      <c r="L22" s="9"/>
      <c r="M22" s="9"/>
      <c r="N22" s="48"/>
      <c r="O22" s="21" t="str">
        <f t="shared" si="14"/>
        <v/>
      </c>
      <c r="P22" s="8"/>
      <c r="Q22" s="9"/>
      <c r="R22" s="9"/>
      <c r="S22" s="48"/>
      <c r="T22" s="21" t="str">
        <f t="shared" si="15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11"/>
        <v/>
      </c>
      <c r="B23" s="18" t="str">
        <f t="shared" si="8"/>
        <v/>
      </c>
      <c r="C23" s="18" t="str">
        <f t="shared" si="12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3"/>
        <v/>
      </c>
      <c r="K23" s="8"/>
      <c r="L23" s="9"/>
      <c r="M23" s="9"/>
      <c r="N23" s="48"/>
      <c r="O23" s="21" t="str">
        <f t="shared" si="14"/>
        <v/>
      </c>
      <c r="P23" s="8"/>
      <c r="Q23" s="9"/>
      <c r="R23" s="9"/>
      <c r="S23" s="48"/>
      <c r="T23" s="21" t="str">
        <f t="shared" si="15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11"/>
        <v/>
      </c>
      <c r="B24" s="18" t="str">
        <f t="shared" si="8"/>
        <v/>
      </c>
      <c r="C24" s="18" t="str">
        <f t="shared" si="12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3"/>
        <v/>
      </c>
      <c r="K24" s="8"/>
      <c r="L24" s="9"/>
      <c r="M24" s="9"/>
      <c r="N24" s="48"/>
      <c r="O24" s="21" t="str">
        <f t="shared" si="14"/>
        <v/>
      </c>
      <c r="P24" s="8"/>
      <c r="Q24" s="9"/>
      <c r="R24" s="9"/>
      <c r="S24" s="48"/>
      <c r="T24" s="21" t="str">
        <f t="shared" si="15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11"/>
        <v/>
      </c>
      <c r="B25" s="18" t="str">
        <f t="shared" si="8"/>
        <v/>
      </c>
      <c r="C25" s="18" t="str">
        <f t="shared" si="12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3"/>
        <v/>
      </c>
      <c r="K25" s="8"/>
      <c r="L25" s="9"/>
      <c r="M25" s="9"/>
      <c r="N25" s="48"/>
      <c r="O25" s="21" t="str">
        <f t="shared" si="14"/>
        <v/>
      </c>
      <c r="P25" s="8"/>
      <c r="Q25" s="9"/>
      <c r="R25" s="9"/>
      <c r="S25" s="48"/>
      <c r="T25" s="21" t="str">
        <f t="shared" si="15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11"/>
        <v/>
      </c>
      <c r="B26" s="18" t="str">
        <f t="shared" si="8"/>
        <v/>
      </c>
      <c r="C26" s="18" t="str">
        <f t="shared" si="12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3"/>
        <v/>
      </c>
      <c r="K26" s="8"/>
      <c r="L26" s="9"/>
      <c r="M26" s="9"/>
      <c r="N26" s="48"/>
      <c r="O26" s="21" t="str">
        <f t="shared" si="14"/>
        <v/>
      </c>
      <c r="P26" s="8"/>
      <c r="Q26" s="9"/>
      <c r="R26" s="9"/>
      <c r="S26" s="48"/>
      <c r="T26" s="21" t="str">
        <f t="shared" si="15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11"/>
        <v/>
      </c>
      <c r="B27" s="18" t="str">
        <f t="shared" si="8"/>
        <v/>
      </c>
      <c r="C27" s="18" t="str">
        <f t="shared" si="12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3"/>
        <v/>
      </c>
      <c r="K27" s="8"/>
      <c r="L27" s="9"/>
      <c r="M27" s="9"/>
      <c r="N27" s="48"/>
      <c r="O27" s="21" t="str">
        <f t="shared" si="14"/>
        <v/>
      </c>
      <c r="P27" s="8"/>
      <c r="Q27" s="9"/>
      <c r="R27" s="9"/>
      <c r="S27" s="48"/>
      <c r="T27" s="21" t="str">
        <f t="shared" si="15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11"/>
        <v/>
      </c>
      <c r="B28" s="18" t="str">
        <f t="shared" si="8"/>
        <v/>
      </c>
      <c r="C28" s="18" t="str">
        <f t="shared" si="12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3"/>
        <v/>
      </c>
      <c r="K28" s="8"/>
      <c r="L28" s="9"/>
      <c r="M28" s="9"/>
      <c r="N28" s="48"/>
      <c r="O28" s="21" t="str">
        <f t="shared" si="14"/>
        <v/>
      </c>
      <c r="P28" s="8"/>
      <c r="Q28" s="9"/>
      <c r="R28" s="9"/>
      <c r="S28" s="48"/>
      <c r="T28" s="21" t="str">
        <f t="shared" si="15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11"/>
        <v/>
      </c>
      <c r="B29" s="18" t="str">
        <f t="shared" si="8"/>
        <v/>
      </c>
      <c r="C29" s="18" t="str">
        <f t="shared" si="12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3"/>
        <v/>
      </c>
      <c r="K29" s="8"/>
      <c r="L29" s="9"/>
      <c r="M29" s="9"/>
      <c r="N29" s="48"/>
      <c r="O29" s="21" t="str">
        <f t="shared" si="14"/>
        <v/>
      </c>
      <c r="P29" s="8"/>
      <c r="Q29" s="9"/>
      <c r="R29" s="9"/>
      <c r="S29" s="48"/>
      <c r="T29" s="21" t="str">
        <f t="shared" si="15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11"/>
        <v/>
      </c>
      <c r="B30" s="19" t="str">
        <f t="shared" si="8"/>
        <v/>
      </c>
      <c r="C30" s="19" t="str">
        <f t="shared" si="12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3"/>
        <v/>
      </c>
      <c r="K30" s="10"/>
      <c r="L30" s="11"/>
      <c r="M30" s="11"/>
      <c r="N30" s="49"/>
      <c r="O30" s="22" t="str">
        <f t="shared" si="14"/>
        <v/>
      </c>
      <c r="P30" s="10"/>
      <c r="Q30" s="11"/>
      <c r="R30" s="11"/>
      <c r="S30" s="49"/>
      <c r="T30" s="22" t="str">
        <f t="shared" si="15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CDC5D30-60EF-4FA2-9B2E-81EC5F02C11D}">
      <formula1>"ロン,ツモ,放銃,ツモ支払,流局,チョンボ"</formula1>
    </dataValidation>
    <dataValidation type="list" allowBlank="1" showInputMessage="1" showErrorMessage="1" sqref="E4:E30" xr:uid="{47D0233E-4864-486D-BEF9-C8B9F859C1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2019-02-06T12:59:04Z</dcterms:modified>
</cp:coreProperties>
</file>