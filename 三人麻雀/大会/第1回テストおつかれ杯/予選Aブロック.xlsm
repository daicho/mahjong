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第1回テストおつかれ杯\"/>
    </mc:Choice>
  </mc:AlternateContent>
  <xr:revisionPtr revIDLastSave="0" documentId="13_ncr:1_{8BDF3777-3A03-47B0-AA26-91E391A1EC3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6" l="1"/>
  <c r="V30" i="16"/>
  <c r="U30" i="16"/>
  <c r="W29" i="16"/>
  <c r="V29" i="16"/>
  <c r="U29" i="16"/>
  <c r="W28" i="16"/>
  <c r="V28" i="16"/>
  <c r="U28" i="16"/>
  <c r="W27" i="16"/>
  <c r="V27" i="16"/>
  <c r="U27" i="16"/>
  <c r="W26" i="16"/>
  <c r="V26" i="16"/>
  <c r="U26" i="16"/>
  <c r="W25" i="16"/>
  <c r="V25" i="16"/>
  <c r="U25" i="16"/>
  <c r="W24" i="16"/>
  <c r="V24" i="16"/>
  <c r="U24" i="16"/>
  <c r="W23" i="16"/>
  <c r="V23" i="16"/>
  <c r="U23" i="16"/>
  <c r="W22" i="16"/>
  <c r="V22" i="16"/>
  <c r="U22" i="16"/>
  <c r="W21" i="16"/>
  <c r="V21" i="16"/>
  <c r="U21" i="16"/>
  <c r="W20" i="16"/>
  <c r="V20" i="16"/>
  <c r="U20" i="16"/>
  <c r="W19" i="16"/>
  <c r="V19" i="16"/>
  <c r="U19" i="16"/>
  <c r="W18" i="16"/>
  <c r="V18" i="16"/>
  <c r="U18" i="16"/>
  <c r="W17" i="16"/>
  <c r="V17" i="16"/>
  <c r="U17" i="16"/>
  <c r="W16" i="16"/>
  <c r="V16" i="16"/>
  <c r="U16" i="16"/>
  <c r="W15" i="16"/>
  <c r="V15" i="16"/>
  <c r="U15" i="16"/>
  <c r="W14" i="16"/>
  <c r="V14" i="16"/>
  <c r="U14" i="16"/>
  <c r="W13" i="16"/>
  <c r="V13" i="16"/>
  <c r="U13" i="16"/>
  <c r="W12" i="16"/>
  <c r="V12" i="16"/>
  <c r="U12" i="16"/>
  <c r="W11" i="16"/>
  <c r="V11" i="16"/>
  <c r="U11" i="16"/>
  <c r="W10" i="16"/>
  <c r="V10" i="16"/>
  <c r="U10" i="16"/>
  <c r="W9" i="16"/>
  <c r="V9" i="16"/>
  <c r="U9" i="16"/>
  <c r="W8" i="16"/>
  <c r="V8" i="16"/>
  <c r="U8" i="16"/>
  <c r="W7" i="16"/>
  <c r="V7" i="16"/>
  <c r="U7" i="16"/>
  <c r="W6" i="16"/>
  <c r="V6" i="16"/>
  <c r="U6" i="16"/>
  <c r="W5" i="16"/>
  <c r="V5" i="16"/>
  <c r="U5" i="16"/>
  <c r="W4" i="16"/>
  <c r="V4" i="16"/>
  <c r="U4" i="16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6"/>
  <c r="W3" i="1"/>
  <c r="V3" i="16"/>
  <c r="V3" i="1"/>
  <c r="U3" i="16"/>
  <c r="U3" i="1"/>
  <c r="T30" i="16" l="1"/>
  <c r="O30" i="16"/>
  <c r="J30" i="16"/>
  <c r="D30" i="16"/>
  <c r="C30" i="16"/>
  <c r="B30" i="16"/>
  <c r="A30" i="16"/>
  <c r="T29" i="16"/>
  <c r="O29" i="16"/>
  <c r="J29" i="16"/>
  <c r="D29" i="16"/>
  <c r="C29" i="16"/>
  <c r="B29" i="16"/>
  <c r="A29" i="16"/>
  <c r="T28" i="16"/>
  <c r="O28" i="16"/>
  <c r="J28" i="16"/>
  <c r="D28" i="16"/>
  <c r="C28" i="16"/>
  <c r="B28" i="16"/>
  <c r="A28" i="16"/>
  <c r="T27" i="16"/>
  <c r="O27" i="16"/>
  <c r="J27" i="16"/>
  <c r="D27" i="16"/>
  <c r="C27" i="16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B25" i="16"/>
  <c r="A25" i="16"/>
  <c r="T24" i="16"/>
  <c r="O24" i="16"/>
  <c r="J24" i="16"/>
  <c r="D24" i="16"/>
  <c r="C24" i="16"/>
  <c r="B24" i="16"/>
  <c r="A24" i="16"/>
  <c r="T23" i="16"/>
  <c r="O23" i="16"/>
  <c r="J23" i="16"/>
  <c r="D23" i="16"/>
  <c r="C23" i="16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B21" i="16"/>
  <c r="A21" i="16"/>
  <c r="T20" i="16"/>
  <c r="O20" i="16"/>
  <c r="J20" i="16"/>
  <c r="D20" i="16"/>
  <c r="C20" i="16"/>
  <c r="B20" i="16"/>
  <c r="A20" i="16"/>
  <c r="T19" i="16"/>
  <c r="O19" i="16"/>
  <c r="J19" i="16"/>
  <c r="D19" i="16"/>
  <c r="C19" i="16"/>
  <c r="B19" i="16"/>
  <c r="A19" i="16"/>
  <c r="T18" i="16"/>
  <c r="O18" i="16"/>
  <c r="J18" i="16"/>
  <c r="D18" i="16"/>
  <c r="C18" i="16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B16" i="16"/>
  <c r="A16" i="16"/>
  <c r="T15" i="16"/>
  <c r="O15" i="16"/>
  <c r="J15" i="16"/>
  <c r="D15" i="16"/>
  <c r="C15" i="16"/>
  <c r="B15" i="16"/>
  <c r="A15" i="16"/>
  <c r="T14" i="16"/>
  <c r="O14" i="16"/>
  <c r="J14" i="16"/>
  <c r="D14" i="16"/>
  <c r="C14" i="16"/>
  <c r="B14" i="16"/>
  <c r="A14" i="16"/>
  <c r="T13" i="16"/>
  <c r="O13" i="16"/>
  <c r="J13" i="16"/>
  <c r="D13" i="16"/>
  <c r="C13" i="16"/>
  <c r="B13" i="16"/>
  <c r="A13" i="16" s="1"/>
  <c r="T12" i="16"/>
  <c r="O12" i="16"/>
  <c r="J12" i="16"/>
  <c r="D12" i="16"/>
  <c r="C12" i="16"/>
  <c r="B12" i="16"/>
  <c r="A12" i="16" s="1"/>
  <c r="T11" i="16"/>
  <c r="O11" i="16"/>
  <c r="J11" i="16"/>
  <c r="D11" i="16"/>
  <c r="C11" i="16"/>
  <c r="B11" i="16"/>
  <c r="A11" i="16" s="1"/>
  <c r="D10" i="16"/>
  <c r="C10" i="16"/>
  <c r="D9" i="16"/>
  <c r="D8" i="16"/>
  <c r="C8" i="16"/>
  <c r="C9" i="16" s="1"/>
  <c r="D7" i="16"/>
  <c r="C7" i="16"/>
  <c r="D6" i="16"/>
  <c r="C6" i="16"/>
  <c r="O5" i="16"/>
  <c r="O6" i="16" s="1"/>
  <c r="J5" i="16"/>
  <c r="D5" i="16"/>
  <c r="C5" i="16"/>
  <c r="B5" i="16"/>
  <c r="B6" i="16" s="1"/>
  <c r="T4" i="16"/>
  <c r="O4" i="16"/>
  <c r="J4" i="16"/>
  <c r="W2" i="16"/>
  <c r="V2" i="16"/>
  <c r="U2" i="16"/>
  <c r="BO1" i="16"/>
  <c r="AT1" i="16"/>
  <c r="Y1" i="16"/>
  <c r="A5" i="16" l="1"/>
  <c r="B7" i="16"/>
  <c r="O7" i="16"/>
  <c r="T5" i="16"/>
  <c r="A6" i="16"/>
  <c r="J6" i="16"/>
  <c r="A7" i="16" l="1"/>
  <c r="O8" i="16"/>
  <c r="J7" i="16"/>
  <c r="T6" i="16"/>
  <c r="B8" i="16"/>
  <c r="B9" i="16" l="1"/>
  <c r="T7" i="16"/>
  <c r="A8" i="16"/>
  <c r="J8" i="16"/>
  <c r="O9" i="16"/>
  <c r="A9" i="16" l="1"/>
  <c r="J9" i="16"/>
  <c r="T8" i="16"/>
  <c r="O10" i="16"/>
  <c r="B10" i="16"/>
  <c r="A10" i="16" s="1"/>
  <c r="J10" i="16" l="1"/>
  <c r="T9" i="16"/>
  <c r="T10" i="16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<sst xmlns="http://schemas.openxmlformats.org/spreadsheetml/2006/main" count="644" uniqueCount="151">
  <si>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</si>
  <si>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</si>
  <si>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</si>
  <si>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</si>
  <si>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</si>
  <si>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</si>
  <si>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</si>
  <si>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</si>
  <si>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</si>
  <si>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</si>
  <si>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</si>
  <si>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</si>
  <si>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</si>
  <si>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</si>
  <si>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</si>
  <si>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</si>
  <si>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</si>
  <si>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</si>
  <si>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</si>
  <si>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</si>
  <si>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</si>
  <si>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</si>
  <si>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</si>
  <si>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</si>
  <si>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</si>
  <si>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</si>
  <si>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</si>
  <si>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</si>
  <si>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</si>
  <si>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</si>
  <si>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</si>
  <si>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</si>
  <si>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</si>
  <si>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</si>
  <si>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</si>
  <si>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</si>
  <si>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</si>
  <si>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</si>
  <si>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</si>
  <si>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</si>
  <si>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</si>
  <si>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</si>
  <si>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</si>
  <si>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</si>
  <si>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</si>
  <si>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</si>
  <si>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</si>
  <si>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</si>
  <si>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</si>
  <si>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</si>
  <si>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</si>
  <si>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</si>
  <si>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</si>
  <si>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</si>
  <si>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</si>
  <si>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</si>
  <si>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</si>
  <si>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</si>
  <si>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</si>
  <si>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</si>
  <si>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</si>
  <si>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</si>
  <si>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</si>
  <si>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</si>
  <si>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</si>
  <si>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</si>
  <si>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</si>
  <si>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</si>
  <si>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</si>
  <si>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</si>
  <si>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</si>
  <si>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</si>
  <si>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</si>
  <si>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</si>
  <si>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</si>
  <si>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</si>
  <si>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</si>
  <si>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</si>
  <si>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</si>
  <si>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</si>
  <si>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</si>
  <si>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</si>
  <si>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</si>
  <si>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</si>
  <si>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</si>
  <si>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</si>
  <si>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</si>
  <si>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</si>
  <si>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</si>
  <si>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</si>
  <si>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</si>
  <si>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</si>
  <si>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</si>
  <si>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</si>
  <si>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</si>
  <si>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</si>
  <si>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</si>
  <si>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</si>
  <si>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</si>
  <si>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</si>
  <si>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</si>
  <si>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</si>
  <si>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</si>
  <si>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</si>
  <si>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</si>
  <si>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</si>
  <si>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</si>
  <si>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</si>
  <si>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</si>
  <si>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</si>
  <si>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</si>
  <si>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</si>
  <si>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</si>
  <si>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</si>
  <si>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</si>
  <si>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</si>
  <si>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</si>
  <si>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</si>
  <si>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</si>
  <si>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</si>
  <si>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</si>
  <si>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</si>
  <si>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</si>
  <si>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</si>
  <si>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</si>
  <si>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</si>
  <si>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</si>
  <si>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</si>
  <si>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</si>
  <si>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</si>
  <si>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</si>
  <si>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</si>
  <si>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</si>
  <si>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</si>
  <si>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</si>
  <si>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</si>
  <si>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</si>
  <si>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</si>
  <si>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</si>
  <si>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やがさき</t>
  </si>
  <si>
    <t>やがさき</t>
    <phoneticPr fontId="1"/>
  </si>
  <si>
    <t>放銃</t>
  </si>
  <si>
    <t>ロン</t>
  </si>
  <si>
    <t>*</t>
  </si>
  <si>
    <t>01</t>
  </si>
  <si>
    <t>ツモ</t>
  </si>
  <si>
    <t>ツモ支払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</si>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</sst>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やがさき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やがさき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IF($J3="","",ROUND(($J3-$J$3)/1000,1)+(2-_xlfn.RANK.AVG($J3,($J3,$O3,$T3)))*20)</f>
        <v>0</v>
      </c>
      <c r="V3" s="58">
        <f>IF($O3="","",ROUND(($O3-$O$3)/1000,1)+(2-_xlfn.RANK.AVG($O3,($J3,$O3,$T3)))*20)</f>
        <v>0</v>
      </c>
      <c r="W3" s="59">
        <f>IF($T3="","",ROUND(($T3-$T$3)/1000,1)+(2-_xlfn.RANK.AVG($T3,($J3,$O3,$T3)))*20)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-16000</v>
      </c>
      <c r="M4" s="9"/>
      <c r="N4" s="55">
        <v>0</v>
      </c>
      <c r="O4" s="21">
        <f>IF(COUNTA($F4,$K4,$P4)&gt;0,O3+SUM(L4:N4),"")</f>
        <v>19000</v>
      </c>
      <c r="P4" s="8" t="s">
        <v>142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>IF($J4="","",ROUND(($J4-$J$3)/1000,1)+(2-_xlfn.RANK.AVG($J4,($J4,$O4,$T4)))*20)</f>
        <v>0</v>
      </c>
      <c r="V4" s="61">
        <f>IF($O4="","",ROUND(($O4-$O$3)/1000,1)+(2-_xlfn.RANK.AVG($O4,($J4,$O4,$T4)))*20)</f>
        <v>-36</v>
      </c>
      <c r="W4" s="62">
        <f>IF($T4="","",ROUND(($T4-$T$3)/1000,1)+(2-_xlfn.RANK.AVG($T4,($J4,$O4,$T4)))*20)</f>
        <v>36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8</v>
      </c>
      <c r="BT4" s="36" t="s">
        <v>143</v>
      </c>
      <c r="BU4" s="47" t="s">
        <v>144</v>
      </c>
      <c r="BV4" s="48" t="s">
        <v>84</v>
      </c>
      <c r="BW4" s="48" t="s">
        <v>86</v>
      </c>
      <c r="BX4" s="48" t="s">
        <v>82</v>
      </c>
      <c r="BY4" s="48" t="s">
        <v>82</v>
      </c>
      <c r="BZ4" s="48" t="s">
        <v>81</v>
      </c>
      <c r="CA4" s="48" t="s">
        <v>81</v>
      </c>
      <c r="CB4" s="48" t="s">
        <v>85</v>
      </c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145</v>
      </c>
      <c r="G5" s="9">
        <v>16000</v>
      </c>
      <c r="H5" s="9"/>
      <c r="I5" s="55">
        <v>0</v>
      </c>
      <c r="J5" s="21">
        <f t="shared" ref="J5:J30" si="2">IF(COUNTA($F5,$K5,$P5)&gt;0,J4+SUM(G5:I5),"")</f>
        <v>51000</v>
      </c>
      <c r="K5" s="8" t="s">
        <v>146</v>
      </c>
      <c r="L5" s="9">
        <v>-6000</v>
      </c>
      <c r="M5" s="9"/>
      <c r="N5" s="55">
        <v>0</v>
      </c>
      <c r="O5" s="21">
        <f t="shared" ref="O5:O30" si="3">IF(COUNTA($F5,$K5,$P5)&gt;0,O4+SUM(L5:N5),"")</f>
        <v>13000</v>
      </c>
      <c r="P5" s="8" t="s">
        <v>146</v>
      </c>
      <c r="Q5" s="9">
        <v>-10000</v>
      </c>
      <c r="R5" s="9"/>
      <c r="S5" s="55">
        <v>0</v>
      </c>
      <c r="T5" s="21">
        <f t="shared" ref="T5:T30" si="4">IF(COUNTA($F5,$K5,$P5)&gt;0,T4+SUM(Q5:S5),"")</f>
        <v>41000</v>
      </c>
      <c r="U5" s="60">
        <f>IF($J5="","",ROUND(($J5-$J$3)/1000,1)+(2-_xlfn.RANK.AVG($J5,($J5,$O5,$T5)))*20)</f>
        <v>36</v>
      </c>
      <c r="V5" s="61">
        <f>IF($O5="","",ROUND(($O5-$O$3)/1000,1)+(2-_xlfn.RANK.AVG($O5,($J5,$O5,$T5)))*20)</f>
        <v>-42</v>
      </c>
      <c r="W5" s="62">
        <f>IF($T5="","",ROUND(($T5-$T$3)/1000,1)+(2-_xlfn.RANK.AVG($T5,($J5,$O5,$T5)))*20)</f>
        <v>6</v>
      </c>
      <c r="Y5" s="8"/>
      <c r="Z5" s="41"/>
      <c r="AA5" s="32"/>
      <c r="AB5" s="32">
        <v>1</v>
      </c>
      <c r="AC5" s="32">
        <v>9</v>
      </c>
      <c r="AD5" s="36" t="s">
        <v>143</v>
      </c>
      <c r="AE5" s="47" t="s">
        <v>87</v>
      </c>
      <c r="AF5" s="48" t="s">
        <v>87</v>
      </c>
      <c r="AG5" s="48" t="s">
        <v>80</v>
      </c>
      <c r="AH5" s="48" t="s">
        <v>80</v>
      </c>
      <c r="AI5" s="48" t="s">
        <v>80</v>
      </c>
      <c r="AJ5" s="48" t="s">
        <v>80</v>
      </c>
      <c r="AK5" s="48" t="s">
        <v>80</v>
      </c>
      <c r="AL5" s="48" t="s">
        <v>80</v>
      </c>
      <c r="AM5" s="48" t="s">
        <v>80</v>
      </c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135</v>
      </c>
      <c r="F6" s="8"/>
      <c r="G6" s="9"/>
      <c r="H6" s="9"/>
      <c r="I6" s="55"/>
      <c r="J6" s="21">
        <f t="shared" si="2"/>
        <v>51000</v>
      </c>
      <c r="K6" s="8" t="s">
        <v>142</v>
      </c>
      <c r="L6" s="9">
        <v>2000</v>
      </c>
      <c r="M6" s="9"/>
      <c r="N6" s="55">
        <v>0</v>
      </c>
      <c r="O6" s="21">
        <f t="shared" si="3"/>
        <v>15000</v>
      </c>
      <c r="P6" s="8" t="s">
        <v>141</v>
      </c>
      <c r="Q6" s="9">
        <v>-2000</v>
      </c>
      <c r="R6" s="9"/>
      <c r="S6" s="55">
        <v>0</v>
      </c>
      <c r="T6" s="21">
        <f t="shared" si="4"/>
        <v>39000</v>
      </c>
      <c r="U6" s="60">
        <f>IF($J6="","",ROUND(($J6-$J$3)/1000,1)+(2-_xlfn.RANK.AVG($J6,($J6,$O6,$T6)))*20)</f>
        <v>36</v>
      </c>
      <c r="V6" s="61">
        <f>IF($O6="","",ROUND(($O6-$O$3)/1000,1)+(2-_xlfn.RANK.AVG($O6,($J6,$O6,$T6)))*20)</f>
        <v>-40</v>
      </c>
      <c r="W6" s="62">
        <f>IF($T6="","",ROUND(($T6-$T$3)/1000,1)+(2-_xlfn.RANK.AVG($T6,($J6,$O6,$T6)))*20)</f>
        <v>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137</v>
      </c>
      <c r="F7" s="8"/>
      <c r="G7" s="9"/>
      <c r="H7" s="9"/>
      <c r="I7" s="55"/>
      <c r="J7" s="21">
        <f t="shared" si="2"/>
        <v>51000</v>
      </c>
      <c r="K7" s="8" t="s">
        <v>141</v>
      </c>
      <c r="L7" s="9">
        <v>-2600</v>
      </c>
      <c r="M7" s="9"/>
      <c r="N7" s="55">
        <v>0</v>
      </c>
      <c r="O7" s="21">
        <f t="shared" si="3"/>
        <v>12400</v>
      </c>
      <c r="P7" s="8" t="s">
        <v>142</v>
      </c>
      <c r="Q7" s="9">
        <v>2600</v>
      </c>
      <c r="R7" s="9"/>
      <c r="S7" s="55">
        <v>0</v>
      </c>
      <c r="T7" s="21">
        <f t="shared" si="4"/>
        <v>41600</v>
      </c>
      <c r="U7" s="60">
        <f>IF($J7="","",ROUND(($J7-$J$3)/1000,1)+(2-_xlfn.RANK.AVG($J7,($J7,$O7,$T7)))*20)</f>
        <v>36</v>
      </c>
      <c r="V7" s="61">
        <f>IF($O7="","",ROUND(($O7-$O$3)/1000,1)+(2-_xlfn.RANK.AVG($O7,($J7,$O7,$T7)))*20)</f>
        <v>-42.6</v>
      </c>
      <c r="W7" s="62">
        <f>IF($T7="","",ROUND(($T7-$T$3)/1000,1)+(2-_xlfn.RANK.AVG($T7,($J7,$O7,$T7)))*20)</f>
        <v>6.6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2</v>
      </c>
      <c r="BT7" s="36">
        <v>40</v>
      </c>
      <c r="BU7" s="47" t="s">
        <v>144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146</v>
      </c>
      <c r="G8" s="9">
        <v>-800</v>
      </c>
      <c r="H8" s="9">
        <v>-1000</v>
      </c>
      <c r="I8" s="55">
        <v>0</v>
      </c>
      <c r="J8" s="21">
        <f t="shared" si="2"/>
        <v>49200</v>
      </c>
      <c r="K8" s="8" t="s">
        <v>146</v>
      </c>
      <c r="L8" s="9">
        <v>-800</v>
      </c>
      <c r="M8" s="9"/>
      <c r="N8" s="55">
        <v>0</v>
      </c>
      <c r="O8" s="21">
        <f t="shared" si="3"/>
        <v>11600</v>
      </c>
      <c r="P8" s="8" t="s">
        <v>145</v>
      </c>
      <c r="Q8" s="9">
        <v>1600</v>
      </c>
      <c r="R8" s="9">
        <v>1000</v>
      </c>
      <c r="S8" s="55">
        <v>0</v>
      </c>
      <c r="T8" s="21">
        <f t="shared" si="4"/>
        <v>44200</v>
      </c>
      <c r="U8" s="60">
        <f>IF($J8="","",ROUND(($J8-$J$3)/1000,1)+(2-_xlfn.RANK.AVG($J8,($J8,$O8,$T8)))*20)</f>
        <v>34.200000000000003</v>
      </c>
      <c r="V8" s="61">
        <f>IF($O8="","",ROUND(($O8-$O$3)/1000,1)+(2-_xlfn.RANK.AVG($O8,($J8,$O8,$T8)))*20)</f>
        <v>-43.4</v>
      </c>
      <c r="W8" s="62">
        <f>IF($T8="","",ROUND(($T8-$T$3)/1000,1)+(2-_xlfn.RANK.AVG($T8,($J8,$O8,$T8)))*20)</f>
        <v>9.1999999999999993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1</v>
      </c>
      <c r="BT8" s="36">
        <v>30</v>
      </c>
      <c r="BU8" s="47" t="s">
        <v>87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139</v>
      </c>
      <c r="F9" s="8"/>
      <c r="G9" s="9"/>
      <c r="H9" s="9"/>
      <c r="I9" s="55"/>
      <c r="J9" s="21">
        <f t="shared" si="2"/>
        <v>49200</v>
      </c>
      <c r="K9" s="8" t="s">
        <v>142</v>
      </c>
      <c r="L9" s="9">
        <v>2600</v>
      </c>
      <c r="M9" s="9">
        <v>1000</v>
      </c>
      <c r="N9" s="55">
        <v>1000</v>
      </c>
      <c r="O9" s="21">
        <f t="shared" si="3"/>
        <v>16200</v>
      </c>
      <c r="P9" s="8" t="s">
        <v>141</v>
      </c>
      <c r="Q9" s="9">
        <v>-2600</v>
      </c>
      <c r="R9" s="9">
        <v>-1000</v>
      </c>
      <c r="S9" s="55">
        <v>-1000</v>
      </c>
      <c r="T9" s="21">
        <f t="shared" si="4"/>
        <v>39600</v>
      </c>
      <c r="U9" s="60">
        <f>IF($J9="","",ROUND(($J9-$J$3)/1000,1)+(2-_xlfn.RANK.AVG($J9,($J9,$O9,$T9)))*20)</f>
        <v>34.200000000000003</v>
      </c>
      <c r="V9" s="61">
        <f>IF($O9="","",ROUND(($O9-$O$3)/1000,1)+(2-_xlfn.RANK.AVG($O9,($J9,$O9,$T9)))*20)</f>
        <v>-38.799999999999997</v>
      </c>
      <c r="W9" s="62">
        <f>IF($T9="","",ROUND(($T9-$T$3)/1000,1)+(2-_xlfn.RANK.AVG($T9,($J9,$O9,$T9)))*20)</f>
        <v>4.5999999999999996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85</v>
      </c>
      <c r="BA9" s="48" t="s">
        <v>82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135</v>
      </c>
      <c r="F10" s="8" t="s">
        <v>146</v>
      </c>
      <c r="G10" s="9">
        <v>-5000</v>
      </c>
      <c r="H10" s="9">
        <v>-1000</v>
      </c>
      <c r="I10" s="55">
        <v>0</v>
      </c>
      <c r="J10" s="21">
        <f t="shared" si="2"/>
        <v>43200</v>
      </c>
      <c r="K10" s="8" t="s">
        <v>146</v>
      </c>
      <c r="L10" s="9">
        <v>-3000</v>
      </c>
      <c r="M10" s="9"/>
      <c r="N10" s="55">
        <v>0</v>
      </c>
      <c r="O10" s="21">
        <f t="shared" si="3"/>
        <v>13200</v>
      </c>
      <c r="P10" s="8" t="s">
        <v>145</v>
      </c>
      <c r="Q10" s="9">
        <v>8000</v>
      </c>
      <c r="R10" s="9">
        <v>1000</v>
      </c>
      <c r="S10" s="55">
        <v>0</v>
      </c>
      <c r="T10" s="21">
        <f t="shared" si="4"/>
        <v>48600</v>
      </c>
      <c r="U10" s="60">
        <f>IF($J10="","",ROUND(($J10-$J$3)/1000,1)+(2-_xlfn.RANK.AVG($J10,($J10,$O10,$T10)))*20)</f>
        <v>8.1999999999999993</v>
      </c>
      <c r="V10" s="61">
        <f>IF($O10="","",ROUND(($O10-$O$3)/1000,1)+(2-_xlfn.RANK.AVG($O10,($J10,$O10,$T10)))*20)</f>
        <v>-41.8</v>
      </c>
      <c r="W10" s="62">
        <f>IF($T10="","",ROUND(($T10-$T$3)/1000,1)+(2-_xlfn.RANK.AVG($T10,($J10,$O10,$T10)))*20)</f>
        <v>33.6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30</v>
      </c>
      <c r="BU10" s="47" t="s">
        <v>144</v>
      </c>
      <c r="BV10" s="48" t="s">
        <v>83</v>
      </c>
      <c r="BW10" s="48" t="s">
        <v>82</v>
      </c>
      <c r="BX10" s="48" t="s">
        <v>81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IF($J11="","",ROUND(($J11-$J$3)/1000,1)+(2-_xlfn.RANK.AVG($J11,($J11,$O11,$T11)))*20)</f>
        <v/>
      </c>
      <c r="V11" s="61" t="str">
        <f>IF($O11="","",ROUND(($O11-$O$3)/1000,1)+(2-_xlfn.RANK.AVG($O11,($J11,$O11,$T11)))*20)</f>
        <v/>
      </c>
      <c r="W11" s="62" t="str">
        <f>IF($T11="","",ROUND(($T11-$T$3)/1000,1)+(2-_xlfn.RANK.AVG($T11,($J11,$O11,$T11)))*20)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IF($J12="","",ROUND(($J12-$J$3)/1000,1)+(2-_xlfn.RANK.AVG($J12,($J12,$O12,$T12)))*20)</f>
        <v/>
      </c>
      <c r="V12" s="61" t="str">
        <f>IF($O12="","",ROUND(($O12-$O$3)/1000,1)+(2-_xlfn.RANK.AVG($O12,($J12,$O12,$T12)))*20)</f>
        <v/>
      </c>
      <c r="W12" s="62" t="str">
        <f>IF($T12="","",ROUND(($T12-$T$3)/1000,1)+(2-_xlfn.RANK.AVG($T12,($J12,$O12,$T12)))*20)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IF($J13="","",ROUND(($J13-$J$3)/1000,1)+(2-_xlfn.RANK.AVG($J13,($J13,$O13,$T13)))*20)</f>
        <v/>
      </c>
      <c r="V13" s="61" t="str">
        <f>IF($O13="","",ROUND(($O13-$O$3)/1000,1)+(2-_xlfn.RANK.AVG($O13,($J13,$O13,$T13)))*20)</f>
        <v/>
      </c>
      <c r="W13" s="62" t="str">
        <f>IF($T13="","",ROUND(($T13-$T$3)/1000,1)+(2-_xlfn.RANK.AVG($T13,($J13,$O13,$T13)))*20)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IF($J14="","",ROUND(($J14-$J$3)/1000,1)+(2-_xlfn.RANK.AVG($J14,($J14,$O14,$T14)))*20)</f>
        <v/>
      </c>
      <c r="V14" s="61" t="str">
        <f>IF($O14="","",ROUND(($O14-$O$3)/1000,1)+(2-_xlfn.RANK.AVG($O14,($J14,$O14,$T14)))*20)</f>
        <v/>
      </c>
      <c r="W14" s="62" t="str">
        <f>IF($T14="","",ROUND(($T14-$T$3)/1000,1)+(2-_xlfn.RANK.AVG($T14,($J14,$O14,$T14)))*20)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IF($J15="","",ROUND(($J15-$J$3)/1000,1)+(2-_xlfn.RANK.AVG($J15,($J15,$O15,$T15)))*20)</f>
        <v/>
      </c>
      <c r="V15" s="61" t="str">
        <f>IF($O15="","",ROUND(($O15-$O$3)/1000,1)+(2-_xlfn.RANK.AVG($O15,($J15,$O15,$T15)))*20)</f>
        <v/>
      </c>
      <c r="W15" s="62" t="str">
        <f>IF($T15="","",ROUND(($T15-$T$3)/1000,1)+(2-_xlfn.RANK.AVG($T15,($J15,$O15,$T15)))*20)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IF($J16="","",ROUND(($J16-$J$3)/1000,1)+(2-_xlfn.RANK.AVG($J16,($J16,$O16,$T16)))*20)</f>
        <v/>
      </c>
      <c r="V16" s="61" t="str">
        <f>IF($O16="","",ROUND(($O16-$O$3)/1000,1)+(2-_xlfn.RANK.AVG($O16,($J16,$O16,$T16)))*20)</f>
        <v/>
      </c>
      <c r="W16" s="62" t="str">
        <f>IF($T16="","",ROUND(($T16-$T$3)/1000,1)+(2-_xlfn.RANK.AVG($T16,($J16,$O16,$T16)))*20)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IF($J17="","",ROUND(($J17-$J$3)/1000,1)+(2-_xlfn.RANK.AVG($J17,($J17,$O17,$T17)))*20)</f>
        <v/>
      </c>
      <c r="V17" s="61" t="str">
        <f>IF($O17="","",ROUND(($O17-$O$3)/1000,1)+(2-_xlfn.RANK.AVG($O17,($J17,$O17,$T17)))*20)</f>
        <v/>
      </c>
      <c r="W17" s="62" t="str">
        <f>IF($T17="","",ROUND(($T17-$T$3)/1000,1)+(2-_xlfn.RANK.AVG($T17,($J17,$O17,$T17)))*20)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IF($J18="","",ROUND(($J18-$J$3)/1000,1)+(2-_xlfn.RANK.AVG($J18,($J18,$O18,$T18)))*20)</f>
        <v/>
      </c>
      <c r="V18" s="61" t="str">
        <f>IF($O18="","",ROUND(($O18-$O$3)/1000,1)+(2-_xlfn.RANK.AVG($O18,($J18,$O18,$T18)))*20)</f>
        <v/>
      </c>
      <c r="W18" s="62" t="str">
        <f>IF($T18="","",ROUND(($T18-$T$3)/1000,1)+(2-_xlfn.RANK.AVG($T18,($J18,$O18,$T18)))*20)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IF($J19="","",ROUND(($J19-$J$3)/1000,1)+(2-_xlfn.RANK.AVG($J19,($J19,$O19,$T19)))*20)</f>
        <v/>
      </c>
      <c r="V19" s="61" t="str">
        <f>IF($O19="","",ROUND(($O19-$O$3)/1000,1)+(2-_xlfn.RANK.AVG($O19,($J19,$O19,$T19)))*20)</f>
        <v/>
      </c>
      <c r="W19" s="62" t="str">
        <f>IF($T19="","",ROUND(($T19-$T$3)/1000,1)+(2-_xlfn.RANK.AVG($T19,($J19,$O19,$T19)))*20)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IF($J20="","",ROUND(($J20-$J$3)/1000,1)+(2-_xlfn.RANK.AVG($J20,($J20,$O20,$T20)))*20)</f>
        <v/>
      </c>
      <c r="V20" s="61" t="str">
        <f>IF($O20="","",ROUND(($O20-$O$3)/1000,1)+(2-_xlfn.RANK.AVG($O20,($J20,$O20,$T20)))*20)</f>
        <v/>
      </c>
      <c r="W20" s="62" t="str">
        <f>IF($T20="","",ROUND(($T20-$T$3)/1000,1)+(2-_xlfn.RANK.AVG($T20,($J20,$O20,$T20)))*20)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IF($J21="","",ROUND(($J21-$J$3)/1000,1)+(2-_xlfn.RANK.AVG($J21,($J21,$O21,$T21)))*20)</f>
        <v/>
      </c>
      <c r="V21" s="61" t="str">
        <f>IF($O21="","",ROUND(($O21-$O$3)/1000,1)+(2-_xlfn.RANK.AVG($O21,($J21,$O21,$T21)))*20)</f>
        <v/>
      </c>
      <c r="W21" s="62" t="str">
        <f>IF($T21="","",ROUND(($T21-$T$3)/1000,1)+(2-_xlfn.RANK.AVG($T21,($J21,$O21,$T21)))*20)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IF($J22="","",ROUND(($J22-$J$3)/1000,1)+(2-_xlfn.RANK.AVG($J22,($J22,$O22,$T22)))*20)</f>
        <v/>
      </c>
      <c r="V22" s="61" t="str">
        <f>IF($O22="","",ROUND(($O22-$O$3)/1000,1)+(2-_xlfn.RANK.AVG($O22,($J22,$O22,$T22)))*20)</f>
        <v/>
      </c>
      <c r="W22" s="62" t="str">
        <f>IF($T22="","",ROUND(($T22-$T$3)/1000,1)+(2-_xlfn.RANK.AVG($T22,($J22,$O22,$T22)))*20)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IF($J23="","",ROUND(($J23-$J$3)/1000,1)+(2-_xlfn.RANK.AVG($J23,($J23,$O23,$T23)))*20)</f>
        <v/>
      </c>
      <c r="V23" s="61" t="str">
        <f>IF($O23="","",ROUND(($O23-$O$3)/1000,1)+(2-_xlfn.RANK.AVG($O23,($J23,$O23,$T23)))*20)</f>
        <v/>
      </c>
      <c r="W23" s="62" t="str">
        <f>IF($T23="","",ROUND(($T23-$T$3)/1000,1)+(2-_xlfn.RANK.AVG($T23,($J23,$O23,$T23)))*20)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IF($J24="","",ROUND(($J24-$J$3)/1000,1)+(2-_xlfn.RANK.AVG($J24,($J24,$O24,$T24)))*20)</f>
        <v/>
      </c>
      <c r="V24" s="61" t="str">
        <f>IF($O24="","",ROUND(($O24-$O$3)/1000,1)+(2-_xlfn.RANK.AVG($O24,($J24,$O24,$T24)))*20)</f>
        <v/>
      </c>
      <c r="W24" s="62" t="str">
        <f>IF($T24="","",ROUND(($T24-$T$3)/1000,1)+(2-_xlfn.RANK.AVG($T24,($J24,$O24,$T24)))*20)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IF($J25="","",ROUND(($J25-$J$3)/1000,1)+(2-_xlfn.RANK.AVG($J25,($J25,$O25,$T25)))*20)</f>
        <v/>
      </c>
      <c r="V25" s="61" t="str">
        <f>IF($O25="","",ROUND(($O25-$O$3)/1000,1)+(2-_xlfn.RANK.AVG($O25,($J25,$O25,$T25)))*20)</f>
        <v/>
      </c>
      <c r="W25" s="62" t="str">
        <f>IF($T25="","",ROUND(($T25-$T$3)/1000,1)+(2-_xlfn.RANK.AVG($T25,($J25,$O25,$T25)))*20)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IF($J26="","",ROUND(($J26-$J$3)/1000,1)+(2-_xlfn.RANK.AVG($J26,($J26,$O26,$T26)))*20)</f>
        <v/>
      </c>
      <c r="V26" s="61" t="str">
        <f>IF($O26="","",ROUND(($O26-$O$3)/1000,1)+(2-_xlfn.RANK.AVG($O26,($J26,$O26,$T26)))*20)</f>
        <v/>
      </c>
      <c r="W26" s="62" t="str">
        <f>IF($T26="","",ROUND(($T26-$T$3)/1000,1)+(2-_xlfn.RANK.AVG($T26,($J26,$O26,$T26)))*20)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IF($J27="","",ROUND(($J27-$J$3)/1000,1)+(2-_xlfn.RANK.AVG($J27,($J27,$O27,$T27)))*20)</f>
        <v/>
      </c>
      <c r="V27" s="61" t="str">
        <f>IF($O27="","",ROUND(($O27-$O$3)/1000,1)+(2-_xlfn.RANK.AVG($O27,($J27,$O27,$T27)))*20)</f>
        <v/>
      </c>
      <c r="W27" s="62" t="str">
        <f>IF($T27="","",ROUND(($T27-$T$3)/1000,1)+(2-_xlfn.RANK.AVG($T27,($J27,$O27,$T27)))*20)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IF($J28="","",ROUND(($J28-$J$3)/1000,1)+(2-_xlfn.RANK.AVG($J28,($J28,$O28,$T28)))*20)</f>
        <v/>
      </c>
      <c r="V28" s="61" t="str">
        <f>IF($O28="","",ROUND(($O28-$O$3)/1000,1)+(2-_xlfn.RANK.AVG($O28,($J28,$O28,$T28)))*20)</f>
        <v/>
      </c>
      <c r="W28" s="62" t="str">
        <f>IF($T28="","",ROUND(($T28-$T$3)/1000,1)+(2-_xlfn.RANK.AVG($T28,($J28,$O28,$T28)))*20)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IF($J29="","",ROUND(($J29-$J$3)/1000,1)+(2-_xlfn.RANK.AVG($J29,($J29,$O29,$T29)))*20)</f>
        <v/>
      </c>
      <c r="V29" s="61" t="str">
        <f>IF($O29="","",ROUND(($O29-$O$3)/1000,1)+(2-_xlfn.RANK.AVG($O29,($J29,$O29,$T29)))*20)</f>
        <v/>
      </c>
      <c r="W29" s="62" t="str">
        <f>IF($T29="","",ROUND(($T29-$T$3)/1000,1)+(2-_xlfn.RANK.AVG($T29,($J29,$O29,$T29)))*20)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IF($J30="","",ROUND(($J30-$J$3)/1000,1)+(2-_xlfn.RANK.AVG($J30,($J30,$O30,$T30)))*20)</f>
        <v/>
      </c>
      <c r="V30" s="64" t="str">
        <f>IF($O30="","",ROUND(($O30-$O$3)/1000,1)+(2-_xlfn.RANK.AVG($O30,($J30,$O30,$T30)))*20)</f>
        <v/>
      </c>
      <c r="W30" s="65" t="str">
        <f>IF($T30="","",ROUND(($T30-$T$3)/1000,1)+(2-_xlfn.RANK.AVG($T30,($J30,$O30,$T30)))*20)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4B7EB-DD69-44E2-B0DC-501E720A97B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やがさき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やがさき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IF($J3="","",ROUND(($J3-$J$3)/1000,1)+(2-_xlfn.RANK.AVG($J3,($J3,$O3,$T3)))*20)</f>
        <v>0</v>
      </c>
      <c r="V3" s="58">
        <f>IF($O3="","",ROUND(($O3-$O$3)/1000,1)+(2-_xlfn.RANK.AVG($O3,($J3,$O3,$T3)))*20)</f>
        <v>0</v>
      </c>
      <c r="W3" s="59">
        <f>IF($T3="","",ROUND(($T3-$T$3)/1000,1)+(2-_xlfn.RANK.AVG($T3,($J3,$O3,$T3)))*20)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16000</v>
      </c>
      <c r="H4" s="9">
        <v>1000</v>
      </c>
      <c r="I4" s="55">
        <v>0</v>
      </c>
      <c r="J4" s="21">
        <f>IF(COUNTA($F4,$K4,$P4)&gt;0,J3+SUM(G4:I4),"")</f>
        <v>52000</v>
      </c>
      <c r="K4" s="8" t="s">
        <v>146</v>
      </c>
      <c r="L4" s="9">
        <v>-6000</v>
      </c>
      <c r="M4" s="9">
        <v>-1000</v>
      </c>
      <c r="N4" s="55">
        <v>0</v>
      </c>
      <c r="O4" s="21">
        <f>IF(COUNTA($F4,$K4,$P4)&gt;0,O3+SUM(L4:N4),"")</f>
        <v>28000</v>
      </c>
      <c r="P4" s="8" t="s">
        <v>146</v>
      </c>
      <c r="Q4" s="9">
        <v>-10000</v>
      </c>
      <c r="R4" s="9"/>
      <c r="S4" s="55">
        <v>0</v>
      </c>
      <c r="T4" s="21">
        <f>IF(COUNTA($F4,$K4,$P4)&gt;0,T3+SUM(Q4:S4),"")</f>
        <v>25000</v>
      </c>
      <c r="U4" s="60">
        <f>IF($J4="","",ROUND(($J4-$J$3)/1000,1)+(2-_xlfn.RANK.AVG($J4,($J4,$O4,$T4)))*20)</f>
        <v>37</v>
      </c>
      <c r="V4" s="61">
        <f>IF($O4="","",ROUND(($O4-$O$3)/1000,1)+(2-_xlfn.RANK.AVG($O4,($J4,$O4,$T4)))*20)</f>
        <v>-7</v>
      </c>
      <c r="W4" s="62">
        <f>IF($T4="","",ROUND(($T4-$T$3)/1000,1)+(2-_xlfn.RANK.AVG($T4,($J4,$O4,$T4)))*20)</f>
        <v>-30</v>
      </c>
      <c r="Y4" s="8"/>
      <c r="Z4" s="41"/>
      <c r="AA4" s="32">
        <v>1</v>
      </c>
      <c r="AB4" s="32"/>
      <c r="AC4" s="32">
        <v>9</v>
      </c>
      <c r="AD4" s="36" t="s">
        <v>143</v>
      </c>
      <c r="AE4" s="47" t="s">
        <v>144</v>
      </c>
      <c r="AF4" s="48" t="s">
        <v>83</v>
      </c>
      <c r="AG4" s="48" t="s">
        <v>147</v>
      </c>
      <c r="AH4" s="48" t="s">
        <v>80</v>
      </c>
      <c r="AI4" s="48" t="s">
        <v>80</v>
      </c>
      <c r="AJ4" s="48" t="s">
        <v>81</v>
      </c>
      <c r="AK4" s="48" t="s">
        <v>81</v>
      </c>
      <c r="AL4" s="48" t="s">
        <v>82</v>
      </c>
      <c r="AM4" s="48" t="s">
        <v>82</v>
      </c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135</v>
      </c>
      <c r="F5" s="8" t="s">
        <v>142</v>
      </c>
      <c r="G5" s="9">
        <v>12000</v>
      </c>
      <c r="H5" s="9">
        <v>1000</v>
      </c>
      <c r="I5" s="55">
        <v>0</v>
      </c>
      <c r="J5" s="21">
        <f t="shared" ref="J5:J30" si="2">IF(COUNTA($F5,$K5,$P5)&gt;0,J4+SUM(G5:I5),"")</f>
        <v>65000</v>
      </c>
      <c r="K5" s="8" t="s">
        <v>141</v>
      </c>
      <c r="L5" s="9">
        <v>-12000</v>
      </c>
      <c r="M5" s="9">
        <v>-1000</v>
      </c>
      <c r="N5" s="55">
        <v>0</v>
      </c>
      <c r="O5" s="21">
        <f t="shared" ref="O5:O30" si="3">IF(COUNTA($F5,$K5,$P5)&gt;0,O4+SUM(L5:N5),"")</f>
        <v>15000</v>
      </c>
      <c r="P5" s="8"/>
      <c r="Q5" s="9"/>
      <c r="R5" s="9"/>
      <c r="S5" s="55"/>
      <c r="T5" s="21">
        <f t="shared" ref="T5:T30" si="4">IF(COUNTA($F5,$K5,$P5)&gt;0,T4+SUM(Q5:S5),"")</f>
        <v>25000</v>
      </c>
      <c r="U5" s="60">
        <f>IF($J5="","",ROUND(($J5-$J$3)/1000,1)+(2-_xlfn.RANK.AVG($J5,($J5,$O5,$T5)))*20)</f>
        <v>50</v>
      </c>
      <c r="V5" s="61">
        <f>IF($O5="","",ROUND(($O5-$O$3)/1000,1)+(2-_xlfn.RANK.AVG($O5,($J5,$O5,$T5)))*20)</f>
        <v>-40</v>
      </c>
      <c r="W5" s="62">
        <f>IF($T5="","",ROUND(($T5-$T$3)/1000,1)+(2-_xlfn.RANK.AVG($T5,($J5,$O5,$T5)))*20)</f>
        <v>-10</v>
      </c>
      <c r="Y5" s="8"/>
      <c r="Z5" s="41"/>
      <c r="AA5" s="32"/>
      <c r="AB5" s="32"/>
      <c r="AC5" s="32">
        <v>4</v>
      </c>
      <c r="AD5" s="36">
        <v>40</v>
      </c>
      <c r="AE5" s="47" t="s">
        <v>80</v>
      </c>
      <c r="AF5" s="48" t="s">
        <v>82</v>
      </c>
      <c r="AG5" s="48" t="s">
        <v>82</v>
      </c>
      <c r="AH5" s="48" t="s">
        <v>86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135</v>
      </c>
      <c r="F6" s="8"/>
      <c r="G6" s="9"/>
      <c r="H6" s="9"/>
      <c r="I6" s="55"/>
      <c r="J6" s="21">
        <f t="shared" si="2"/>
        <v>65000</v>
      </c>
      <c r="K6" s="8" t="s">
        <v>141</v>
      </c>
      <c r="L6" s="9">
        <v>-3900</v>
      </c>
      <c r="M6" s="9"/>
      <c r="N6" s="55">
        <v>-1000</v>
      </c>
      <c r="O6" s="21">
        <f t="shared" si="3"/>
        <v>10100</v>
      </c>
      <c r="P6" s="8" t="s">
        <v>142</v>
      </c>
      <c r="Q6" s="9">
        <v>3900</v>
      </c>
      <c r="R6" s="9"/>
      <c r="S6" s="55">
        <v>1000</v>
      </c>
      <c r="T6" s="21">
        <f t="shared" si="4"/>
        <v>29900</v>
      </c>
      <c r="U6" s="60">
        <f>IF($J6="","",ROUND(($J6-$J$3)/1000,1)+(2-_xlfn.RANK.AVG($J6,($J6,$O6,$T6)))*20)</f>
        <v>50</v>
      </c>
      <c r="V6" s="61">
        <f>IF($O6="","",ROUND(($O6-$O$3)/1000,1)+(2-_xlfn.RANK.AVG($O6,($J6,$O6,$T6)))*20)</f>
        <v>-44.9</v>
      </c>
      <c r="W6" s="62">
        <f>IF($T6="","",ROUND(($T6-$T$3)/1000,1)+(2-_xlfn.RANK.AVG($T6,($J6,$O6,$T6)))*20)</f>
        <v>-5.0999999999999996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30</v>
      </c>
      <c r="BU6" s="47" t="s">
        <v>144</v>
      </c>
      <c r="BV6" s="48" t="s">
        <v>84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137</v>
      </c>
      <c r="F7" s="8" t="s">
        <v>150</v>
      </c>
      <c r="G7" s="9">
        <v>3000</v>
      </c>
      <c r="H7" s="9"/>
      <c r="I7" s="55"/>
      <c r="J7" s="21">
        <f t="shared" si="2"/>
        <v>68000</v>
      </c>
      <c r="K7" s="8" t="s">
        <v>150</v>
      </c>
      <c r="L7" s="9">
        <v>-1500</v>
      </c>
      <c r="M7" s="9"/>
      <c r="N7" s="55"/>
      <c r="O7" s="21">
        <f t="shared" si="3"/>
        <v>8600</v>
      </c>
      <c r="P7" s="8" t="s">
        <v>150</v>
      </c>
      <c r="Q7" s="9">
        <v>-1500</v>
      </c>
      <c r="R7" s="9"/>
      <c r="S7" s="55"/>
      <c r="T7" s="21">
        <f t="shared" si="4"/>
        <v>28400</v>
      </c>
      <c r="U7" s="60">
        <f>IF($J7="","",ROUND(($J7-$J$3)/1000,1)+(2-_xlfn.RANK.AVG($J7,($J7,$O7,$T7)))*20)</f>
        <v>53</v>
      </c>
      <c r="V7" s="61">
        <f>IF($O7="","",ROUND(($O7-$O$3)/1000,1)+(2-_xlfn.RANK.AVG($O7,($J7,$O7,$T7)))*20)</f>
        <v>-46.4</v>
      </c>
      <c r="W7" s="62">
        <f>IF($T7="","",ROUND(($T7-$T$3)/1000,1)+(2-_xlfn.RANK.AVG($T7,($J7,$O7,$T7)))*20)</f>
        <v>-6.6</v>
      </c>
      <c r="Y7" s="8" t="s">
        <v>148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149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149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141</v>
      </c>
      <c r="G8" s="9">
        <v>-12000</v>
      </c>
      <c r="H8" s="9"/>
      <c r="I8" s="55">
        <v>-1000</v>
      </c>
      <c r="J8" s="21">
        <f t="shared" si="2"/>
        <v>55000</v>
      </c>
      <c r="K8" s="8" t="s">
        <v>142</v>
      </c>
      <c r="L8" s="9">
        <v>12000</v>
      </c>
      <c r="M8" s="9"/>
      <c r="N8" s="55">
        <v>1000</v>
      </c>
      <c r="O8" s="21">
        <f t="shared" si="3"/>
        <v>21600</v>
      </c>
      <c r="P8" s="8"/>
      <c r="Q8" s="9"/>
      <c r="R8" s="9"/>
      <c r="S8" s="55"/>
      <c r="T8" s="21">
        <f t="shared" si="4"/>
        <v>28400</v>
      </c>
      <c r="U8" s="60">
        <f>IF($J8="","",ROUND(($J8-$J$3)/1000,1)+(2-_xlfn.RANK.AVG($J8,($J8,$O8,$T8)))*20)</f>
        <v>40</v>
      </c>
      <c r="V8" s="61">
        <f>IF($O8="","",ROUND(($O8-$O$3)/1000,1)+(2-_xlfn.RANK.AVG($O8,($J8,$O8,$T8)))*20)</f>
        <v>-33.4</v>
      </c>
      <c r="W8" s="62">
        <f>IF($T8="","",ROUND(($T8-$T$3)/1000,1)+(2-_xlfn.RANK.AVG($T8,($J8,$O8,$T8)))*20)</f>
        <v>-6.6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6</v>
      </c>
      <c r="AY8" s="36" t="s">
        <v>143</v>
      </c>
      <c r="AZ8" s="47" t="s">
        <v>105</v>
      </c>
      <c r="BA8" s="48" t="s">
        <v>102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135</v>
      </c>
      <c r="F9" s="8" t="s">
        <v>146</v>
      </c>
      <c r="G9" s="9">
        <v>-7500</v>
      </c>
      <c r="H9" s="9"/>
      <c r="I9" s="55">
        <v>0</v>
      </c>
      <c r="J9" s="21">
        <f t="shared" si="2"/>
        <v>47500</v>
      </c>
      <c r="K9" s="8" t="s">
        <v>145</v>
      </c>
      <c r="L9" s="9">
        <v>12000</v>
      </c>
      <c r="M9" s="9"/>
      <c r="N9" s="55">
        <v>0</v>
      </c>
      <c r="O9" s="21">
        <f t="shared" si="3"/>
        <v>33600</v>
      </c>
      <c r="P9" s="8" t="s">
        <v>146</v>
      </c>
      <c r="Q9" s="9">
        <v>-4500</v>
      </c>
      <c r="R9" s="9"/>
      <c r="S9" s="55">
        <v>0</v>
      </c>
      <c r="T9" s="21">
        <f t="shared" si="4"/>
        <v>23900</v>
      </c>
      <c r="U9" s="60">
        <f>IF($J9="","",ROUND(($J9-$J$3)/1000,1)+(2-_xlfn.RANK.AVG($J9,($J9,$O9,$T9)))*20)</f>
        <v>32.5</v>
      </c>
      <c r="V9" s="61">
        <f>IF($O9="","",ROUND(($O9-$O$3)/1000,1)+(2-_xlfn.RANK.AVG($O9,($J9,$O9,$T9)))*20)</f>
        <v>-1.4</v>
      </c>
      <c r="W9" s="62">
        <f>IF($T9="","",ROUND(($T9-$T$3)/1000,1)+(2-_xlfn.RANK.AVG($T9,($J9,$O9,$T9)))*20)</f>
        <v>-31.1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7</v>
      </c>
      <c r="AY9" s="36" t="s">
        <v>143</v>
      </c>
      <c r="AZ9" s="47" t="s">
        <v>144</v>
      </c>
      <c r="BA9" s="48" t="s">
        <v>83</v>
      </c>
      <c r="BB9" s="48" t="s">
        <v>85</v>
      </c>
      <c r="BC9" s="48" t="s">
        <v>82</v>
      </c>
      <c r="BD9" s="48" t="s">
        <v>82</v>
      </c>
      <c r="BE9" s="48" t="s">
        <v>82</v>
      </c>
      <c r="BF9" s="48" t="s">
        <v>80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137</v>
      </c>
      <c r="F10" s="8" t="s">
        <v>150</v>
      </c>
      <c r="G10" s="9">
        <v>-3000</v>
      </c>
      <c r="H10" s="9"/>
      <c r="I10" s="55"/>
      <c r="J10" s="21">
        <f t="shared" si="2"/>
        <v>44500</v>
      </c>
      <c r="K10" s="8" t="s">
        <v>150</v>
      </c>
      <c r="L10" s="9">
        <v>1500</v>
      </c>
      <c r="M10" s="9">
        <v>-1000</v>
      </c>
      <c r="N10" s="55"/>
      <c r="O10" s="21">
        <f t="shared" si="3"/>
        <v>34100</v>
      </c>
      <c r="P10" s="8" t="s">
        <v>150</v>
      </c>
      <c r="Q10" s="9">
        <v>1500</v>
      </c>
      <c r="R10" s="9">
        <v>-1000</v>
      </c>
      <c r="S10" s="55"/>
      <c r="T10" s="21">
        <f t="shared" si="4"/>
        <v>24400</v>
      </c>
      <c r="U10" s="60">
        <f>IF($J10="","",ROUND(($J10-$J$3)/1000,1)+(2-_xlfn.RANK.AVG($J10,($J10,$O10,$T10)))*20)</f>
        <v>29.5</v>
      </c>
      <c r="V10" s="61">
        <f>IF($O10="","",ROUND(($O10-$O$3)/1000,1)+(2-_xlfn.RANK.AVG($O10,($J10,$O10,$T10)))*20)</f>
        <v>-0.9</v>
      </c>
      <c r="W10" s="62">
        <f>IF($T10="","",ROUND(($T10-$T$3)/1000,1)+(2-_xlfn.RANK.AVG($T10,($J10,$O10,$T10)))*20)</f>
        <v>-30.6</v>
      </c>
      <c r="Y10" s="8" t="s">
        <v>149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148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148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2</v>
      </c>
      <c r="E11" s="4" t="s">
        <v>137</v>
      </c>
      <c r="F11" s="8" t="s">
        <v>150</v>
      </c>
      <c r="G11" s="9">
        <v>-1500</v>
      </c>
      <c r="H11" s="9"/>
      <c r="I11" s="55"/>
      <c r="J11" s="21">
        <f t="shared" si="2"/>
        <v>43000</v>
      </c>
      <c r="K11" s="8" t="s">
        <v>150</v>
      </c>
      <c r="L11" s="9">
        <v>3000</v>
      </c>
      <c r="M11" s="9"/>
      <c r="N11" s="55"/>
      <c r="O11" s="21">
        <f t="shared" si="3"/>
        <v>37100</v>
      </c>
      <c r="P11" s="8" t="s">
        <v>150</v>
      </c>
      <c r="Q11" s="9">
        <v>-1500</v>
      </c>
      <c r="R11" s="9"/>
      <c r="S11" s="55"/>
      <c r="T11" s="21">
        <f t="shared" si="4"/>
        <v>22900</v>
      </c>
      <c r="U11" s="60">
        <f>IF($J11="","",ROUND(($J11-$J$3)/1000,1)+(2-_xlfn.RANK.AVG($J11,($J11,$O11,$T11)))*20)</f>
        <v>28</v>
      </c>
      <c r="V11" s="61">
        <f>IF($O11="","",ROUND(($O11-$O$3)/1000,1)+(2-_xlfn.RANK.AVG($O11,($J11,$O11,$T11)))*20)</f>
        <v>2.1</v>
      </c>
      <c r="W11" s="62">
        <f>IF($T11="","",ROUND(($T11-$T$3)/1000,1)+(2-_xlfn.RANK.AVG($T11,($J11,$O11,$T11)))*20)</f>
        <v>-32.1</v>
      </c>
      <c r="Y11" s="8" t="s">
        <v>149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149</v>
      </c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2</v>
      </c>
      <c r="E12" s="4" t="s">
        <v>137</v>
      </c>
      <c r="F12" s="8" t="s">
        <v>142</v>
      </c>
      <c r="G12" s="9">
        <v>1000</v>
      </c>
      <c r="H12" s="9">
        <v>2000</v>
      </c>
      <c r="I12" s="55">
        <v>2000</v>
      </c>
      <c r="J12" s="21">
        <f t="shared" si="2"/>
        <v>48000</v>
      </c>
      <c r="K12" s="8"/>
      <c r="L12" s="9"/>
      <c r="M12" s="9"/>
      <c r="N12" s="55"/>
      <c r="O12" s="21">
        <f t="shared" si="3"/>
        <v>37100</v>
      </c>
      <c r="P12" s="8" t="s">
        <v>141</v>
      </c>
      <c r="Q12" s="9">
        <v>-1000</v>
      </c>
      <c r="R12" s="9"/>
      <c r="S12" s="55">
        <v>-2000</v>
      </c>
      <c r="T12" s="21">
        <f t="shared" si="4"/>
        <v>19900</v>
      </c>
      <c r="U12" s="60">
        <f>IF($J12="","",ROUND(($J12-$J$3)/1000,1)+(2-_xlfn.RANK.AVG($J12,($J12,$O12,$T12)))*20)</f>
        <v>33</v>
      </c>
      <c r="V12" s="61">
        <f>IF($O12="","",ROUND(($O12-$O$3)/1000,1)+(2-_xlfn.RANK.AVG($O12,($J12,$O12,$T12)))*20)</f>
        <v>2.1</v>
      </c>
      <c r="W12" s="62">
        <f>IF($T12="","",ROUND(($T12-$T$3)/1000,1)+(2-_xlfn.RANK.AVG($T12,($J12,$O12,$T12)))*20)</f>
        <v>-35.1</v>
      </c>
      <c r="Y12" s="8"/>
      <c r="Z12" s="41"/>
      <c r="AA12" s="32"/>
      <c r="AB12" s="32">
        <v>1</v>
      </c>
      <c r="AC12" s="32">
        <v>1</v>
      </c>
      <c r="AD12" s="36">
        <v>30</v>
      </c>
      <c r="AE12" s="47" t="s">
        <v>94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IF($J13="","",ROUND(($J13-$J$3)/1000,1)+(2-_xlfn.RANK.AVG($J13,($J13,$O13,$T13)))*20)</f>
        <v/>
      </c>
      <c r="V13" s="61" t="str">
        <f>IF($O13="","",ROUND(($O13-$O$3)/1000,1)+(2-_xlfn.RANK.AVG($O13,($J13,$O13,$T13)))*20)</f>
        <v/>
      </c>
      <c r="W13" s="62" t="str">
        <f>IF($T13="","",ROUND(($T13-$T$3)/1000,1)+(2-_xlfn.RANK.AVG($T13,($J13,$O13,$T13)))*20)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IF($J14="","",ROUND(($J14-$J$3)/1000,1)+(2-_xlfn.RANK.AVG($J14,($J14,$O14,$T14)))*20)</f>
        <v/>
      </c>
      <c r="V14" s="61" t="str">
        <f>IF($O14="","",ROUND(($O14-$O$3)/1000,1)+(2-_xlfn.RANK.AVG($O14,($J14,$O14,$T14)))*20)</f>
        <v/>
      </c>
      <c r="W14" s="62" t="str">
        <f>IF($T14="","",ROUND(($T14-$T$3)/1000,1)+(2-_xlfn.RANK.AVG($T14,($J14,$O14,$T14)))*20)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IF($J15="","",ROUND(($J15-$J$3)/1000,1)+(2-_xlfn.RANK.AVG($J15,($J15,$O15,$T15)))*20)</f>
        <v/>
      </c>
      <c r="V15" s="61" t="str">
        <f>IF($O15="","",ROUND(($O15-$O$3)/1000,1)+(2-_xlfn.RANK.AVG($O15,($J15,$O15,$T15)))*20)</f>
        <v/>
      </c>
      <c r="W15" s="62" t="str">
        <f>IF($T15="","",ROUND(($T15-$T$3)/1000,1)+(2-_xlfn.RANK.AVG($T15,($J15,$O15,$T15)))*20)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IF($J16="","",ROUND(($J16-$J$3)/1000,1)+(2-_xlfn.RANK.AVG($J16,($J16,$O16,$T16)))*20)</f>
        <v/>
      </c>
      <c r="V16" s="61" t="str">
        <f>IF($O16="","",ROUND(($O16-$O$3)/1000,1)+(2-_xlfn.RANK.AVG($O16,($J16,$O16,$T16)))*20)</f>
        <v/>
      </c>
      <c r="W16" s="62" t="str">
        <f>IF($T16="","",ROUND(($T16-$T$3)/1000,1)+(2-_xlfn.RANK.AVG($T16,($J16,$O16,$T16)))*20)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IF($J17="","",ROUND(($J17-$J$3)/1000,1)+(2-_xlfn.RANK.AVG($J17,($J17,$O17,$T17)))*20)</f>
        <v/>
      </c>
      <c r="V17" s="61" t="str">
        <f>IF($O17="","",ROUND(($O17-$O$3)/1000,1)+(2-_xlfn.RANK.AVG($O17,($J17,$O17,$T17)))*20)</f>
        <v/>
      </c>
      <c r="W17" s="62" t="str">
        <f>IF($T17="","",ROUND(($T17-$T$3)/1000,1)+(2-_xlfn.RANK.AVG($T17,($J17,$O17,$T17)))*20)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IF($J18="","",ROUND(($J18-$J$3)/1000,1)+(2-_xlfn.RANK.AVG($J18,($J18,$O18,$T18)))*20)</f>
        <v/>
      </c>
      <c r="V18" s="61" t="str">
        <f>IF($O18="","",ROUND(($O18-$O$3)/1000,1)+(2-_xlfn.RANK.AVG($O18,($J18,$O18,$T18)))*20)</f>
        <v/>
      </c>
      <c r="W18" s="62" t="str">
        <f>IF($T18="","",ROUND(($T18-$T$3)/1000,1)+(2-_xlfn.RANK.AVG($T18,($J18,$O18,$T18)))*20)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IF($J19="","",ROUND(($J19-$J$3)/1000,1)+(2-_xlfn.RANK.AVG($J19,($J19,$O19,$T19)))*20)</f>
        <v/>
      </c>
      <c r="V19" s="61" t="str">
        <f>IF($O19="","",ROUND(($O19-$O$3)/1000,1)+(2-_xlfn.RANK.AVG($O19,($J19,$O19,$T19)))*20)</f>
        <v/>
      </c>
      <c r="W19" s="62" t="str">
        <f>IF($T19="","",ROUND(($T19-$T$3)/1000,1)+(2-_xlfn.RANK.AVG($T19,($J19,$O19,$T19)))*20)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IF($J20="","",ROUND(($J20-$J$3)/1000,1)+(2-_xlfn.RANK.AVG($J20,($J20,$O20,$T20)))*20)</f>
        <v/>
      </c>
      <c r="V20" s="61" t="str">
        <f>IF($O20="","",ROUND(($O20-$O$3)/1000,1)+(2-_xlfn.RANK.AVG($O20,($J20,$O20,$T20)))*20)</f>
        <v/>
      </c>
      <c r="W20" s="62" t="str">
        <f>IF($T20="","",ROUND(($T20-$T$3)/1000,1)+(2-_xlfn.RANK.AVG($T20,($J20,$O20,$T20)))*20)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IF($J21="","",ROUND(($J21-$J$3)/1000,1)+(2-_xlfn.RANK.AVG($J21,($J21,$O21,$T21)))*20)</f>
        <v/>
      </c>
      <c r="V21" s="61" t="str">
        <f>IF($O21="","",ROUND(($O21-$O$3)/1000,1)+(2-_xlfn.RANK.AVG($O21,($J21,$O21,$T21)))*20)</f>
        <v/>
      </c>
      <c r="W21" s="62" t="str">
        <f>IF($T21="","",ROUND(($T21-$T$3)/1000,1)+(2-_xlfn.RANK.AVG($T21,($J21,$O21,$T21)))*20)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IF($J22="","",ROUND(($J22-$J$3)/1000,1)+(2-_xlfn.RANK.AVG($J22,($J22,$O22,$T22)))*20)</f>
        <v/>
      </c>
      <c r="V22" s="61" t="str">
        <f>IF($O22="","",ROUND(($O22-$O$3)/1000,1)+(2-_xlfn.RANK.AVG($O22,($J22,$O22,$T22)))*20)</f>
        <v/>
      </c>
      <c r="W22" s="62" t="str">
        <f>IF($T22="","",ROUND(($T22-$T$3)/1000,1)+(2-_xlfn.RANK.AVG($T22,($J22,$O22,$T22)))*20)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IF($J23="","",ROUND(($J23-$J$3)/1000,1)+(2-_xlfn.RANK.AVG($J23,($J23,$O23,$T23)))*20)</f>
        <v/>
      </c>
      <c r="V23" s="61" t="str">
        <f>IF($O23="","",ROUND(($O23-$O$3)/1000,1)+(2-_xlfn.RANK.AVG($O23,($J23,$O23,$T23)))*20)</f>
        <v/>
      </c>
      <c r="W23" s="62" t="str">
        <f>IF($T23="","",ROUND(($T23-$T$3)/1000,1)+(2-_xlfn.RANK.AVG($T23,($J23,$O23,$T23)))*20)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IF($J24="","",ROUND(($J24-$J$3)/1000,1)+(2-_xlfn.RANK.AVG($J24,($J24,$O24,$T24)))*20)</f>
        <v/>
      </c>
      <c r="V24" s="61" t="str">
        <f>IF($O24="","",ROUND(($O24-$O$3)/1000,1)+(2-_xlfn.RANK.AVG($O24,($J24,$O24,$T24)))*20)</f>
        <v/>
      </c>
      <c r="W24" s="62" t="str">
        <f>IF($T24="","",ROUND(($T24-$T$3)/1000,1)+(2-_xlfn.RANK.AVG($T24,($J24,$O24,$T24)))*20)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IF($J25="","",ROUND(($J25-$J$3)/1000,1)+(2-_xlfn.RANK.AVG($J25,($J25,$O25,$T25)))*20)</f>
        <v/>
      </c>
      <c r="V25" s="61" t="str">
        <f>IF($O25="","",ROUND(($O25-$O$3)/1000,1)+(2-_xlfn.RANK.AVG($O25,($J25,$O25,$T25)))*20)</f>
        <v/>
      </c>
      <c r="W25" s="62" t="str">
        <f>IF($T25="","",ROUND(($T25-$T$3)/1000,1)+(2-_xlfn.RANK.AVG($T25,($J25,$O25,$T25)))*20)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IF($J26="","",ROUND(($J26-$J$3)/1000,1)+(2-_xlfn.RANK.AVG($J26,($J26,$O26,$T26)))*20)</f>
        <v/>
      </c>
      <c r="V26" s="61" t="str">
        <f>IF($O26="","",ROUND(($O26-$O$3)/1000,1)+(2-_xlfn.RANK.AVG($O26,($J26,$O26,$T26)))*20)</f>
        <v/>
      </c>
      <c r="W26" s="62" t="str">
        <f>IF($T26="","",ROUND(($T26-$T$3)/1000,1)+(2-_xlfn.RANK.AVG($T26,($J26,$O26,$T26)))*20)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IF($J27="","",ROUND(($J27-$J$3)/1000,1)+(2-_xlfn.RANK.AVG($J27,($J27,$O27,$T27)))*20)</f>
        <v/>
      </c>
      <c r="V27" s="61" t="str">
        <f>IF($O27="","",ROUND(($O27-$O$3)/1000,1)+(2-_xlfn.RANK.AVG($O27,($J27,$O27,$T27)))*20)</f>
        <v/>
      </c>
      <c r="W27" s="62" t="str">
        <f>IF($T27="","",ROUND(($T27-$T$3)/1000,1)+(2-_xlfn.RANK.AVG($T27,($J27,$O27,$T27)))*20)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IF($J28="","",ROUND(($J28-$J$3)/1000,1)+(2-_xlfn.RANK.AVG($J28,($J28,$O28,$T28)))*20)</f>
        <v/>
      </c>
      <c r="V28" s="61" t="str">
        <f>IF($O28="","",ROUND(($O28-$O$3)/1000,1)+(2-_xlfn.RANK.AVG($O28,($J28,$O28,$T28)))*20)</f>
        <v/>
      </c>
      <c r="W28" s="62" t="str">
        <f>IF($T28="","",ROUND(($T28-$T$3)/1000,1)+(2-_xlfn.RANK.AVG($T28,($J28,$O28,$T28)))*20)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IF($J29="","",ROUND(($J29-$J$3)/1000,1)+(2-_xlfn.RANK.AVG($J29,($J29,$O29,$T29)))*20)</f>
        <v/>
      </c>
      <c r="V29" s="61" t="str">
        <f>IF($O29="","",ROUND(($O29-$O$3)/1000,1)+(2-_xlfn.RANK.AVG($O29,($J29,$O29,$T29)))*20)</f>
        <v/>
      </c>
      <c r="W29" s="62" t="str">
        <f>IF($T29="","",ROUND(($T29-$T$3)/1000,1)+(2-_xlfn.RANK.AVG($T29,($J29,$O29,$T29)))*20)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IF($J30="","",ROUND(($J30-$J$3)/1000,1)+(2-_xlfn.RANK.AVG($J30,($J30,$O30,$T30)))*20)</f>
        <v/>
      </c>
      <c r="V30" s="64" t="str">
        <f>IF($O30="","",ROUND(($O30-$O$3)/1000,1)+(2-_xlfn.RANK.AVG($O30,($J30,$O30,$T30)))*20)</f>
        <v/>
      </c>
      <c r="W30" s="65" t="str">
        <f>IF($T30="","",ROUND(($T30-$T$3)/1000,1)+(2-_xlfn.RANK.AVG($T30,($J30,$O30,$T30)))*20)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13DAC45-E61B-4508-B0D4-5B450FB55D18}">
      <formula1>$U$2:$W$2</formula1>
    </dataValidation>
    <dataValidation type="list" showInputMessage="1" showErrorMessage="1" sqref="K4:K30 P4:P30 F4:F30" xr:uid="{98D906A5-6031-4D51-AA63-0654678706D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topLeftCell="A21"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2019-02-20T06:43:50Z</dcterms:modified>
</cp:coreProperties>
</file>