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第1回テストおつかれ杯\"/>
    </mc:Choice>
  </mc:AlternateContent>
  <xr:revisionPtr revIDLastSave="0" documentId="13_ncr:1_{EEE312D0-C75E-4F08-A147-511A78F6E98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1" r:id="rId1"/>
    <sheet name="Sheet2" sheetId="23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21" l="1"/>
  <c r="V30" i="21"/>
  <c r="U30" i="21"/>
  <c r="W29" i="21"/>
  <c r="V29" i="21"/>
  <c r="U29" i="21"/>
  <c r="W28" i="21"/>
  <c r="V28" i="21"/>
  <c r="U28" i="21"/>
  <c r="W27" i="21"/>
  <c r="V27" i="21"/>
  <c r="U27" i="21"/>
  <c r="W26" i="21"/>
  <c r="V26" i="21"/>
  <c r="U26" i="21"/>
  <c r="W25" i="21"/>
  <c r="V25" i="21"/>
  <c r="U25" i="21"/>
  <c r="W24" i="21"/>
  <c r="V24" i="21"/>
  <c r="U24" i="21"/>
  <c r="W23" i="21"/>
  <c r="V23" i="21"/>
  <c r="U23" i="21"/>
  <c r="W22" i="21"/>
  <c r="V22" i="21"/>
  <c r="U22" i="21"/>
  <c r="W21" i="21"/>
  <c r="V21" i="21"/>
  <c r="U21" i="21"/>
  <c r="W20" i="21"/>
  <c r="V20" i="21"/>
  <c r="U20" i="21"/>
  <c r="W19" i="21"/>
  <c r="V19" i="21"/>
  <c r="U19" i="21"/>
  <c r="W18" i="21"/>
  <c r="V18" i="21"/>
  <c r="U18" i="21"/>
  <c r="W17" i="21"/>
  <c r="V17" i="21"/>
  <c r="U17" i="21"/>
  <c r="W16" i="21"/>
  <c r="V16" i="21"/>
  <c r="U16" i="21"/>
  <c r="W15" i="21"/>
  <c r="V15" i="21"/>
  <c r="U15" i="21"/>
  <c r="W14" i="21"/>
  <c r="V14" i="21"/>
  <c r="U14" i="21"/>
  <c r="W13" i="21"/>
  <c r="V13" i="21"/>
  <c r="U13" i="21"/>
  <c r="W12" i="21"/>
  <c r="V12" i="21"/>
  <c r="U12" i="21"/>
  <c r="W11" i="21"/>
  <c r="V11" i="21"/>
  <c r="U11" i="21"/>
  <c r="W10" i="21"/>
  <c r="V10" i="21"/>
  <c r="U10" i="21"/>
  <c r="W9" i="21"/>
  <c r="V9" i="21"/>
  <c r="U9" i="21"/>
  <c r="W8" i="21"/>
  <c r="V8" i="21"/>
  <c r="U8" i="21"/>
  <c r="W7" i="21"/>
  <c r="V7" i="21"/>
  <c r="U7" i="21"/>
  <c r="W6" i="21"/>
  <c r="V6" i="21"/>
  <c r="U6" i="21"/>
  <c r="W5" i="21"/>
  <c r="V5" i="21"/>
  <c r="U5" i="21"/>
  <c r="W4" i="21"/>
  <c r="V4" i="21"/>
  <c r="U4" i="21"/>
  <c r="W30" i="23"/>
  <c r="V30" i="23"/>
  <c r="U30" i="23"/>
  <c r="W29" i="23"/>
  <c r="V29" i="23"/>
  <c r="U29" i="23"/>
  <c r="W28" i="23"/>
  <c r="V28" i="23"/>
  <c r="U28" i="23"/>
  <c r="W27" i="23"/>
  <c r="V27" i="23"/>
  <c r="U27" i="23"/>
  <c r="W26" i="23"/>
  <c r="V26" i="23"/>
  <c r="U26" i="23"/>
  <c r="W25" i="23"/>
  <c r="V25" i="23"/>
  <c r="U25" i="23"/>
  <c r="W24" i="23"/>
  <c r="V24" i="23"/>
  <c r="U24" i="23"/>
  <c r="W23" i="23"/>
  <c r="V23" i="23"/>
  <c r="U23" i="23"/>
  <c r="W22" i="23"/>
  <c r="V22" i="23"/>
  <c r="U22" i="23"/>
  <c r="W21" i="23"/>
  <c r="V21" i="23"/>
  <c r="U21" i="23"/>
  <c r="W20" i="23"/>
  <c r="V20" i="23"/>
  <c r="U20" i="23"/>
  <c r="W19" i="23"/>
  <c r="V19" i="23"/>
  <c r="U19" i="23"/>
  <c r="W18" i="23"/>
  <c r="V18" i="23"/>
  <c r="U18" i="23"/>
  <c r="W17" i="23"/>
  <c r="V17" i="23"/>
  <c r="U17" i="23"/>
  <c r="W16" i="23"/>
  <c r="V16" i="23"/>
  <c r="U16" i="23"/>
  <c r="W15" i="23"/>
  <c r="V15" i="23"/>
  <c r="U15" i="23"/>
  <c r="W14" i="23"/>
  <c r="V14" i="23"/>
  <c r="U14" i="23"/>
  <c r="W13" i="23"/>
  <c r="V13" i="23"/>
  <c r="U13" i="23"/>
  <c r="W12" i="23"/>
  <c r="V12" i="23"/>
  <c r="U12" i="23"/>
  <c r="W11" i="23"/>
  <c r="V11" i="23"/>
  <c r="U11" i="23"/>
  <c r="W10" i="23"/>
  <c r="V10" i="23"/>
  <c r="U10" i="23"/>
  <c r="W9" i="23"/>
  <c r="V9" i="23"/>
  <c r="U9" i="23"/>
  <c r="W8" i="23"/>
  <c r="V8" i="23"/>
  <c r="U8" i="23"/>
  <c r="W7" i="23"/>
  <c r="V7" i="23"/>
  <c r="U7" i="23"/>
  <c r="W6" i="23"/>
  <c r="V6" i="23"/>
  <c r="U6" i="23"/>
  <c r="W5" i="23"/>
  <c r="V5" i="23"/>
  <c r="U5" i="23"/>
  <c r="W4" i="23"/>
  <c r="V4" i="23"/>
  <c r="U4" i="23"/>
  <c r="W3" i="21"/>
  <c r="W3" i="23"/>
  <c r="V3" i="21"/>
  <c r="V3" i="23"/>
  <c r="U3" i="21"/>
  <c r="U3" i="23"/>
  <c r="T30" i="23" l="1"/>
  <c r="O30" i="23"/>
  <c r="J30" i="23"/>
  <c r="D30" i="23"/>
  <c r="C30" i="23"/>
  <c r="B30" i="23"/>
  <c r="A30" i="23"/>
  <c r="T29" i="23"/>
  <c r="O29" i="23"/>
  <c r="J29" i="23"/>
  <c r="D29" i="23"/>
  <c r="C29" i="23"/>
  <c r="B29" i="23"/>
  <c r="A29" i="23"/>
  <c r="T28" i="23"/>
  <c r="O28" i="23"/>
  <c r="J28" i="23"/>
  <c r="D28" i="23"/>
  <c r="C28" i="23"/>
  <c r="B28" i="23"/>
  <c r="A28" i="23"/>
  <c r="T27" i="23"/>
  <c r="O27" i="23"/>
  <c r="J27" i="23"/>
  <c r="D27" i="23"/>
  <c r="C27" i="23"/>
  <c r="B27" i="23"/>
  <c r="A27" i="23"/>
  <c r="T26" i="23"/>
  <c r="O26" i="23"/>
  <c r="J26" i="23"/>
  <c r="D26" i="23"/>
  <c r="C26" i="23"/>
  <c r="B26" i="23"/>
  <c r="A26" i="23"/>
  <c r="T25" i="23"/>
  <c r="O25" i="23"/>
  <c r="J25" i="23"/>
  <c r="D25" i="23"/>
  <c r="C25" i="23"/>
  <c r="B25" i="23"/>
  <c r="A25" i="23"/>
  <c r="T24" i="23"/>
  <c r="O24" i="23"/>
  <c r="J24" i="23"/>
  <c r="D24" i="23"/>
  <c r="C24" i="23"/>
  <c r="B24" i="23"/>
  <c r="A24" i="23"/>
  <c r="T23" i="23"/>
  <c r="O23" i="23"/>
  <c r="J23" i="23"/>
  <c r="D23" i="23"/>
  <c r="C23" i="23"/>
  <c r="B23" i="23"/>
  <c r="A23" i="23"/>
  <c r="T22" i="23"/>
  <c r="O22" i="23"/>
  <c r="J22" i="23"/>
  <c r="D22" i="23"/>
  <c r="C22" i="23"/>
  <c r="B22" i="23"/>
  <c r="A22" i="23"/>
  <c r="T21" i="23"/>
  <c r="O21" i="23"/>
  <c r="J21" i="23"/>
  <c r="D21" i="23"/>
  <c r="C21" i="23"/>
  <c r="B21" i="23"/>
  <c r="A21" i="23"/>
  <c r="T20" i="23"/>
  <c r="O20" i="23"/>
  <c r="J20" i="23"/>
  <c r="D20" i="23"/>
  <c r="C20" i="23"/>
  <c r="B20" i="23"/>
  <c r="A20" i="23"/>
  <c r="T19" i="23"/>
  <c r="O19" i="23"/>
  <c r="J19" i="23"/>
  <c r="D19" i="23"/>
  <c r="C19" i="23"/>
  <c r="B19" i="23"/>
  <c r="A19" i="23"/>
  <c r="T18" i="23"/>
  <c r="O18" i="23"/>
  <c r="J18" i="23"/>
  <c r="D18" i="23"/>
  <c r="C18" i="23"/>
  <c r="B18" i="23"/>
  <c r="A18" i="23"/>
  <c r="T17" i="23"/>
  <c r="O17" i="23"/>
  <c r="J17" i="23"/>
  <c r="D17" i="23"/>
  <c r="C17" i="23"/>
  <c r="B17" i="23"/>
  <c r="A17" i="23"/>
  <c r="T16" i="23"/>
  <c r="O16" i="23"/>
  <c r="J16" i="23"/>
  <c r="D16" i="23"/>
  <c r="C16" i="23"/>
  <c r="B16" i="23"/>
  <c r="A16" i="23"/>
  <c r="T15" i="23"/>
  <c r="O15" i="23"/>
  <c r="J15" i="23"/>
  <c r="D15" i="23"/>
  <c r="C15" i="23"/>
  <c r="B15" i="23"/>
  <c r="A15" i="23"/>
  <c r="T14" i="23"/>
  <c r="O14" i="23"/>
  <c r="J14" i="23"/>
  <c r="D14" i="23"/>
  <c r="C14" i="23"/>
  <c r="B14" i="23"/>
  <c r="A14" i="23"/>
  <c r="T13" i="23"/>
  <c r="O13" i="23"/>
  <c r="J13" i="23"/>
  <c r="D13" i="23"/>
  <c r="C13" i="23"/>
  <c r="B13" i="23"/>
  <c r="A13" i="23"/>
  <c r="D12" i="23"/>
  <c r="C12" i="23"/>
  <c r="D11" i="23"/>
  <c r="C11" i="23"/>
  <c r="D10" i="23"/>
  <c r="C10" i="23"/>
  <c r="D9" i="23"/>
  <c r="C9" i="23"/>
  <c r="D8" i="23"/>
  <c r="C8" i="23"/>
  <c r="D7" i="23"/>
  <c r="C7" i="23"/>
  <c r="D6" i="23"/>
  <c r="C6" i="23"/>
  <c r="O5" i="23"/>
  <c r="O6" i="23" s="1"/>
  <c r="J5" i="23"/>
  <c r="D5" i="23"/>
  <c r="C5" i="23"/>
  <c r="B5" i="23"/>
  <c r="B6" i="23" s="1"/>
  <c r="A5" i="23"/>
  <c r="T4" i="23"/>
  <c r="O4" i="23"/>
  <c r="J4" i="23"/>
  <c r="W2" i="23"/>
  <c r="V2" i="23"/>
  <c r="U2" i="23"/>
  <c r="BO1" i="23"/>
  <c r="AT1" i="23"/>
  <c r="Y1" i="23"/>
  <c r="O7" i="23" l="1"/>
  <c r="B7" i="23"/>
  <c r="T5" i="23"/>
  <c r="A6" i="23"/>
  <c r="J6" i="23"/>
  <c r="B8" i="23" l="1"/>
  <c r="A8" i="23" s="1"/>
  <c r="J7" i="23"/>
  <c r="A7" i="23"/>
  <c r="O8" i="23"/>
  <c r="T6" i="23"/>
  <c r="J8" i="23" l="1"/>
  <c r="T7" i="23"/>
  <c r="O9" i="23"/>
  <c r="B9" i="23"/>
  <c r="A9" i="23" s="1"/>
  <c r="T8" i="23" l="1"/>
  <c r="B10" i="23"/>
  <c r="A10" i="23" s="1"/>
  <c r="J9" i="23"/>
  <c r="O10" i="23"/>
  <c r="O11" i="23" l="1"/>
  <c r="B11" i="23"/>
  <c r="J10" i="23"/>
  <c r="T9" i="23"/>
  <c r="T10" i="23" l="1"/>
  <c r="B12" i="23"/>
  <c r="A12" i="23"/>
  <c r="A11" i="23"/>
  <c r="J11" i="23"/>
  <c r="O12" i="23"/>
  <c r="J12" i="23" l="1"/>
  <c r="T11" i="23"/>
  <c r="T12" i="23" l="1"/>
  <c r="T30" i="21" l="1"/>
  <c r="O30" i="21"/>
  <c r="J30" i="21"/>
  <c r="D30" i="21"/>
  <c r="C30" i="21"/>
  <c r="B30" i="21"/>
  <c r="A30" i="21"/>
  <c r="T29" i="21"/>
  <c r="O29" i="21"/>
  <c r="J29" i="21"/>
  <c r="D29" i="21"/>
  <c r="C29" i="21"/>
  <c r="B29" i="21"/>
  <c r="A29" i="21"/>
  <c r="T28" i="21"/>
  <c r="O28" i="21"/>
  <c r="J28" i="21"/>
  <c r="D28" i="21"/>
  <c r="C28" i="21"/>
  <c r="B28" i="21"/>
  <c r="A28" i="21"/>
  <c r="T27" i="21"/>
  <c r="O27" i="21"/>
  <c r="J27" i="21"/>
  <c r="D27" i="21"/>
  <c r="C27" i="21"/>
  <c r="B27" i="21"/>
  <c r="A27" i="21"/>
  <c r="T26" i="21"/>
  <c r="O26" i="21"/>
  <c r="J26" i="21"/>
  <c r="D26" i="21"/>
  <c r="C26" i="21"/>
  <c r="B26" i="21"/>
  <c r="A26" i="21"/>
  <c r="T25" i="21"/>
  <c r="O25" i="21"/>
  <c r="J25" i="21"/>
  <c r="D25" i="21"/>
  <c r="C25" i="21"/>
  <c r="B25" i="21"/>
  <c r="A25" i="21"/>
  <c r="T24" i="21"/>
  <c r="O24" i="21"/>
  <c r="J24" i="21"/>
  <c r="D24" i="21"/>
  <c r="C24" i="21"/>
  <c r="B24" i="21"/>
  <c r="A24" i="21"/>
  <c r="T23" i="21"/>
  <c r="O23" i="21"/>
  <c r="J23" i="21"/>
  <c r="D23" i="21"/>
  <c r="C23" i="21"/>
  <c r="B23" i="21"/>
  <c r="A23" i="21"/>
  <c r="T22" i="21"/>
  <c r="O22" i="21"/>
  <c r="J22" i="21"/>
  <c r="D22" i="21"/>
  <c r="C22" i="21"/>
  <c r="B22" i="21"/>
  <c r="A22" i="21"/>
  <c r="T21" i="21"/>
  <c r="O21" i="21"/>
  <c r="J21" i="21"/>
  <c r="D21" i="21"/>
  <c r="C21" i="21"/>
  <c r="B21" i="21"/>
  <c r="A21" i="21"/>
  <c r="T20" i="21"/>
  <c r="O20" i="21"/>
  <c r="J20" i="21"/>
  <c r="D20" i="21"/>
  <c r="C20" i="21"/>
  <c r="B20" i="21"/>
  <c r="A20" i="21"/>
  <c r="T19" i="21"/>
  <c r="O19" i="21"/>
  <c r="J19" i="21"/>
  <c r="D19" i="21"/>
  <c r="C19" i="21"/>
  <c r="B19" i="21"/>
  <c r="A19" i="21"/>
  <c r="T18" i="21"/>
  <c r="O18" i="21"/>
  <c r="J18" i="21"/>
  <c r="D18" i="21"/>
  <c r="C18" i="21"/>
  <c r="B18" i="21"/>
  <c r="A18" i="21"/>
  <c r="T17" i="21"/>
  <c r="O17" i="21"/>
  <c r="J17" i="2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 s="1"/>
  <c r="D11" i="21"/>
  <c r="C11" i="21"/>
  <c r="D10" i="21"/>
  <c r="D9" i="21"/>
  <c r="D8" i="21"/>
  <c r="C8" i="21"/>
  <c r="C9" i="21" s="1"/>
  <c r="C10" i="21" s="1"/>
  <c r="D7" i="21"/>
  <c r="C7" i="21"/>
  <c r="D6" i="21"/>
  <c r="C6" i="21"/>
  <c r="O5" i="21"/>
  <c r="O6" i="21" s="1"/>
  <c r="J5" i="21"/>
  <c r="D5" i="21"/>
  <c r="C5" i="21"/>
  <c r="B5" i="21"/>
  <c r="B6" i="21" s="1"/>
  <c r="A5" i="21"/>
  <c r="T4" i="21"/>
  <c r="O4" i="21"/>
  <c r="J4" i="21"/>
  <c r="W2" i="21"/>
  <c r="V2" i="21"/>
  <c r="U2" i="21"/>
  <c r="BO1" i="21"/>
  <c r="AT1" i="21"/>
  <c r="Y1" i="21"/>
  <c r="B7" i="21" l="1"/>
  <c r="O7" i="21"/>
  <c r="T5" i="21"/>
  <c r="A6" i="21"/>
  <c r="J6" i="21"/>
  <c r="A7" i="21" l="1"/>
  <c r="J7" i="21"/>
  <c r="T6" i="21"/>
  <c r="B8" i="21"/>
  <c r="A8" i="21" s="1"/>
  <c r="O8" i="21"/>
  <c r="O9" i="21" l="1"/>
  <c r="J8" i="21"/>
  <c r="B9" i="21"/>
  <c r="A9" i="21" s="1"/>
  <c r="T7" i="21"/>
  <c r="O10" i="21" l="1"/>
  <c r="B10" i="21"/>
  <c r="T8" i="21"/>
  <c r="J9" i="21"/>
  <c r="B11" i="21" l="1"/>
  <c r="A11" i="21" s="1"/>
  <c r="T9" i="21"/>
  <c r="O11" i="21"/>
  <c r="J10" i="21"/>
  <c r="A10" i="21"/>
  <c r="J11" i="21" l="1"/>
  <c r="T10" i="21"/>
  <c r="T11" i="21" l="1"/>
</calcChain>
</file>

<file path=xl/sharedStrings.xml><?xml version="1.0" encoding="utf-8"?>
<sst xmlns="http://schemas.openxmlformats.org/spreadsheetml/2006/main" count="644" uniqueCount="150">
  <si>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</si>
  <si>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</si>
  <si>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</si>
  <si>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</si>
  <si>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</si>
  <si>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</si>
  <si>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</si>
  <si>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</si>
  <si>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</si>
  <si>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</si>
  <si>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</si>
  <si>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</si>
  <si>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</si>
  <si>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</si>
  <si>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</si>
  <si>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</si>
  <si>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</si>
  <si>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</si>
  <si>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</si>
  <si>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</si>
  <si>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</si>
  <si>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</si>
  <si>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</si>
  <si>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</si>
  <si>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</si>
  <si>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</si>
  <si>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</si>
  <si>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</si>
  <si>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</si>
  <si>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</si>
  <si>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</si>
  <si>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</si>
  <si>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</si>
  <si>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</si>
  <si>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</si>
  <si>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</si>
  <si>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</si>
  <si>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</si>
  <si>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</si>
  <si>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</si>
  <si>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</si>
  <si>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</si>
  <si>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</si>
  <si>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</si>
  <si>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</si>
  <si>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</si>
  <si>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</si>
  <si>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</si>
  <si>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</si>
  <si>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</si>
  <si>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</si>
  <si>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</si>
  <si>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</si>
  <si>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</si>
  <si>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</si>
  <si>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</si>
  <si>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</si>
  <si>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</si>
  <si>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</si>
  <si>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</si>
  <si>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</si>
  <si>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</si>
  <si>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</si>
  <si>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</si>
  <si>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</si>
  <si>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</si>
  <si>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</si>
  <si>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</si>
  <si>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</si>
  <si>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</si>
  <si>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</si>
  <si>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</si>
  <si>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</si>
  <si>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</si>
  <si>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</si>
  <si>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</si>
  <si>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</si>
  <si>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</si>
  <si>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</si>
  <si>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</si>
  <si>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</si>
  <si>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</si>
  <si>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</si>
  <si>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</si>
  <si>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</si>
  <si>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</si>
  <si>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</si>
  <si>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</si>
  <si>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</si>
  <si>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</si>
  <si>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</si>
  <si>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</si>
  <si>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</si>
  <si>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</si>
  <si>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</si>
  <si>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</si>
  <si>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</si>
  <si>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</si>
  <si>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</si>
  <si>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</si>
  <si>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</si>
  <si>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</si>
  <si>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</si>
  <si>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</si>
  <si>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</si>
  <si>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</si>
  <si>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</si>
  <si>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</si>
  <si>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</si>
  <si>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</si>
  <si>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</si>
  <si>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</si>
  <si>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</si>
  <si>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</si>
  <si>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</si>
  <si>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</si>
  <si>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</si>
  <si>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</si>
  <si>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</si>
  <si>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</si>
  <si>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</si>
  <si>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</si>
  <si>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</si>
  <si>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</si>
  <si>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</si>
  <si>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</si>
  <si>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</si>
  <si>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</si>
  <si>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</si>
  <si>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</si>
  <si>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</si>
  <si>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</si>
  <si>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</si>
  <si>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</si>
  <si>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放銃</t>
  </si>
  <si>
    <t>ロン</t>
  </si>
  <si>
    <t>*</t>
  </si>
  <si>
    <t>01</t>
  </si>
  <si>
    <t>ツモ</t>
  </si>
  <si>
    <t>ツモ支払</t>
  </si>
  <si>
    <t>02</t>
  </si>
  <si>
    <t>T</t>
  </si>
  <si>
    <t>N</t>
  </si>
  <si>
    <t>流局</t>
    <phoneticPr fontId="1"/>
  </si>
  <si>
    <t>まっつん</t>
  </si>
  <si>
    <t>まっつん</t>
    <phoneticPr fontId="1"/>
  </si>
  <si>
    <t>ぱぱ</t>
  </si>
  <si>
    <t>ぱぱ</t>
    <phoneticPr fontId="1"/>
  </si>
  <si>
    <t>いっしー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</si>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</sst>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150B-A9DB-4A88-80E3-1CE34254CB2A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145</v>
      </c>
      <c r="G1" s="67"/>
      <c r="H1" s="67"/>
      <c r="I1" s="76"/>
      <c r="J1" s="68"/>
      <c r="K1" s="65" t="s">
        <v>147</v>
      </c>
      <c r="L1" s="67"/>
      <c r="M1" s="67"/>
      <c r="N1" s="76"/>
      <c r="O1" s="68"/>
      <c r="P1" s="65" t="s">
        <v>149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まっつん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ぱぱ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いっしー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ぱぱ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146</v>
      </c>
      <c r="F4" s="8" t="s">
        <v>143</v>
      </c>
      <c r="G4" s="9">
        <v>1500</v>
      </c>
      <c r="H4" s="9"/>
      <c r="I4" s="48"/>
      <c r="J4" s="21">
        <f>IF(COUNTA($F4,$K4,$P4)&gt;0,J3+SUM(G4:I4),"")</f>
        <v>36500</v>
      </c>
      <c r="K4" s="8" t="s">
        <v>143</v>
      </c>
      <c r="L4" s="9">
        <v>1500</v>
      </c>
      <c r="M4" s="9"/>
      <c r="N4" s="48"/>
      <c r="O4" s="21">
        <f>IF(COUNTA($F4,$K4,$P4)&gt;0,O3+SUM(L4:N4),"")</f>
        <v>36500</v>
      </c>
      <c r="P4" s="8" t="s">
        <v>143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IF($J4="","",ROUND(($J4-$J$3)/1000,1)+(2-_xlfn.RANK.AVG($J4,($J4,$O4,$T4)))*20)</f>
        <v>11.5</v>
      </c>
      <c r="V4" s="54">
        <f>IF($O4="","",ROUND(($O4-$O$3)/1000,1)+(2-_xlfn.RANK.AVG($O4,($J4,$O4,$T4)))*20)</f>
        <v>11.5</v>
      </c>
      <c r="W4" s="55">
        <f>IF($T4="","",ROUND(($T4-$T$3)/1000,1)+(2-_xlfn.RANK.AVG($T4,($J4,$O4,$T4)))*20)</f>
        <v>-23</v>
      </c>
      <c r="Y4" s="8" t="s">
        <v>141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141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146</v>
      </c>
      <c r="F5" s="8" t="s">
        <v>143</v>
      </c>
      <c r="G5" s="9">
        <v>1500</v>
      </c>
      <c r="H5" s="9"/>
      <c r="I5" s="48"/>
      <c r="J5" s="21">
        <f t="shared" ref="J5:J30" si="2">IF(COUNTA($F5,$K5,$P5)&gt;0,J4+SUM(G5:I5),"")</f>
        <v>38000</v>
      </c>
      <c r="K5" s="8" t="s">
        <v>143</v>
      </c>
      <c r="L5" s="9">
        <v>1500</v>
      </c>
      <c r="M5" s="9"/>
      <c r="N5" s="48"/>
      <c r="O5" s="21">
        <f t="shared" ref="O5:O30" si="3">IF(COUNTA($F5,$K5,$P5)&gt;0,O4+SUM(L5:N5),"")</f>
        <v>38000</v>
      </c>
      <c r="P5" s="8" t="s">
        <v>143</v>
      </c>
      <c r="Q5" s="9">
        <v>-3000</v>
      </c>
      <c r="R5" s="9"/>
      <c r="S5" s="48"/>
      <c r="T5" s="21">
        <f t="shared" ref="T5:T30" si="4">IF(COUNTA($F5,$K5,$P5)&gt;0,T4+SUM(Q5:S5),"")</f>
        <v>29000</v>
      </c>
      <c r="U5" s="53">
        <f>IF($J5="","",ROUND(($J5-$J$3)/1000,1)+(2-_xlfn.RANK.AVG($J5,($J5,$O5,$T5)))*20)</f>
        <v>13</v>
      </c>
      <c r="V5" s="54">
        <f>IF($O5="","",ROUND(($O5-$O$3)/1000,1)+(2-_xlfn.RANK.AVG($O5,($J5,$O5,$T5)))*20)</f>
        <v>13</v>
      </c>
      <c r="W5" s="55">
        <f>IF($T5="","",ROUND(($T5-$T$3)/1000,1)+(2-_xlfn.RANK.AVG($T5,($J5,$O5,$T5)))*20)</f>
        <v>-26</v>
      </c>
      <c r="Y5" s="8" t="s">
        <v>141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146</v>
      </c>
      <c r="F6" s="8" t="s">
        <v>134</v>
      </c>
      <c r="G6" s="9">
        <v>-16000</v>
      </c>
      <c r="H6" s="9">
        <v>-1000</v>
      </c>
      <c r="I6" s="48">
        <v>-2000</v>
      </c>
      <c r="J6" s="21">
        <f t="shared" si="2"/>
        <v>19000</v>
      </c>
      <c r="K6" s="8"/>
      <c r="L6" s="9"/>
      <c r="M6" s="9"/>
      <c r="N6" s="48"/>
      <c r="O6" s="21">
        <f t="shared" si="3"/>
        <v>38000</v>
      </c>
      <c r="P6" s="8" t="s">
        <v>135</v>
      </c>
      <c r="Q6" s="9">
        <v>16000</v>
      </c>
      <c r="R6" s="9">
        <v>1000</v>
      </c>
      <c r="S6" s="48">
        <v>2000</v>
      </c>
      <c r="T6" s="21">
        <f t="shared" si="4"/>
        <v>48000</v>
      </c>
      <c r="U6" s="53">
        <f>IF($J6="","",ROUND(($J6-$J$3)/1000,1)+(2-_xlfn.RANK.AVG($J6,($J6,$O6,$T6)))*20)</f>
        <v>-36</v>
      </c>
      <c r="V6" s="54">
        <f>IF($O6="","",ROUND(($O6-$O$3)/1000,1)+(2-_xlfn.RANK.AVG($O6,($J6,$O6,$T6)))*20)</f>
        <v>3</v>
      </c>
      <c r="W6" s="55">
        <f>IF($T6="","",ROUND(($T6-$T$3)/1000,1)+(2-_xlfn.RANK.AVG($T6,($J6,$O6,$T6)))*20)</f>
        <v>33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136</v>
      </c>
      <c r="BU6" s="40" t="s">
        <v>137</v>
      </c>
      <c r="BV6" s="41" t="s">
        <v>106</v>
      </c>
      <c r="BW6" s="41" t="s">
        <v>81</v>
      </c>
      <c r="BX6" s="41" t="s">
        <v>81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148</v>
      </c>
      <c r="F7" s="8"/>
      <c r="G7" s="9"/>
      <c r="H7" s="9"/>
      <c r="I7" s="48"/>
      <c r="J7" s="21">
        <f t="shared" si="2"/>
        <v>19000</v>
      </c>
      <c r="K7" s="8" t="s">
        <v>135</v>
      </c>
      <c r="L7" s="9">
        <v>12000</v>
      </c>
      <c r="M7" s="9"/>
      <c r="N7" s="48">
        <v>0</v>
      </c>
      <c r="O7" s="21">
        <f t="shared" si="3"/>
        <v>50000</v>
      </c>
      <c r="P7" s="8" t="s">
        <v>134</v>
      </c>
      <c r="Q7" s="9">
        <v>-12000</v>
      </c>
      <c r="R7" s="9"/>
      <c r="S7" s="48">
        <v>0</v>
      </c>
      <c r="T7" s="21">
        <f t="shared" si="4"/>
        <v>36000</v>
      </c>
      <c r="U7" s="53">
        <f>IF($J7="","",ROUND(($J7-$J$3)/1000,1)+(2-_xlfn.RANK.AVG($J7,($J7,$O7,$T7)))*20)</f>
        <v>-36</v>
      </c>
      <c r="V7" s="54">
        <f>IF($O7="","",ROUND(($O7-$O$3)/1000,1)+(2-_xlfn.RANK.AVG($O7,($J7,$O7,$T7)))*20)</f>
        <v>35</v>
      </c>
      <c r="W7" s="55">
        <f>IF($T7="","",ROUND(($T7-$T$3)/1000,1)+(2-_xlfn.RANK.AVG($T7,($J7,$O7,$T7)))*20)</f>
        <v>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136</v>
      </c>
      <c r="AZ7" s="40" t="s">
        <v>86</v>
      </c>
      <c r="BA7" s="41" t="s">
        <v>81</v>
      </c>
      <c r="BB7" s="41" t="s">
        <v>81</v>
      </c>
      <c r="BC7" s="41" t="s">
        <v>79</v>
      </c>
      <c r="BD7" s="41" t="s">
        <v>79</v>
      </c>
      <c r="BE7" s="41" t="s">
        <v>79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144</v>
      </c>
      <c r="F8" s="8" t="s">
        <v>139</v>
      </c>
      <c r="G8" s="9">
        <v>-5000</v>
      </c>
      <c r="H8" s="9"/>
      <c r="I8" s="48">
        <v>0</v>
      </c>
      <c r="J8" s="21">
        <f t="shared" si="2"/>
        <v>14000</v>
      </c>
      <c r="K8" s="8" t="s">
        <v>139</v>
      </c>
      <c r="L8" s="9">
        <v>-3000</v>
      </c>
      <c r="M8" s="9"/>
      <c r="N8" s="48">
        <v>0</v>
      </c>
      <c r="O8" s="21">
        <f t="shared" si="3"/>
        <v>47000</v>
      </c>
      <c r="P8" s="8" t="s">
        <v>138</v>
      </c>
      <c r="Q8" s="9">
        <v>8000</v>
      </c>
      <c r="R8" s="9"/>
      <c r="S8" s="48">
        <v>0</v>
      </c>
      <c r="T8" s="21">
        <f t="shared" si="4"/>
        <v>44000</v>
      </c>
      <c r="U8" s="53">
        <f>IF($J8="","",ROUND(($J8-$J$3)/1000,1)+(2-_xlfn.RANK.AVG($J8,($J8,$O8,$T8)))*20)</f>
        <v>-41</v>
      </c>
      <c r="V8" s="54">
        <f>IF($O8="","",ROUND(($O8-$O$3)/1000,1)+(2-_xlfn.RANK.AVG($O8,($J8,$O8,$T8)))*20)</f>
        <v>32</v>
      </c>
      <c r="W8" s="55">
        <f>IF($T8="","",ROUND(($T8-$T$3)/1000,1)+(2-_xlfn.RANK.AVG($T8,($J8,$O8,$T8)))*20)</f>
        <v>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136</v>
      </c>
      <c r="BU8" s="40" t="s">
        <v>137</v>
      </c>
      <c r="BV8" s="41" t="s">
        <v>82</v>
      </c>
      <c r="BW8" s="41" t="s">
        <v>140</v>
      </c>
      <c r="BX8" s="41" t="s">
        <v>81</v>
      </c>
      <c r="BY8" s="41" t="s">
        <v>81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146</v>
      </c>
      <c r="F9" s="8" t="s">
        <v>139</v>
      </c>
      <c r="G9" s="9">
        <v>-3000</v>
      </c>
      <c r="H9" s="9"/>
      <c r="I9" s="48">
        <v>0</v>
      </c>
      <c r="J9" s="21">
        <f t="shared" si="2"/>
        <v>11000</v>
      </c>
      <c r="K9" s="8" t="s">
        <v>138</v>
      </c>
      <c r="L9" s="9">
        <v>6000</v>
      </c>
      <c r="M9" s="9"/>
      <c r="N9" s="48">
        <v>0</v>
      </c>
      <c r="O9" s="21">
        <f t="shared" si="3"/>
        <v>53000</v>
      </c>
      <c r="P9" s="8" t="s">
        <v>139</v>
      </c>
      <c r="Q9" s="9">
        <v>-3000</v>
      </c>
      <c r="R9" s="9"/>
      <c r="S9" s="48">
        <v>0</v>
      </c>
      <c r="T9" s="21">
        <f t="shared" si="4"/>
        <v>41000</v>
      </c>
      <c r="U9" s="53">
        <f>IF($J9="","",ROUND(($J9-$J$3)/1000,1)+(2-_xlfn.RANK.AVG($J9,($J9,$O9,$T9)))*20)</f>
        <v>-44</v>
      </c>
      <c r="V9" s="54">
        <f>IF($O9="","",ROUND(($O9-$O$3)/1000,1)+(2-_xlfn.RANK.AVG($O9,($J9,$O9,$T9)))*20)</f>
        <v>38</v>
      </c>
      <c r="W9" s="55">
        <f>IF($T9="","",ROUND(($T9-$T$3)/1000,1)+(2-_xlfn.RANK.AVG($T9,($J9,$O9,$T9)))*20)</f>
        <v>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146</v>
      </c>
      <c r="F10" s="8"/>
      <c r="G10" s="9"/>
      <c r="H10" s="9"/>
      <c r="I10" s="48"/>
      <c r="J10" s="21">
        <f t="shared" si="2"/>
        <v>11000</v>
      </c>
      <c r="K10" s="8" t="s">
        <v>134</v>
      </c>
      <c r="L10" s="9">
        <v>-12000</v>
      </c>
      <c r="M10" s="9"/>
      <c r="N10" s="48">
        <v>-1000</v>
      </c>
      <c r="O10" s="21">
        <f t="shared" si="3"/>
        <v>40000</v>
      </c>
      <c r="P10" s="8" t="s">
        <v>135</v>
      </c>
      <c r="Q10" s="9">
        <v>12000</v>
      </c>
      <c r="R10" s="9"/>
      <c r="S10" s="48">
        <v>1000</v>
      </c>
      <c r="T10" s="21">
        <f t="shared" si="4"/>
        <v>54000</v>
      </c>
      <c r="U10" s="53">
        <f>IF($J10="","",ROUND(($J10-$J$3)/1000,1)+(2-_xlfn.RANK.AVG($J10,($J10,$O10,$T10)))*20)</f>
        <v>-44</v>
      </c>
      <c r="V10" s="54">
        <f>IF($O10="","",ROUND(($O10-$O$3)/1000,1)+(2-_xlfn.RANK.AVG($O10,($J10,$O10,$T10)))*20)</f>
        <v>5</v>
      </c>
      <c r="W10" s="55">
        <f>IF($T10="","",ROUND(($T10-$T$3)/1000,1)+(2-_xlfn.RANK.AVG($T10,($J10,$O10,$T10)))*20)</f>
        <v>39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7</v>
      </c>
      <c r="BT10" s="30" t="s">
        <v>136</v>
      </c>
      <c r="BU10" s="40" t="s">
        <v>104</v>
      </c>
      <c r="BV10" s="41" t="s">
        <v>86</v>
      </c>
      <c r="BW10" s="41" t="s">
        <v>81</v>
      </c>
      <c r="BX10" s="41" t="s">
        <v>79</v>
      </c>
      <c r="BY10" s="41" t="s">
        <v>79</v>
      </c>
      <c r="BZ10" s="41" t="s">
        <v>79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148</v>
      </c>
      <c r="F11" s="8" t="s">
        <v>143</v>
      </c>
      <c r="G11" s="9">
        <v>0</v>
      </c>
      <c r="H11" s="9"/>
      <c r="I11" s="48"/>
      <c r="J11" s="21">
        <f t="shared" si="2"/>
        <v>11000</v>
      </c>
      <c r="K11" s="8" t="s">
        <v>143</v>
      </c>
      <c r="L11" s="9">
        <v>0</v>
      </c>
      <c r="M11" s="9">
        <v>-1000</v>
      </c>
      <c r="N11" s="48"/>
      <c r="O11" s="21">
        <f t="shared" si="3"/>
        <v>39000</v>
      </c>
      <c r="P11" s="8" t="s">
        <v>143</v>
      </c>
      <c r="Q11" s="9">
        <v>0</v>
      </c>
      <c r="R11" s="9"/>
      <c r="S11" s="48"/>
      <c r="T11" s="21">
        <f t="shared" si="4"/>
        <v>54000</v>
      </c>
      <c r="U11" s="53">
        <f>IF($J11="","",ROUND(($J11-$J$3)/1000,1)+(2-_xlfn.RANK.AVG($J11,($J11,$O11,$T11)))*20)</f>
        <v>-44</v>
      </c>
      <c r="V11" s="54">
        <f>IF($O11="","",ROUND(($O11-$O$3)/1000,1)+(2-_xlfn.RANK.AVG($O11,($J11,$O11,$T11)))*20)</f>
        <v>4</v>
      </c>
      <c r="W11" s="55">
        <f>IF($T11="","",ROUND(($T11-$T$3)/1000,1)+(2-_xlfn.RANK.AVG($T11,($J11,$O11,$T11)))*20)</f>
        <v>39</v>
      </c>
      <c r="Y11" s="8" t="s">
        <v>141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141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141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">
        <v>148</v>
      </c>
      <c r="F12" s="8" t="s">
        <v>134</v>
      </c>
      <c r="G12" s="9">
        <v>-12000</v>
      </c>
      <c r="H12" s="9"/>
      <c r="I12" s="48">
        <v>-1000</v>
      </c>
      <c r="J12" s="21">
        <f t="shared" si="2"/>
        <v>-2000</v>
      </c>
      <c r="K12" s="8"/>
      <c r="L12" s="9"/>
      <c r="M12" s="9"/>
      <c r="N12" s="48"/>
      <c r="O12" s="21">
        <f t="shared" si="3"/>
        <v>39000</v>
      </c>
      <c r="P12" s="8" t="s">
        <v>135</v>
      </c>
      <c r="Q12" s="9">
        <v>12000</v>
      </c>
      <c r="R12" s="9">
        <v>1000</v>
      </c>
      <c r="S12" s="48">
        <v>1000</v>
      </c>
      <c r="T12" s="21">
        <f t="shared" si="4"/>
        <v>68000</v>
      </c>
      <c r="U12" s="53">
        <f>IF($J12="","",ROUND(($J12-$J$3)/1000,1)+(2-_xlfn.RANK.AVG($J12,($J12,$O12,$T12)))*20)</f>
        <v>-57</v>
      </c>
      <c r="V12" s="54">
        <f>IF($O12="","",ROUND(($O12-$O$3)/1000,1)+(2-_xlfn.RANK.AVG($O12,($J12,$O12,$T12)))*20)</f>
        <v>4</v>
      </c>
      <c r="W12" s="55">
        <f>IF($T12="","",ROUND(($T12-$T$3)/1000,1)+(2-_xlfn.RANK.AVG($T12,($J12,$O12,$T12)))*20)</f>
        <v>53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30</v>
      </c>
      <c r="BU12" s="40" t="s">
        <v>98</v>
      </c>
      <c r="BV12" s="41" t="s">
        <v>86</v>
      </c>
      <c r="BW12" s="41" t="s">
        <v>81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A320C49D-EFCE-4AA8-BBBB-504341F23FD5}">
      <formula1>$U$2:$W$2</formula1>
    </dataValidation>
    <dataValidation type="list" showInputMessage="1" showErrorMessage="1" sqref="K4:K30 P4:P30 F4:F30" xr:uid="{0E0B0E78-0E44-45FB-BD18-951A0156637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0370E-D026-45C1-81F7-CBDF380B342D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0" t="s">
        <v>0</v>
      </c>
      <c r="B1" s="72" t="s">
        <v>2</v>
      </c>
      <c r="C1" s="72" t="s">
        <v>1</v>
      </c>
      <c r="D1" s="72" t="s">
        <v>21</v>
      </c>
      <c r="E1" s="74" t="s">
        <v>3</v>
      </c>
      <c r="F1" s="65" t="s">
        <v>145</v>
      </c>
      <c r="G1" s="67"/>
      <c r="H1" s="67"/>
      <c r="I1" s="76"/>
      <c r="J1" s="68"/>
      <c r="K1" s="65" t="s">
        <v>147</v>
      </c>
      <c r="L1" s="67"/>
      <c r="M1" s="67"/>
      <c r="N1" s="76"/>
      <c r="O1" s="68"/>
      <c r="P1" s="65" t="s">
        <v>149</v>
      </c>
      <c r="Q1" s="67"/>
      <c r="R1" s="67"/>
      <c r="S1" s="76"/>
      <c r="T1" s="68"/>
      <c r="U1" s="65" t="s">
        <v>6</v>
      </c>
      <c r="V1" s="67"/>
      <c r="W1" s="68"/>
      <c r="Y1" s="65" t="str">
        <f>F1</f>
        <v>まっつん</v>
      </c>
      <c r="Z1" s="66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/>
      <c r="AT1" s="65" t="str">
        <f>K1</f>
        <v>ぱぱ</v>
      </c>
      <c r="AU1" s="66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8"/>
      <c r="BO1" s="65" t="str">
        <f>P1</f>
        <v>いっしー</v>
      </c>
      <c r="BP1" s="66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8"/>
    </row>
    <row r="2" spans="1:87" x14ac:dyDescent="0.4">
      <c r="A2" s="71"/>
      <c r="B2" s="73"/>
      <c r="C2" s="73"/>
      <c r="D2" s="73"/>
      <c r="E2" s="75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ぱぱ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146</v>
      </c>
      <c r="F4" s="8" t="s">
        <v>139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138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139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IF($J4="","",ROUND(($J4-$J$3)/1000,1)+(2-_xlfn.RANK.AVG($J4,($J4,$O4,$T4)))*20)</f>
        <v>-16</v>
      </c>
      <c r="V4" s="54">
        <f>IF($O4="","",ROUND(($O4-$O$3)/1000,1)+(2-_xlfn.RANK.AVG($O4,($J4,$O4,$T4)))*20)</f>
        <v>32</v>
      </c>
      <c r="W4" s="55">
        <f>IF($T4="","",ROUND(($T4-$T$3)/1000,1)+(2-_xlfn.RANK.AVG($T4,($J4,$O4,$T4)))*20)</f>
        <v>-16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137</v>
      </c>
      <c r="BA4" s="41" t="s">
        <v>82</v>
      </c>
      <c r="BB4" s="41" t="s">
        <v>81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146</v>
      </c>
      <c r="F5" s="8" t="s">
        <v>143</v>
      </c>
      <c r="G5" s="9">
        <v>-1500</v>
      </c>
      <c r="H5" s="9"/>
      <c r="I5" s="48"/>
      <c r="J5" s="21">
        <f t="shared" ref="J5:J30" si="2">IF(COUNTA($F5,$K5,$P5)&gt;0,J4+SUM(G5:I5),"")</f>
        <v>27500</v>
      </c>
      <c r="K5" s="8" t="s">
        <v>143</v>
      </c>
      <c r="L5" s="9">
        <v>-1500</v>
      </c>
      <c r="M5" s="9"/>
      <c r="N5" s="48"/>
      <c r="O5" s="21">
        <f t="shared" ref="O5:O30" si="3">IF(COUNTA($F5,$K5,$P5)&gt;0,O4+SUM(L5:N5),"")</f>
        <v>45500</v>
      </c>
      <c r="P5" s="8" t="s">
        <v>143</v>
      </c>
      <c r="Q5" s="9">
        <v>3000</v>
      </c>
      <c r="R5" s="9">
        <v>-1000</v>
      </c>
      <c r="S5" s="48"/>
      <c r="T5" s="21">
        <f t="shared" ref="T5:T30" si="4">IF(COUNTA($F5,$K5,$P5)&gt;0,T4+SUM(Q5:S5),"")</f>
        <v>31000</v>
      </c>
      <c r="U5" s="53">
        <f>IF($J5="","",ROUND(($J5-$J$3)/1000,1)+(2-_xlfn.RANK.AVG($J5,($J5,$O5,$T5)))*20)</f>
        <v>-27.5</v>
      </c>
      <c r="V5" s="54">
        <f>IF($O5="","",ROUND(($O5-$O$3)/1000,1)+(2-_xlfn.RANK.AVG($O5,($J5,$O5,$T5)))*20)</f>
        <v>30.5</v>
      </c>
      <c r="W5" s="55">
        <f>IF($T5="","",ROUND(($T5-$T$3)/1000,1)+(2-_xlfn.RANK.AVG($T5,($J5,$O5,$T5)))*20)</f>
        <v>-4</v>
      </c>
      <c r="Y5" s="8" t="s">
        <v>142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142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141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148</v>
      </c>
      <c r="F6" s="8" t="s">
        <v>138</v>
      </c>
      <c r="G6" s="9">
        <v>8000</v>
      </c>
      <c r="H6" s="9">
        <v>1000</v>
      </c>
      <c r="I6" s="48">
        <v>2000</v>
      </c>
      <c r="J6" s="21">
        <f t="shared" si="2"/>
        <v>38500</v>
      </c>
      <c r="K6" s="8" t="s">
        <v>139</v>
      </c>
      <c r="L6" s="9">
        <v>-3000</v>
      </c>
      <c r="M6" s="9"/>
      <c r="N6" s="48">
        <v>-1000</v>
      </c>
      <c r="O6" s="21">
        <f t="shared" si="3"/>
        <v>41500</v>
      </c>
      <c r="P6" s="8" t="s">
        <v>139</v>
      </c>
      <c r="Q6" s="9">
        <v>-5000</v>
      </c>
      <c r="R6" s="9"/>
      <c r="S6" s="48">
        <v>-1000</v>
      </c>
      <c r="T6" s="21">
        <f t="shared" si="4"/>
        <v>25000</v>
      </c>
      <c r="U6" s="53">
        <f>IF($J6="","",ROUND(($J6-$J$3)/1000,1)+(2-_xlfn.RANK.AVG($J6,($J6,$O6,$T6)))*20)</f>
        <v>3.5</v>
      </c>
      <c r="V6" s="54">
        <f>IF($O6="","",ROUND(($O6-$O$3)/1000,1)+(2-_xlfn.RANK.AVG($O6,($J6,$O6,$T6)))*20)</f>
        <v>26.5</v>
      </c>
      <c r="W6" s="55">
        <f>IF($T6="","",ROUND(($T6-$T$3)/1000,1)+(2-_xlfn.RANK.AVG($T6,($J6,$O6,$T6)))*20)</f>
        <v>-30</v>
      </c>
      <c r="Y6" s="8"/>
      <c r="Z6" s="34"/>
      <c r="AA6" s="26">
        <v>1</v>
      </c>
      <c r="AB6" s="26"/>
      <c r="AC6" s="26">
        <v>5</v>
      </c>
      <c r="AD6" s="30" t="s">
        <v>136</v>
      </c>
      <c r="AE6" s="40" t="s">
        <v>82</v>
      </c>
      <c r="AF6" s="41" t="s">
        <v>137</v>
      </c>
      <c r="AG6" s="41" t="s">
        <v>92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144</v>
      </c>
      <c r="F7" s="8" t="s">
        <v>134</v>
      </c>
      <c r="G7" s="9">
        <v>-5200</v>
      </c>
      <c r="H7" s="9"/>
      <c r="I7" s="48">
        <v>0</v>
      </c>
      <c r="J7" s="21">
        <f t="shared" si="2"/>
        <v>33300</v>
      </c>
      <c r="K7" s="8" t="s">
        <v>135</v>
      </c>
      <c r="L7" s="9">
        <v>5200</v>
      </c>
      <c r="M7" s="9"/>
      <c r="N7" s="48">
        <v>0</v>
      </c>
      <c r="O7" s="21">
        <f t="shared" si="3"/>
        <v>46700</v>
      </c>
      <c r="P7" s="8"/>
      <c r="Q7" s="9"/>
      <c r="R7" s="9"/>
      <c r="S7" s="48"/>
      <c r="T7" s="21">
        <f t="shared" si="4"/>
        <v>25000</v>
      </c>
      <c r="U7" s="53">
        <f>IF($J7="","",ROUND(($J7-$J$3)/1000,1)+(2-_xlfn.RANK.AVG($J7,($J7,$O7,$T7)))*20)</f>
        <v>-1.7</v>
      </c>
      <c r="V7" s="54">
        <f>IF($O7="","",ROUND(($O7-$O$3)/1000,1)+(2-_xlfn.RANK.AVG($O7,($J7,$O7,$T7)))*20)</f>
        <v>31.7</v>
      </c>
      <c r="W7" s="55">
        <f>IF($T7="","",ROUND(($T7-$T$3)/1000,1)+(2-_xlfn.RANK.AVG($T7,($J7,$O7,$T7)))*20)</f>
        <v>-30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40</v>
      </c>
      <c r="AZ7" s="40" t="s">
        <v>86</v>
      </c>
      <c r="BA7" s="41" t="s">
        <v>81</v>
      </c>
      <c r="BB7" s="41" t="s">
        <v>81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146</v>
      </c>
      <c r="F8" s="8" t="s">
        <v>135</v>
      </c>
      <c r="G8" s="9">
        <v>12000</v>
      </c>
      <c r="H8" s="9"/>
      <c r="I8" s="48">
        <v>0</v>
      </c>
      <c r="J8" s="21">
        <f t="shared" si="2"/>
        <v>45300</v>
      </c>
      <c r="K8" s="8" t="s">
        <v>134</v>
      </c>
      <c r="L8" s="9">
        <v>-12000</v>
      </c>
      <c r="M8" s="9"/>
      <c r="N8" s="48">
        <v>0</v>
      </c>
      <c r="O8" s="21">
        <f t="shared" si="3"/>
        <v>34700</v>
      </c>
      <c r="P8" s="8"/>
      <c r="Q8" s="9"/>
      <c r="R8" s="9"/>
      <c r="S8" s="48"/>
      <c r="T8" s="21">
        <f t="shared" si="4"/>
        <v>25000</v>
      </c>
      <c r="U8" s="53">
        <f>IF($J8="","",ROUND(($J8-$J$3)/1000,1)+(2-_xlfn.RANK.AVG($J8,($J8,$O8,$T8)))*20)</f>
        <v>30.3</v>
      </c>
      <c r="V8" s="54">
        <f>IF($O8="","",ROUND(($O8-$O$3)/1000,1)+(2-_xlfn.RANK.AVG($O8,($J8,$O8,$T8)))*20)</f>
        <v>-0.3</v>
      </c>
      <c r="W8" s="55">
        <f>IF($T8="","",ROUND(($T8-$T$3)/1000,1)+(2-_xlfn.RANK.AVG($T8,($J8,$O8,$T8)))*20)</f>
        <v>-30</v>
      </c>
      <c r="Y8" s="8"/>
      <c r="Z8" s="34"/>
      <c r="AA8" s="26"/>
      <c r="AB8" s="26">
        <v>1</v>
      </c>
      <c r="AC8" s="26">
        <v>7</v>
      </c>
      <c r="AD8" s="30" t="s">
        <v>136</v>
      </c>
      <c r="AE8" s="40" t="s">
        <v>104</v>
      </c>
      <c r="AF8" s="41" t="s">
        <v>86</v>
      </c>
      <c r="AG8" s="41" t="s">
        <v>81</v>
      </c>
      <c r="AH8" s="41" t="s">
        <v>81</v>
      </c>
      <c r="AI8" s="41" t="s">
        <v>81</v>
      </c>
      <c r="AJ8" s="41" t="s">
        <v>81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148</v>
      </c>
      <c r="F9" s="8" t="s">
        <v>135</v>
      </c>
      <c r="G9" s="9">
        <v>8000</v>
      </c>
      <c r="H9" s="9"/>
      <c r="I9" s="48">
        <v>0</v>
      </c>
      <c r="J9" s="21">
        <f t="shared" si="2"/>
        <v>53300</v>
      </c>
      <c r="K9" s="8"/>
      <c r="L9" s="9"/>
      <c r="M9" s="9"/>
      <c r="N9" s="48"/>
      <c r="O9" s="21">
        <f t="shared" si="3"/>
        <v>34700</v>
      </c>
      <c r="P9" s="8" t="s">
        <v>134</v>
      </c>
      <c r="Q9" s="9">
        <v>-8000</v>
      </c>
      <c r="R9" s="9"/>
      <c r="S9" s="48">
        <v>0</v>
      </c>
      <c r="T9" s="21">
        <f t="shared" si="4"/>
        <v>17000</v>
      </c>
      <c r="U9" s="53">
        <f>IF($J9="","",ROUND(($J9-$J$3)/1000,1)+(2-_xlfn.RANK.AVG($J9,($J9,$O9,$T9)))*20)</f>
        <v>38.299999999999997</v>
      </c>
      <c r="V9" s="54">
        <f>IF($O9="","",ROUND(($O9-$O$3)/1000,1)+(2-_xlfn.RANK.AVG($O9,($J9,$O9,$T9)))*20)</f>
        <v>-0.3</v>
      </c>
      <c r="W9" s="55">
        <f>IF($T9="","",ROUND(($T9-$T$3)/1000,1)+(2-_xlfn.RANK.AVG($T9,($J9,$O9,$T9)))*20)</f>
        <v>-38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86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144</v>
      </c>
      <c r="F10" s="8" t="s">
        <v>134</v>
      </c>
      <c r="G10" s="9">
        <v>-8000</v>
      </c>
      <c r="H10" s="9"/>
      <c r="I10" s="48">
        <v>0</v>
      </c>
      <c r="J10" s="21">
        <f t="shared" si="2"/>
        <v>45300</v>
      </c>
      <c r="K10" s="8"/>
      <c r="L10" s="9"/>
      <c r="M10" s="9"/>
      <c r="N10" s="48"/>
      <c r="O10" s="21">
        <f t="shared" si="3"/>
        <v>34700</v>
      </c>
      <c r="P10" s="8" t="s">
        <v>135</v>
      </c>
      <c r="Q10" s="9">
        <v>8000</v>
      </c>
      <c r="R10" s="9"/>
      <c r="S10" s="48">
        <v>0</v>
      </c>
      <c r="T10" s="21">
        <f t="shared" si="4"/>
        <v>25000</v>
      </c>
      <c r="U10" s="53">
        <f>IF($J10="","",ROUND(($J10-$J$3)/1000,1)+(2-_xlfn.RANK.AVG($J10,($J10,$O10,$T10)))*20)</f>
        <v>30.3</v>
      </c>
      <c r="V10" s="54">
        <f>IF($O10="","",ROUND(($O10-$O$3)/1000,1)+(2-_xlfn.RANK.AVG($O10,($J10,$O10,$T10)))*20)</f>
        <v>-0.3</v>
      </c>
      <c r="W10" s="55">
        <f>IF($T10="","",ROUND(($T10-$T$3)/1000,1)+(2-_xlfn.RANK.AVG($T10,($J10,$O10,$T10)))*20)</f>
        <v>-30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40</v>
      </c>
      <c r="BU10" s="40" t="s">
        <v>137</v>
      </c>
      <c r="BV10" s="41" t="s">
        <v>86</v>
      </c>
      <c r="BW10" s="41" t="s">
        <v>81</v>
      </c>
      <c r="BX10" s="41" t="s">
        <v>81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IF($J11="","",ROUND(($J11-$J$3)/1000,1)+(2-_xlfn.RANK.AVG($J11,($J11,$O11,$T11)))*20)</f>
        <v/>
      </c>
      <c r="V11" s="54" t="str">
        <f>IF($O11="","",ROUND(($O11-$O$3)/1000,1)+(2-_xlfn.RANK.AVG($O11,($J11,$O11,$T11)))*20)</f>
        <v/>
      </c>
      <c r="W11" s="55" t="str">
        <f>IF($T11="","",ROUND(($T11-$T$3)/1000,1)+(2-_xlfn.RANK.AVG($T11,($J11,$O11,$T11)))*20)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IF($J12="","",ROUND(($J12-$J$3)/1000,1)+(2-_xlfn.RANK.AVG($J12,($J12,$O12,$T12)))*20)</f>
        <v/>
      </c>
      <c r="V12" s="54" t="str">
        <f>IF($O12="","",ROUND(($O12-$O$3)/1000,1)+(2-_xlfn.RANK.AVG($O12,($J12,$O12,$T12)))*20)</f>
        <v/>
      </c>
      <c r="W12" s="55" t="str">
        <f>IF($T12="","",ROUND(($T12-$T$3)/1000,1)+(2-_xlfn.RANK.AVG($T12,($J12,$O12,$T12)))*20)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080C399A-FECB-4A33-ABB3-789A65ABE1AE}">
      <formula1>"ロン,ツモ,放銃,ツモ支払,流局,チョンボ"</formula1>
    </dataValidation>
    <dataValidation type="list" allowBlank="1" showInputMessage="1" showErrorMessage="1" sqref="E4:E30" xr:uid="{ADC0D72E-4ACC-4C00-99BB-79CDDFDB5CC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topLeftCell="A21"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2019-02-20T06:44:09Z</dcterms:modified>
</cp:coreProperties>
</file>